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MBA\报告\SS25255\SS25255NM01\"/>
    </mc:Choice>
  </mc:AlternateContent>
  <xr:revisionPtr revIDLastSave="0" documentId="13_ncr:1_{C7CC6536-A94A-4766-A9E9-D41D6FB23CB0}" xr6:coauthVersionLast="47" xr6:coauthVersionMax="47" xr10:uidLastSave="{00000000-0000-0000-0000-000000000000}"/>
  <bookViews>
    <workbookView xWindow="-110" yWindow="-110" windowWidth="19420" windowHeight="10420" tabRatio="925" xr2:uid="{00000000-000D-0000-FFFF-FFFF00000000}"/>
  </bookViews>
  <sheets>
    <sheet name="1.1" sheetId="33" r:id="rId1"/>
    <sheet name="2.1标准品" sheetId="35" r:id="rId2"/>
    <sheet name="2.2内标" sheetId="40" r:id="rId3"/>
    <sheet name="2.5试剂" sheetId="41" r:id="rId4"/>
    <sheet name="2.6 空白基质" sheetId="51" r:id="rId5"/>
    <sheet name="2.9标准曲线质控样品配制" sheetId="50" r:id="rId6"/>
    <sheet name="表1_schedule" sheetId="7" r:id="rId7"/>
    <sheet name="表2_SST" sheetId="8" r:id="rId8"/>
    <sheet name="表3_CO" sheetId="10" r:id="rId9"/>
    <sheet name="表7_Regression" sheetId="13" r:id="rId10"/>
    <sheet name="表8_curve" sheetId="14" r:id="rId11"/>
    <sheet name="表9_Inter QC" sheetId="15" r:id="rId12"/>
    <sheet name="表18_ST" sheetId="24" r:id="rId13"/>
    <sheet name="分析天平" sheetId="46" r:id="rId14"/>
    <sheet name="（选择性图谱）空白基质图谱" sheetId="43" r:id="rId15"/>
    <sheet name="（选择性图谱）最低定量限图谱" sheetId="44" r:id="rId16"/>
    <sheet name="标准曲线" sheetId="45" r:id="rId17"/>
  </sheets>
  <definedNames>
    <definedName name="_xlnm.Print_Area" localSheetId="7">表2_SST!$A$1:$F$7</definedName>
    <definedName name="_xlnm.Print_Area" localSheetId="9">表7_Regression!$A$1:$G$16</definedName>
    <definedName name="_xlnm.Print_Area" localSheetId="11">'表9_Inter QC'!$A$1:$P$39</definedName>
  </definedNames>
  <calcPr calcId="191029"/>
</workbook>
</file>

<file path=xl/calcChain.xml><?xml version="1.0" encoding="utf-8"?>
<calcChain xmlns="http://schemas.openxmlformats.org/spreadsheetml/2006/main">
  <c r="E33" i="24" l="1"/>
  <c r="C33" i="24"/>
  <c r="E32" i="24"/>
  <c r="E35" i="24" s="1"/>
  <c r="C32" i="24"/>
  <c r="C35" i="24" s="1"/>
  <c r="F31" i="24"/>
  <c r="D31" i="24"/>
  <c r="F30" i="24"/>
  <c r="D30" i="24"/>
  <c r="F29" i="24"/>
  <c r="D29" i="24"/>
  <c r="F28" i="24"/>
  <c r="D28" i="24"/>
  <c r="F27" i="24"/>
  <c r="D27" i="24"/>
  <c r="F26" i="24"/>
  <c r="D26" i="24"/>
  <c r="E16" i="24"/>
  <c r="C16" i="24"/>
  <c r="E15" i="24"/>
  <c r="E18" i="24" s="1"/>
  <c r="C15" i="24"/>
  <c r="C18" i="24" s="1"/>
  <c r="F14" i="24"/>
  <c r="D14" i="24"/>
  <c r="F13" i="24"/>
  <c r="D13" i="24"/>
  <c r="F12" i="24"/>
  <c r="D12" i="24"/>
  <c r="F11" i="24"/>
  <c r="D11" i="24"/>
  <c r="F10" i="24"/>
  <c r="D10" i="24"/>
  <c r="F9" i="24"/>
  <c r="D9" i="24"/>
  <c r="G11" i="10"/>
  <c r="I12" i="10" s="1"/>
  <c r="F11" i="10"/>
  <c r="H12" i="10" s="1"/>
  <c r="G6" i="10"/>
  <c r="I7" i="10" s="1"/>
  <c r="F6" i="10"/>
  <c r="H7" i="10" s="1"/>
  <c r="I23" i="24"/>
  <c r="I6" i="24"/>
  <c r="E17" i="24" l="1"/>
  <c r="E34" i="24"/>
  <c r="C34" i="24"/>
  <c r="H6" i="10"/>
  <c r="H11" i="10"/>
  <c r="I6" i="10"/>
  <c r="I11" i="10"/>
  <c r="C17" i="24"/>
</calcChain>
</file>

<file path=xl/sharedStrings.xml><?xml version="1.0" encoding="utf-8"?>
<sst xmlns="http://schemas.openxmlformats.org/spreadsheetml/2006/main" count="373" uniqueCount="212">
  <si>
    <t>LLOQ</t>
  </si>
  <si>
    <t>HQC</t>
  </si>
  <si>
    <t>LQC</t>
  </si>
  <si>
    <t>SD</t>
  </si>
  <si>
    <t>n</t>
  </si>
  <si>
    <t>STD1</t>
  </si>
  <si>
    <t>STD2</t>
  </si>
  <si>
    <t>STD3</t>
  </si>
  <si>
    <t>STD4</t>
  </si>
  <si>
    <t>STD5</t>
  </si>
  <si>
    <t>STD6</t>
  </si>
  <si>
    <t>STD7</t>
  </si>
  <si>
    <t>STD8</t>
  </si>
  <si>
    <t xml:space="preserve">AB Sciex </t>
  </si>
  <si>
    <r>
      <t xml:space="preserve">1.1 </t>
    </r>
    <r>
      <rPr>
        <sz val="10.5"/>
        <rFont val="宋体"/>
        <family val="3"/>
        <charset val="134"/>
      </rPr>
      <t>检测方法概述</t>
    </r>
  </si>
  <si>
    <r>
      <rPr>
        <sz val="10.5"/>
        <rFont val="宋体"/>
        <family val="3"/>
        <charset val="134"/>
      </rPr>
      <t>样品体积</t>
    </r>
  </si>
  <si>
    <r>
      <rPr>
        <sz val="10.5"/>
        <rFont val="宋体"/>
        <family val="3"/>
        <charset val="134"/>
      </rPr>
      <t>内标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</si>
  <si>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</si>
  <si>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</si>
  <si>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</si>
  <si>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内标保留时间</t>
    </r>
  </si>
  <si>
    <r>
      <rPr>
        <sz val="10.5"/>
        <rFont val="宋体"/>
        <family val="3"/>
        <charset val="134"/>
      </rPr>
      <t>平均值</t>
    </r>
  </si>
  <si>
    <r>
      <rPr>
        <sz val="10.5"/>
        <rFont val="宋体"/>
        <family val="3"/>
        <charset val="134"/>
      </rPr>
      <t>待测物</t>
    </r>
  </si>
  <si>
    <r>
      <t xml:space="preserve">2.1 </t>
    </r>
    <r>
      <rPr>
        <sz val="10.5"/>
        <rFont val="宋体"/>
        <family val="3"/>
        <charset val="134"/>
      </rPr>
      <t>标准品</t>
    </r>
    <phoneticPr fontId="4" type="noConversion"/>
  </si>
  <si>
    <r>
      <t xml:space="preserve">2.2 </t>
    </r>
    <r>
      <rPr>
        <sz val="10.5"/>
        <rFont val="宋体"/>
        <family val="3"/>
        <charset val="134"/>
      </rPr>
      <t>内标</t>
    </r>
    <phoneticPr fontId="4" type="noConversion"/>
  </si>
  <si>
    <r>
      <rPr>
        <sz val="10.5"/>
        <rFont val="宋体"/>
        <family val="3"/>
        <charset val="134"/>
      </rPr>
      <t>内标残留</t>
    </r>
    <r>
      <rPr>
        <sz val="10.5"/>
        <rFont val="Times New Roman"/>
        <family val="1"/>
      </rPr>
      <t/>
    </r>
    <phoneticPr fontId="4" type="noConversion"/>
  </si>
  <si>
    <r>
      <rPr>
        <sz val="10.5"/>
        <rFont val="宋体"/>
        <family val="3"/>
        <charset val="134"/>
      </rPr>
      <t>待测物残留</t>
    </r>
    <phoneticPr fontId="4" type="noConversion"/>
  </si>
  <si>
    <r>
      <rPr>
        <sz val="10.5"/>
        <rFont val="宋体"/>
        <family val="3"/>
        <charset val="134"/>
      </rPr>
      <t>生物样品前处理过程中的短期稳定性</t>
    </r>
    <phoneticPr fontId="4" type="noConversion"/>
  </si>
  <si>
    <r>
      <t>Carryover</t>
    </r>
    <r>
      <rPr>
        <sz val="10.5"/>
        <rFont val="宋体"/>
        <family val="3"/>
        <charset val="134"/>
      </rPr>
      <t>样品中待测物残留峰面积</t>
    </r>
    <phoneticPr fontId="4" type="noConversion"/>
  </si>
  <si>
    <r>
      <t>Carryover</t>
    </r>
    <r>
      <rPr>
        <sz val="10.5"/>
        <rFont val="宋体"/>
        <family val="3"/>
        <charset val="134"/>
      </rPr>
      <t>样品中内标残留峰面积</t>
    </r>
    <phoneticPr fontId="4" type="noConversion"/>
  </si>
  <si>
    <t>是</t>
    <phoneticPr fontId="4" type="noConversion"/>
  </si>
  <si>
    <t>表3 ：批量样品检测过程的残留</t>
  </si>
  <si>
    <t xml:space="preserve">表18：生物样品前处理过程中的短期稳定性 </t>
  </si>
  <si>
    <t>表9：批内/批间样品检测的精密度和准确度</t>
  </si>
  <si>
    <t>表8：标准曲线的回算浓度</t>
  </si>
  <si>
    <t>表7：标准曲线参数汇总</t>
  </si>
  <si>
    <t>拟合方程：峰面积比= 斜率 ×浓度 + 截距， 权重：1/（浓度×浓度）</t>
  </si>
  <si>
    <t>表2 ：系统适用性</t>
  </si>
  <si>
    <t>表1：批量样品检测情况列表</t>
  </si>
  <si>
    <t>CV（%）</t>
  </si>
  <si>
    <t>准确度（%）</t>
  </si>
  <si>
    <t>准确度偏差（%）</t>
  </si>
  <si>
    <t>批内CV（%）</t>
  </si>
  <si>
    <t>批内准确度偏差（%）</t>
  </si>
  <si>
    <t>待测物残留率（%）</t>
  </si>
  <si>
    <t>内标残留率（%）</t>
  </si>
  <si>
    <r>
      <rPr>
        <sz val="10.5"/>
        <rFont val="宋体"/>
        <family val="3"/>
        <charset val="134"/>
      </rPr>
      <t>色谱柱型号及所用序列号</t>
    </r>
    <phoneticPr fontId="4" type="noConversion"/>
  </si>
  <si>
    <r>
      <rPr>
        <sz val="10.5"/>
        <rFont val="宋体"/>
        <family val="3"/>
        <charset val="134"/>
      </rPr>
      <t>系统适用性</t>
    </r>
    <phoneticPr fontId="4" type="noConversion"/>
  </si>
  <si>
    <r>
      <rPr>
        <sz val="11"/>
        <color theme="1"/>
        <rFont val="DengXian"/>
        <family val="2"/>
      </rPr>
      <t>分析天平编号：</t>
    </r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</si>
  <si>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</si>
  <si>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样品放置开始时间：</t>
    </r>
  </si>
  <si>
    <r>
      <rPr>
        <sz val="10.5"/>
        <rFont val="宋体"/>
        <family val="3"/>
        <charset val="134"/>
      </rPr>
      <t>检测批次编号</t>
    </r>
    <phoneticPr fontId="4" type="noConversion"/>
  </si>
  <si>
    <r>
      <rPr>
        <sz val="10.5"/>
        <rFont val="宋体"/>
        <family val="3"/>
        <charset val="134"/>
      </rPr>
      <t>待测物保留时间</t>
    </r>
    <phoneticPr fontId="4" type="noConversion"/>
  </si>
  <si>
    <r>
      <rPr>
        <sz val="10.5"/>
        <rFont val="宋体"/>
        <family val="3"/>
        <charset val="134"/>
      </rPr>
      <t>提取日期</t>
    </r>
    <phoneticPr fontId="4" type="noConversion"/>
  </si>
  <si>
    <r>
      <rPr>
        <sz val="10.5"/>
        <rFont val="宋体"/>
        <family val="3"/>
        <charset val="134"/>
      </rPr>
      <t>设备编号</t>
    </r>
    <phoneticPr fontId="4" type="noConversion"/>
  </si>
  <si>
    <t>EQ202003</t>
    <phoneticPr fontId="14" type="noConversion"/>
  </si>
  <si>
    <t>EQ2018B23</t>
    <phoneticPr fontId="14" type="noConversion"/>
  </si>
  <si>
    <t>EQ201590</t>
    <phoneticPr fontId="14" type="noConversion"/>
  </si>
  <si>
    <r>
      <rPr>
        <sz val="10.5"/>
        <rFont val="宋体"/>
        <family val="3"/>
        <charset val="134"/>
      </rPr>
      <t>精密度最大值（</t>
    </r>
    <r>
      <rPr>
        <sz val="10.5"/>
        <rFont val="Times New Roman"/>
        <family val="1"/>
      </rPr>
      <t>%CV</t>
    </r>
    <r>
      <rPr>
        <sz val="10.5"/>
        <rFont val="宋体"/>
        <family val="3"/>
        <charset val="134"/>
      </rPr>
      <t>）</t>
    </r>
    <phoneticPr fontId="4" type="noConversion"/>
  </si>
  <si>
    <r>
      <rPr>
        <sz val="10.5"/>
        <rFont val="宋体"/>
        <family val="3"/>
        <charset val="134"/>
      </rPr>
      <t>准确度（与理论浓度的偏差）（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）范围</t>
    </r>
    <phoneticPr fontId="4" type="noConversion"/>
  </si>
  <si>
    <t>GMQC</t>
    <phoneticPr fontId="4" type="noConversion"/>
  </si>
  <si>
    <t>MQC</t>
    <phoneticPr fontId="4" type="noConversion"/>
  </si>
  <si>
    <t>基质</t>
  </si>
  <si>
    <t>接收日期</t>
  </si>
  <si>
    <t>供应商</t>
  </si>
  <si>
    <t>益诺思登记号</t>
  </si>
  <si>
    <t>类型</t>
  </si>
  <si>
    <t>配制日期</t>
    <phoneticPr fontId="14" type="noConversion"/>
  </si>
  <si>
    <t>储存条件</t>
  </si>
  <si>
    <t>标准曲线样品</t>
    <phoneticPr fontId="14" type="noConversion"/>
  </si>
  <si>
    <t>质量控制样品</t>
  </si>
  <si>
    <t>2.9 标准曲线/质控样品的配制</t>
    <phoneticPr fontId="14" type="noConversion"/>
  </si>
  <si>
    <r>
      <t xml:space="preserve">LLOQ </t>
    </r>
    <r>
      <rPr>
        <sz val="10.5"/>
        <rFont val="宋体"/>
        <family val="3"/>
        <charset val="134"/>
      </rPr>
      <t>标曲样品待测物峰面积</t>
    </r>
    <phoneticPr fontId="4" type="noConversion"/>
  </si>
  <si>
    <r>
      <t>LLOQ</t>
    </r>
    <r>
      <rPr>
        <sz val="10.5"/>
        <rFont val="宋体"/>
        <family val="3"/>
        <charset val="134"/>
      </rPr>
      <t>标曲样品内标峰面积</t>
    </r>
    <phoneticPr fontId="4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</si>
  <si>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标曲样品待测物峰面积均值</t>
    </r>
    <phoneticPr fontId="4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</si>
  <si>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标曲样品内标峰面积均值</t>
    </r>
    <phoneticPr fontId="4" type="noConversion"/>
  </si>
  <si>
    <t>现配现用</t>
    <phoneticPr fontId="14" type="noConversion"/>
  </si>
  <si>
    <t>40.0°C</t>
    <phoneticPr fontId="4" type="noConversion"/>
  </si>
  <si>
    <t>准确度偏差 （%）</t>
  </si>
  <si>
    <t>CV （%）</t>
  </si>
  <si>
    <t>准确度 （%）</t>
  </si>
  <si>
    <t>y = ax + b</t>
    <phoneticPr fontId="4" type="noConversion"/>
  </si>
  <si>
    <r>
      <rPr>
        <sz val="10.5"/>
        <rFont val="宋体"/>
        <family val="3"/>
        <charset val="134"/>
      </rPr>
      <t>分析方法</t>
    </r>
  </si>
  <si>
    <r>
      <rPr>
        <sz val="10.5"/>
        <rFont val="宋体"/>
        <family val="3"/>
        <charset val="134"/>
      </rPr>
      <t>设备名称</t>
    </r>
  </si>
  <si>
    <r>
      <rPr>
        <sz val="10.5"/>
        <rFont val="宋体"/>
        <family val="3"/>
        <charset val="134"/>
      </rPr>
      <t>制造商</t>
    </r>
  </si>
  <si>
    <r>
      <rPr>
        <sz val="10.5"/>
        <rFont val="宋体"/>
        <family val="3"/>
        <charset val="134"/>
      </rPr>
      <t>型号</t>
    </r>
  </si>
  <si>
    <r>
      <rPr>
        <sz val="10.5"/>
        <rFont val="宋体"/>
        <family val="3"/>
        <charset val="134"/>
      </rPr>
      <t>高效液相色谱</t>
    </r>
  </si>
  <si>
    <r>
      <rPr>
        <sz val="10.5"/>
        <rFont val="宋体"/>
        <family val="3"/>
        <charset val="134"/>
      </rPr>
      <t>离子源</t>
    </r>
  </si>
  <si>
    <r>
      <t>Turbo-V</t>
    </r>
    <r>
      <rPr>
        <sz val="10.5"/>
        <rFont val="宋体"/>
        <family val="3"/>
        <charset val="134"/>
      </rPr>
      <t>电喷雾离子源</t>
    </r>
  </si>
  <si>
    <r>
      <rPr>
        <sz val="10.5"/>
        <rFont val="宋体"/>
        <family val="3"/>
        <charset val="134"/>
      </rPr>
      <t>检测器</t>
    </r>
    <r>
      <rPr>
        <sz val="10.5"/>
        <rFont val="Times New Roman"/>
        <family val="1"/>
      </rPr>
      <t>-</t>
    </r>
    <r>
      <rPr>
        <sz val="10.5"/>
        <rFont val="宋体"/>
        <family val="3"/>
        <charset val="134"/>
      </rPr>
      <t>串联质谱</t>
    </r>
  </si>
  <si>
    <r>
      <rPr>
        <sz val="10.5"/>
        <rFont val="宋体"/>
        <family val="3"/>
        <charset val="134"/>
      </rPr>
      <t>数据采集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管理软件</t>
    </r>
    <phoneticPr fontId="4" type="noConversion"/>
  </si>
  <si>
    <r>
      <rPr>
        <sz val="10.5"/>
        <rFont val="宋体"/>
        <family val="3"/>
        <charset val="134"/>
      </rPr>
      <t>离子化方式</t>
    </r>
  </si>
  <si>
    <r>
      <rPr>
        <sz val="10.5"/>
        <rFont val="宋体"/>
        <family val="3"/>
        <charset val="134"/>
      </rPr>
      <t>扫描方式</t>
    </r>
  </si>
  <si>
    <r>
      <rPr>
        <sz val="10.5"/>
        <rFont val="宋体"/>
        <family val="3"/>
        <charset val="134"/>
      </rPr>
      <t>多反应监测</t>
    </r>
  </si>
  <si>
    <r>
      <rPr>
        <sz val="10.5"/>
        <rFont val="宋体"/>
        <family val="3"/>
        <charset val="134"/>
      </rPr>
      <t>流动相及流速</t>
    </r>
  </si>
  <si>
    <r>
      <rPr>
        <sz val="10.5"/>
        <rFont val="宋体"/>
        <family val="3"/>
        <charset val="134"/>
      </rPr>
      <t>柱温</t>
    </r>
  </si>
  <si>
    <r>
      <rPr>
        <sz val="10.5"/>
        <rFont val="宋体"/>
        <family val="3"/>
        <charset val="134"/>
      </rPr>
      <t>样品的生物基质</t>
    </r>
  </si>
  <si>
    <r>
      <rPr>
        <sz val="10.5"/>
        <rFont val="宋体"/>
        <family val="3"/>
        <charset val="134"/>
      </rPr>
      <t>抗凝剂</t>
    </r>
  </si>
  <si>
    <r>
      <rPr>
        <sz val="10.5"/>
        <rFont val="宋体"/>
        <family val="3"/>
        <charset val="134"/>
      </rPr>
      <t>生物基质来源</t>
    </r>
  </si>
  <si>
    <r>
      <rPr>
        <sz val="10.5"/>
        <rFont val="宋体"/>
        <family val="3"/>
        <charset val="134"/>
      </rPr>
      <t>样品预处理方法</t>
    </r>
  </si>
  <si>
    <r>
      <rPr>
        <sz val="10.5"/>
        <rFont val="宋体"/>
        <family val="3"/>
        <charset val="134"/>
      </rPr>
      <t>进样量</t>
    </r>
  </si>
  <si>
    <r>
      <rPr>
        <sz val="10.5"/>
        <rFont val="宋体"/>
        <family val="3"/>
        <charset val="134"/>
      </rPr>
      <t>定量指标</t>
    </r>
  </si>
  <si>
    <r>
      <rPr>
        <sz val="10.5"/>
        <rFont val="宋体"/>
        <family val="3"/>
        <charset val="134"/>
      </rPr>
      <t>回归方程</t>
    </r>
  </si>
  <si>
    <r>
      <rPr>
        <sz val="10.5"/>
        <rFont val="宋体"/>
        <family val="3"/>
        <charset val="134"/>
      </rPr>
      <t>权重系数</t>
    </r>
  </si>
  <si>
    <r>
      <rPr>
        <sz val="10.5"/>
        <rFont val="宋体"/>
        <family val="3"/>
        <charset val="134"/>
      </rPr>
      <t>线性范围</t>
    </r>
  </si>
  <si>
    <r>
      <rPr>
        <sz val="10.5"/>
        <rFont val="宋体"/>
        <family val="3"/>
        <charset val="134"/>
      </rPr>
      <t>最低定量限（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</si>
  <si>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最低质控浓度（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</si>
  <si>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质控浓度（</t>
    </r>
    <r>
      <rPr>
        <sz val="10.5"/>
        <rFont val="Times New Roman"/>
        <family val="1"/>
      </rPr>
      <t>QC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</si>
  <si>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准确度和精密度</t>
    </r>
    <phoneticPr fontId="4" type="noConversion"/>
  </si>
  <si>
    <r>
      <rPr>
        <sz val="10.5"/>
        <rFont val="宋体"/>
        <family val="3"/>
        <charset val="134"/>
      </rPr>
      <t>待测物残留率（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4" type="noConversion"/>
  </si>
  <si>
    <t>Shimadzu</t>
    <phoneticPr fontId="4" type="noConversion"/>
  </si>
  <si>
    <t>LC-40D x3</t>
    <phoneticPr fontId="4" type="noConversion"/>
  </si>
  <si>
    <r>
      <t>Sciex Analyst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>1.7.3</t>
    </r>
    <r>
      <rPr>
        <sz val="10.5"/>
        <rFont val="宋体"/>
        <family val="3"/>
        <charset val="134"/>
      </rPr>
      <t>），</t>
    </r>
    <r>
      <rPr>
        <sz val="10.5"/>
        <rFont val="Times New Roman"/>
        <family val="1"/>
      </rPr>
      <t>Watson LIMS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>7.4.2</t>
    </r>
    <r>
      <rPr>
        <sz val="10.5"/>
        <rFont val="宋体"/>
        <family val="3"/>
        <charset val="134"/>
      </rPr>
      <t>）</t>
    </r>
    <phoneticPr fontId="4" type="noConversion"/>
  </si>
  <si>
    <r>
      <rPr>
        <sz val="10.5"/>
        <rFont val="宋体"/>
        <family val="3"/>
        <charset val="134"/>
      </rPr>
      <t>108</t>
    </r>
    <r>
      <rPr>
        <sz val="10.5"/>
        <rFont val="Times New Roman"/>
        <family val="3"/>
      </rPr>
      <t>BB40096</t>
    </r>
    <phoneticPr fontId="4" type="noConversion"/>
  </si>
  <si>
    <t>10 μL</t>
    <phoneticPr fontId="4" type="noConversion"/>
  </si>
  <si>
    <t>斯贝福（北京）生物技术有限公司</t>
  </si>
  <si>
    <t>斯贝福（北京）生物技术有限公司</t>
    <phoneticPr fontId="4" type="noConversion"/>
  </si>
  <si>
    <t>8 μL</t>
    <phoneticPr fontId="4" type="noConversion"/>
  </si>
  <si>
    <t>pmol/mL</t>
  </si>
  <si>
    <t>LLOQ（pmol/mL）</t>
  </si>
  <si>
    <t>ULOQ
（pmol/mL）</t>
  </si>
  <si>
    <t>化合物名称：</t>
  </si>
  <si>
    <t>化合物代码：</t>
  </si>
  <si>
    <t>标准品登记号：</t>
  </si>
  <si>
    <t>KN-RS-25-0289</t>
  </si>
  <si>
    <t>批号：</t>
  </si>
  <si>
    <t>含量：</t>
  </si>
  <si>
    <t>分子量</t>
  </si>
  <si>
    <t>保存条件：</t>
  </si>
  <si>
    <t>-15 ~ -25ºC</t>
  </si>
  <si>
    <t>有效期至：</t>
  </si>
  <si>
    <t>来源：</t>
  </si>
  <si>
    <t>MedChemExpress</t>
  </si>
  <si>
    <t xml:space="preserve">KN-RS-25-0030 </t>
  </si>
  <si>
    <t xml:space="preserve">RD021-179-S1 </t>
  </si>
  <si>
    <t>10 ~ 30ºC</t>
  </si>
  <si>
    <t>上海合利成生物医药科技有限公司</t>
  </si>
  <si>
    <t>纯度：</t>
    <phoneticPr fontId="4" type="noConversion"/>
  </si>
  <si>
    <t>KN-RS-25-0290</t>
  </si>
  <si>
    <t>Dxd-d5</t>
  </si>
  <si>
    <t>2 ~ 8ºC，密封，避光，避湿</t>
  </si>
  <si>
    <t>KN-RS-25-0156</t>
  </si>
  <si>
    <t>91.34%*</t>
    <phoneticPr fontId="14" type="noConversion"/>
  </si>
  <si>
    <r>
      <rPr>
        <sz val="10.5"/>
        <rFont val="宋体"/>
        <family val="1"/>
        <charset val="134"/>
      </rPr>
      <t>游离型含量：</t>
    </r>
    <phoneticPr fontId="14" type="noConversion"/>
  </si>
  <si>
    <t>乙酸铵</t>
  </si>
  <si>
    <t>甲醇（MeOH）</t>
  </si>
  <si>
    <t>乙腈（ACN）</t>
  </si>
  <si>
    <t>二甲亚砜（DMSO）</t>
  </si>
  <si>
    <t>异丙醇（IPA）</t>
  </si>
  <si>
    <t>甲酸（FA）</t>
  </si>
  <si>
    <t>分析纯</t>
    <phoneticPr fontId="14" type="noConversion"/>
  </si>
  <si>
    <t>上海安谱实验科技股份有限公司</t>
  </si>
  <si>
    <t>国药集团化学试剂有限公司</t>
    <phoneticPr fontId="14" type="noConversion"/>
  </si>
  <si>
    <t>BALB/c裸鼠EDTA-K2血浆</t>
    <phoneticPr fontId="14" type="noConversion"/>
  </si>
  <si>
    <t>KN-BM-24-502</t>
    <phoneticPr fontId="14" type="noConversion"/>
  </si>
  <si>
    <t>EQSH24147</t>
    <phoneticPr fontId="4" type="noConversion"/>
  </si>
  <si>
    <t>pmol/mL</t>
    <phoneticPr fontId="4" type="noConversion"/>
  </si>
  <si>
    <r>
      <rPr>
        <sz val="10.5"/>
        <rFont val="宋体"/>
        <family val="3"/>
        <charset val="134"/>
      </rPr>
      <t>试验条件：在白光冰水浴下放置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小时的短期稳定性</t>
    </r>
    <phoneticPr fontId="4" type="noConversion"/>
  </si>
  <si>
    <r>
      <rPr>
        <sz val="10.5"/>
        <rFont val="宋体"/>
        <family val="3"/>
        <charset val="134"/>
      </rPr>
      <t>样品放置结束时间：</t>
    </r>
  </si>
  <si>
    <r>
      <rPr>
        <sz val="10.5"/>
        <rFont val="宋体"/>
        <family val="3"/>
        <charset val="134"/>
      </rPr>
      <t>检测日期</t>
    </r>
    <phoneticPr fontId="4" type="noConversion"/>
  </si>
  <si>
    <r>
      <rPr>
        <sz val="10.5"/>
        <rFont val="宋体"/>
        <family val="3"/>
        <charset val="134"/>
      </rPr>
      <t>批内均值</t>
    </r>
    <phoneticPr fontId="4" type="noConversion"/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</si>
  <si>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</si>
  <si>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斜率</t>
    </r>
  </si>
  <si>
    <r>
      <rPr>
        <sz val="10.5"/>
        <rFont val="宋体"/>
        <family val="3"/>
        <charset val="134"/>
      </rPr>
      <t>截距</t>
    </r>
  </si>
  <si>
    <r>
      <t>R</t>
    </r>
    <r>
      <rPr>
        <vertAlign val="superscript"/>
        <sz val="10.5"/>
        <rFont val="Times New Roman"/>
        <family val="1"/>
      </rPr>
      <t>2</t>
    </r>
  </si>
  <si>
    <r>
      <rPr>
        <sz val="10.5"/>
        <rFont val="宋体"/>
        <family val="3"/>
        <charset val="134"/>
      </rPr>
      <t>峰面积比</t>
    </r>
    <phoneticPr fontId="4" type="noConversion"/>
  </si>
  <si>
    <r>
      <t xml:space="preserve">2.6 </t>
    </r>
    <r>
      <rPr>
        <sz val="11"/>
        <rFont val="宋体"/>
        <family val="3"/>
        <charset val="134"/>
      </rPr>
      <t>空白基质</t>
    </r>
    <phoneticPr fontId="14" type="noConversion"/>
  </si>
  <si>
    <r>
      <t xml:space="preserve">2.5 </t>
    </r>
    <r>
      <rPr>
        <sz val="10.5"/>
        <rFont val="DengXian"/>
        <family val="2"/>
      </rPr>
      <t>试剂</t>
    </r>
    <phoneticPr fontId="14" type="noConversion"/>
  </si>
  <si>
    <r>
      <rPr>
        <sz val="10.5"/>
        <rFont val="DengXian"/>
        <family val="2"/>
      </rPr>
      <t>试剂</t>
    </r>
  </si>
  <si>
    <r>
      <rPr>
        <sz val="10.5"/>
        <rFont val="DengXian"/>
        <family val="2"/>
      </rPr>
      <t>供应商</t>
    </r>
  </si>
  <si>
    <r>
      <rPr>
        <sz val="10.5"/>
        <rFont val="DengXian"/>
        <family val="2"/>
      </rPr>
      <t>级别</t>
    </r>
    <phoneticPr fontId="14" type="noConversion"/>
  </si>
  <si>
    <r>
      <rPr>
        <sz val="10.5"/>
        <rFont val="DengXian"/>
        <family val="2"/>
      </rPr>
      <t>液相色谱纯</t>
    </r>
    <phoneticPr fontId="14" type="noConversion"/>
  </si>
  <si>
    <r>
      <t>99.98%</t>
    </r>
    <r>
      <rPr>
        <sz val="12"/>
        <rFont val="宋体"/>
        <family val="3"/>
        <charset val="134"/>
      </rPr>
      <t>（纯度）</t>
    </r>
  </si>
  <si>
    <r>
      <t>2 ~ 8ºC</t>
    </r>
    <r>
      <rPr>
        <sz val="12"/>
        <rFont val="宋体"/>
        <family val="3"/>
        <charset val="134"/>
      </rPr>
      <t>，密封，避湿</t>
    </r>
  </si>
  <si>
    <r>
      <t>*</t>
    </r>
    <r>
      <rPr>
        <i/>
        <sz val="12"/>
        <rFont val="宋体"/>
        <family val="3"/>
        <charset val="134"/>
      </rPr>
      <t>游离型含量</t>
    </r>
    <r>
      <rPr>
        <i/>
        <sz val="12"/>
        <rFont val="Times New Roman"/>
        <family val="1"/>
      </rPr>
      <t xml:space="preserve"> = </t>
    </r>
    <r>
      <rPr>
        <i/>
        <sz val="12"/>
        <rFont val="宋体"/>
        <family val="3"/>
        <charset val="134"/>
      </rPr>
      <t>纯度</t>
    </r>
    <r>
      <rPr>
        <i/>
        <sz val="12"/>
        <rFont val="Times New Roman"/>
        <family val="1"/>
      </rPr>
      <t xml:space="preserve"> × </t>
    </r>
    <r>
      <rPr>
        <i/>
        <sz val="12"/>
        <rFont val="宋体"/>
        <family val="3"/>
        <charset val="134"/>
      </rPr>
      <t>游离型分子量</t>
    </r>
    <r>
      <rPr>
        <i/>
        <sz val="12"/>
        <rFont val="Times New Roman"/>
        <family val="1"/>
      </rPr>
      <t xml:space="preserve"> ÷ </t>
    </r>
    <r>
      <rPr>
        <i/>
        <sz val="12"/>
        <rFont val="宋体"/>
        <family val="3"/>
        <charset val="134"/>
      </rPr>
      <t>盐分子量</t>
    </r>
    <r>
      <rPr>
        <i/>
        <sz val="12"/>
        <rFont val="Times New Roman"/>
        <family val="1"/>
      </rPr>
      <t xml:space="preserve"> = 99.98% × 385.50 ÷ 421.96 = 91.34%</t>
    </r>
  </si>
  <si>
    <r>
      <t>TRIPLE QUADTM 6500</t>
    </r>
    <r>
      <rPr>
        <vertAlign val="superscript"/>
        <sz val="10.5"/>
        <rFont val="Times New Roman"/>
        <family val="1"/>
      </rPr>
      <t>+</t>
    </r>
    <phoneticPr fontId="4" type="noConversion"/>
  </si>
  <si>
    <r>
      <rPr>
        <sz val="10.5"/>
        <rFont val="宋体"/>
        <family val="3"/>
        <charset val="134"/>
      </rPr>
      <t>电喷雾离子化正离子模式</t>
    </r>
    <phoneticPr fontId="4" type="noConversion"/>
  </si>
  <si>
    <r>
      <rPr>
        <sz val="10.5"/>
        <rFont val="宋体"/>
        <family val="3"/>
        <charset val="134"/>
      </rPr>
      <t>型号：</t>
    </r>
    <r>
      <rPr>
        <sz val="10.5"/>
        <rFont val="Times New Roman"/>
        <family val="1"/>
      </rPr>
      <t>Shim-pack Scepter C18-120 3</t>
    </r>
    <r>
      <rPr>
        <sz val="10.5"/>
        <rFont val="Calibri"/>
        <family val="1"/>
        <charset val="161"/>
      </rPr>
      <t>μ</t>
    </r>
    <r>
      <rPr>
        <sz val="10.5"/>
        <rFont val="Times New Roman"/>
        <family val="1"/>
      </rPr>
      <t>m 2.1×50mm</t>
    </r>
    <phoneticPr fontId="4" type="noConversion"/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</si>
  <si>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A</t>
    </r>
    <r>
      <rPr>
        <sz val="10.5"/>
        <rFont val="宋体"/>
        <family val="3"/>
        <charset val="134"/>
      </rPr>
      <t>：</t>
    </r>
    <r>
      <rPr>
        <sz val="10.5"/>
        <rFont val="宋体"/>
        <family val="1"/>
        <charset val="134"/>
      </rPr>
      <t>含</t>
    </r>
    <r>
      <rPr>
        <sz val="10.5"/>
        <rFont val="Times New Roman"/>
        <family val="1"/>
      </rPr>
      <t>0.1%</t>
    </r>
    <r>
      <rPr>
        <sz val="10.5"/>
        <rFont val="宋体"/>
        <family val="1"/>
        <charset val="134"/>
      </rPr>
      <t>甲酸和</t>
    </r>
    <r>
      <rPr>
        <sz val="10.5"/>
        <rFont val="Times New Roman"/>
        <family val="1"/>
      </rPr>
      <t>2mM</t>
    </r>
    <r>
      <rPr>
        <sz val="10.5"/>
        <rFont val="宋体"/>
        <family val="1"/>
        <charset val="134"/>
      </rPr>
      <t>乙酸铵的水溶液</t>
    </r>
    <phoneticPr fontId="4" type="noConversion"/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</si>
  <si>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B</t>
    </r>
    <r>
      <rPr>
        <sz val="10.5"/>
        <rFont val="宋体"/>
        <family val="3"/>
        <charset val="134"/>
      </rPr>
      <t>：</t>
    </r>
    <r>
      <rPr>
        <sz val="10.5"/>
        <rFont val="宋体"/>
        <family val="1"/>
        <charset val="134"/>
      </rPr>
      <t>含</t>
    </r>
    <r>
      <rPr>
        <sz val="10.5"/>
        <rFont val="Times New Roman"/>
        <family val="1"/>
      </rPr>
      <t>0.1%</t>
    </r>
    <r>
      <rPr>
        <sz val="10.5"/>
        <rFont val="宋体"/>
        <family val="1"/>
        <charset val="134"/>
      </rPr>
      <t>甲酸的乙腈溶液</t>
    </r>
    <phoneticPr fontId="4" type="noConversion"/>
  </si>
  <si>
    <r>
      <rPr>
        <sz val="10.5"/>
        <rFont val="宋体"/>
        <family val="3"/>
        <charset val="134"/>
      </rPr>
      <t>流速：</t>
    </r>
    <r>
      <rPr>
        <sz val="10.5"/>
        <rFont val="Times New Roman"/>
        <family val="1"/>
      </rPr>
      <t>0.500mL/min</t>
    </r>
    <phoneticPr fontId="4" type="noConversion"/>
  </si>
  <si>
    <r>
      <t>BALB/C</t>
    </r>
    <r>
      <rPr>
        <sz val="10.5"/>
        <rFont val="宋体"/>
        <family val="1"/>
        <charset val="134"/>
      </rPr>
      <t>裸鼠血浆</t>
    </r>
    <phoneticPr fontId="4" type="noConversion"/>
  </si>
  <si>
    <r>
      <t>EDTA-K</t>
    </r>
    <r>
      <rPr>
        <vertAlign val="subscript"/>
        <sz val="10.5"/>
        <rFont val="Times New Roman"/>
        <family val="1"/>
      </rPr>
      <t>2</t>
    </r>
    <phoneticPr fontId="4" type="noConversion"/>
  </si>
  <si>
    <r>
      <rPr>
        <sz val="10.5"/>
        <rFont val="宋体"/>
        <family val="3"/>
        <charset val="134"/>
      </rPr>
      <t>用含</t>
    </r>
    <r>
      <rPr>
        <sz val="10.5"/>
        <rFont val="Times New Roman"/>
        <family val="3"/>
      </rPr>
      <t xml:space="preserve">0.1% </t>
    </r>
    <r>
      <rPr>
        <sz val="10.5"/>
        <rFont val="宋体"/>
        <family val="3"/>
        <charset val="134"/>
      </rPr>
      <t>甲酸的</t>
    </r>
    <r>
      <rPr>
        <sz val="10.5"/>
        <rFont val="Times New Roman"/>
        <family val="3"/>
      </rPr>
      <t>ACN: MeOH = 1:1, v/ v</t>
    </r>
    <r>
      <rPr>
        <sz val="10.5"/>
        <rFont val="宋体"/>
        <family val="3"/>
        <charset val="134"/>
      </rPr>
      <t>溶液进行蛋白沉淀</t>
    </r>
    <phoneticPr fontId="4" type="noConversion"/>
  </si>
  <si>
    <r>
      <t>1/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x*x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</si>
  <si>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批内准确度和精密度（除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以外的所有浓度质控）</t>
    </r>
  </si>
  <si>
    <r>
      <rPr>
        <sz val="10.5"/>
        <rFont val="宋体"/>
        <family val="3"/>
        <charset val="134"/>
      </rPr>
      <t>批内准确度和精密度（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）</t>
    </r>
  </si>
  <si>
    <t>系统适用性，标准曲线及范围，批内准确度和精密度，基质短期稳定性，残留评价</t>
    <phoneticPr fontId="4" type="noConversion"/>
  </si>
  <si>
    <t>游离Dxd</t>
  </si>
  <si>
    <t>分析批是否接受游离Dxd</t>
  </si>
  <si>
    <r>
      <t>QHL-1031 Payload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T785</t>
    </r>
    <r>
      <rPr>
        <sz val="12"/>
        <rFont val="宋体"/>
        <family val="3"/>
        <charset val="134"/>
      </rPr>
      <t>）</t>
    </r>
    <phoneticPr fontId="4" type="noConversion"/>
  </si>
  <si>
    <t>游离Dxd，游离T785（QHL-1031 Payload）</t>
  </si>
  <si>
    <t>SS25255-BA-003：LC-MS/MS方法测定BALB/c裸鼠EDTA-K2血浆样品中游离Dxd (游离Dxd)和游离T785（QHL-1031 Payload）（QHL-1031 Payload）(游离T785（QHL-1031 Payload）)的浓度</t>
  </si>
  <si>
    <t>游离Dxd：1.500~1500.000 pmol/mL；游离T785（QHL-1031 Payload）：1.500~1500.000 pmol/mL</t>
  </si>
  <si>
    <t>游离Dxd：1.500 pmol/mL；游离T785（QHL-1031 Payload）：1.500 pmol/mL</t>
  </si>
  <si>
    <t>游离Dxd：4.500 pmol/mL，45.000 pmol/mL，450.000 pmol/mL，1125.000 pmol/mL；
游离T785（QHL-1031 Payload）：4.500 pmol/mL，45.000 pmol/mL，450.000 pmol/mL，1125.000 pmol/mL；</t>
  </si>
  <si>
    <t>游离Dxd：待测物保留时间CV≤ 0.0%；内标保留时间CV≤ 0.0%；面积比CV≤ 9.1%；
游离T785（QHL-1031 Payload）：待测物保留时间CV≤ 0.6%；内标保留时间CV≤ 0.0%；面积比CV≤ 4.2%</t>
  </si>
  <si>
    <t>游离Dxd：待测物残留≤ 0.0%；游离T785（QHL-1031 Payload）：待测物残留≤ 19.1%；</t>
  </si>
  <si>
    <t>游离Dxd：-0.7 ~ 0.9；
游离T785（QHL-1031 Payload）：2.1~6.6</t>
  </si>
  <si>
    <t>游离Dxd：9.4；
游离T785（QHL-1031 Payload）：3.2</t>
  </si>
  <si>
    <t>游离Dxd：-9.4；
游离T785（QHL-1031 Payload）：-0.1</t>
  </si>
  <si>
    <t>游离Dxd：8.5；
游离T785（QHL-1031 Payload）：5.7</t>
  </si>
  <si>
    <t>游离Dxd/游离T785（QHL-1031 Payload）：白光冰水浴下至少稳定16小时</t>
  </si>
  <si>
    <t>游离T785（QHL-1031 Payload）</t>
  </si>
  <si>
    <t>分析批是否接受游离T785（QHL-1031 Payload）</t>
  </si>
  <si>
    <t>Dxd-d5</t>
    <phoneticPr fontId="14" type="noConversion"/>
  </si>
  <si>
    <t>Buspirone (hydrochloride)</t>
    <phoneticPr fontId="14" type="noConversion"/>
  </si>
  <si>
    <t>Dxd-d5，Buspirone</t>
  </si>
  <si>
    <t>游离Dxd：游离Dxd峰面积与内标Dxd-d5峰面积比；
游离T785（QHL-1031 Payload）：游离T785（QHL-1031 Payload）峰面积与内标Buspirone峰面积比</t>
  </si>
  <si>
    <t>Dxd-d5：内标残留≤ 0.0%；
Buspirone：内标残留≤ 0.0%</t>
  </si>
  <si>
    <t>Buspirone盐酸盐</t>
  </si>
  <si>
    <t>Dxd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</si>
</sst>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76" formatCode="0.0_ "/>
    <numFmt numFmtId="177" formatCode="0.000"/>
    <numFmt numFmtId="178" formatCode="0_ "/>
    <numFmt numFmtId="179" formatCode="0.000000"/>
    <numFmt numFmtId="180" formatCode="yyyy/mm/dd"/>
    <numFmt numFmtId="181" formatCode="0;_愀"/>
    <numFmt numFmtId="182" formatCode="0.0;_愀"/>
    <numFmt numFmtId="183" formatCode="0.000_ "/>
    <numFmt numFmtId="184" formatCode="yyyy/mm/dd\ hh:mm"/>
    <numFmt numFmtId="185" formatCode="0.00;[Red]0.00"/>
    <numFmt numFmtId="186" formatCode="\'\-0"/>
    <numFmt numFmtId="187" formatCode="0.0000_ "/>
    <numFmt numFmtId="188" formatCode="0.0000000"/>
    <numFmt numFmtId="189" formatCode="0.00000"/>
  </numFmts>
  <fonts count="77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9"/>
      <name val="DengXian"/>
      <family val="3"/>
      <charset val="134"/>
      <scheme val="minor"/>
    </font>
    <font>
      <sz val="11"/>
      <color theme="1"/>
      <name val="DengXian"/>
      <family val="2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0"/>
      <name val="宋体"/>
      <family val="3"/>
      <charset val="134"/>
    </font>
    <font>
      <sz val="10.5"/>
      <name val="Times New Roman"/>
      <family val="3"/>
    </font>
    <font>
      <sz val="10.5"/>
      <name val="宋体"/>
      <family val="1"/>
      <charset val="134"/>
    </font>
    <font>
      <sz val="11"/>
      <color rgb="FF9C0006"/>
      <name val="DengXian"/>
      <family val="3"/>
      <charset val="134"/>
      <scheme val="minor"/>
    </font>
    <font>
      <sz val="11"/>
      <color rgb="FF006100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sz val="11"/>
      <color theme="0"/>
      <name val="DengXian"/>
      <family val="3"/>
      <charset val="134"/>
      <scheme val="minor"/>
    </font>
    <font>
      <sz val="12"/>
      <color rgb="FF9C0006"/>
      <name val="DengXian"/>
      <family val="3"/>
      <charset val="134"/>
      <scheme val="minor"/>
    </font>
    <font>
      <sz val="11"/>
      <color indexed="8"/>
      <name val="宋体"/>
      <family val="3"/>
      <charset val="134"/>
    </font>
    <font>
      <vertAlign val="superscript"/>
      <sz val="10.5"/>
      <name val="Times New Roman"/>
      <family val="1"/>
    </font>
    <font>
      <sz val="10.5"/>
      <name val="DengXian"/>
      <family val="3"/>
      <charset val="134"/>
      <scheme val="minor"/>
    </font>
    <font>
      <sz val="10.5"/>
      <name val="DengXian"/>
      <family val="2"/>
    </font>
    <font>
      <sz val="12"/>
      <name val="Times New Roman"/>
      <family val="1"/>
    </font>
    <font>
      <sz val="11"/>
      <name val="宋体"/>
      <family val="3"/>
      <charset val="134"/>
    </font>
    <font>
      <sz val="11"/>
      <name val="DengXian"/>
      <family val="2"/>
      <scheme val="minor"/>
    </font>
    <font>
      <i/>
      <sz val="12"/>
      <name val="Times New Roman"/>
      <family val="1"/>
    </font>
    <font>
      <i/>
      <sz val="12"/>
      <name val="宋体"/>
      <family val="3"/>
      <charset val="134"/>
    </font>
    <font>
      <sz val="10.5"/>
      <name val="Calibri"/>
      <family val="1"/>
      <charset val="161"/>
    </font>
    <font>
      <vertAlign val="subscript"/>
      <sz val="10.5"/>
      <name val="Times New Roman"/>
      <family val="1"/>
    </font>
    <font>
      <sz val="11"/>
      <color theme="1"/>
      <name val="DengXian"/>
      <charset val="134"/>
    </font>
    <font>
      <sz val="11"/>
      <color theme="0"/>
      <name val="DengXian"/>
      <charset val="134"/>
    </font>
    <font>
      <sz val="12"/>
      <color rgb="FF9C0006"/>
      <name val="DengXian"/>
      <charset val="134"/>
    </font>
    <font>
      <sz val="11"/>
      <color rgb="FF006100"/>
      <name val="DengXian"/>
      <charset val="134"/>
    </font>
    <font>
      <sz val="11"/>
      <color rgb="FF9C0006"/>
      <name val="DengXian"/>
      <charset val="134"/>
    </font>
    <font>
      <b/>
      <sz val="11"/>
      <color rgb="FFFA7D00"/>
      <name val="DengXian"/>
      <charset val="134"/>
    </font>
    <font>
      <b/>
      <sz val="11"/>
      <color theme="0"/>
      <name val="DengXian"/>
      <charset val="134"/>
    </font>
    <font>
      <i/>
      <sz val="11"/>
      <color rgb="FF7F7F7F"/>
      <name val="DengXian"/>
      <charset val="134"/>
    </font>
    <font>
      <b/>
      <sz val="15"/>
      <color theme="3"/>
      <name val="DengXian"/>
      <charset val="134"/>
    </font>
    <font>
      <b/>
      <sz val="13"/>
      <color theme="3"/>
      <name val="DengXian"/>
      <charset val="134"/>
    </font>
    <font>
      <b/>
      <sz val="11"/>
      <color theme="3"/>
      <name val="DengXian"/>
      <charset val="134"/>
    </font>
    <font>
      <sz val="11"/>
      <color rgb="FF3F3F76"/>
      <name val="DengXian"/>
      <charset val="134"/>
    </font>
    <font>
      <sz val="11"/>
      <color rgb="FFFA7D00"/>
      <name val="DengXian"/>
      <charset val="134"/>
    </font>
    <font>
      <sz val="11"/>
      <color rgb="FF9C6500"/>
      <name val="DengXian"/>
      <charset val="134"/>
    </font>
    <font>
      <b/>
      <sz val="11"/>
      <color rgb="FF3F3F3F"/>
      <name val="DengXian"/>
      <charset val="134"/>
    </font>
    <font>
      <b/>
      <sz val="18"/>
      <color theme="3"/>
      <name val="DengXian Light"/>
      <family val="1"/>
    </font>
    <font>
      <b/>
      <sz val="11"/>
      <color theme="1"/>
      <name val="DengXian"/>
      <charset val="134"/>
    </font>
    <font>
      <sz val="11"/>
      <color rgb="FFFF0000"/>
      <name val="DengXian"/>
      <charset val="134"/>
    </font>
    <font>
      <sz val="11"/>
      <name val="DengXian"/>
      <charset val="134"/>
      <scheme val="minor"/>
    </font>
    <font>
      <sz val="10.5"/>
      <name val="DengXian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5">
    <xf numFmtId="0" fontId="0" fillId="0" borderId="0"/>
    <xf numFmtId="0" fontId="7" fillId="2" borderId="0" applyNumberFormat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12" fillId="0" borderId="0"/>
    <xf numFmtId="0" fontId="3" fillId="0" borderId="0"/>
    <xf numFmtId="0" fontId="16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8" fillId="2" borderId="0" applyNumberFormat="0" applyBorder="0" applyAlignment="0" applyProtection="0"/>
    <xf numFmtId="0" fontId="16" fillId="0" borderId="0"/>
    <xf numFmtId="0" fontId="12" fillId="0" borderId="0"/>
    <xf numFmtId="0" fontId="19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5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6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1" fillId="7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4" borderId="0" applyNumberFormat="0" applyBorder="0" applyAlignment="0" applyProtection="0"/>
    <xf numFmtId="0" fontId="21" fillId="8" borderId="0" applyNumberFormat="0" applyBorder="0" applyAlignment="0" applyProtection="0"/>
    <xf numFmtId="0" fontId="21" fillId="12" borderId="0" applyNumberFormat="0" applyBorder="0" applyAlignment="0" applyProtection="0"/>
    <xf numFmtId="0" fontId="21" fillId="16" borderId="0" applyNumberFormat="0" applyBorder="0" applyAlignment="0" applyProtection="0"/>
    <xf numFmtId="0" fontId="21" fillId="20" borderId="0" applyNumberFormat="0" applyBorder="0" applyAlignment="0" applyProtection="0"/>
    <xf numFmtId="0" fontId="21" fillId="24" borderId="0" applyNumberFormat="0" applyBorder="0" applyAlignment="0" applyProtection="0"/>
    <xf numFmtId="0" fontId="22" fillId="2" borderId="0" applyNumberFormat="0" applyBorder="0" applyAlignment="0" applyProtection="0"/>
    <xf numFmtId="0" fontId="23" fillId="30" borderId="16" applyNumberFormat="0" applyAlignment="0" applyProtection="0"/>
    <xf numFmtId="0" fontId="24" fillId="31" borderId="19" applyNumberFormat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0" borderId="13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0" applyNumberFormat="0" applyFill="0" applyBorder="0" applyAlignment="0" applyProtection="0"/>
    <xf numFmtId="0" fontId="30" fillId="29" borderId="16" applyNumberFormat="0" applyAlignment="0" applyProtection="0"/>
    <xf numFmtId="0" fontId="31" fillId="0" borderId="18" applyNumberFormat="0" applyFill="0" applyAlignment="0" applyProtection="0"/>
    <xf numFmtId="0" fontId="32" fillId="28" borderId="0" applyNumberFormat="0" applyBorder="0" applyAlignment="0" applyProtection="0"/>
    <xf numFmtId="0" fontId="20" fillId="32" borderId="20" applyNumberFormat="0" applyFont="0" applyAlignment="0" applyProtection="0"/>
    <xf numFmtId="0" fontId="33" fillId="30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>
      <alignment vertical="center"/>
    </xf>
    <xf numFmtId="0" fontId="18" fillId="2" borderId="0" applyNumberFormat="0" applyBorder="0" applyAlignment="0" applyProtection="0"/>
    <xf numFmtId="9" fontId="16" fillId="0" borderId="0" applyFont="0" applyFill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6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4" borderId="0" applyNumberFormat="0" applyBorder="0" applyAlignment="0" applyProtection="0"/>
    <xf numFmtId="0" fontId="17" fillId="8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9" fillId="3" borderId="0" applyNumberFormat="0" applyBorder="0" applyAlignment="0" applyProtection="0"/>
    <xf numFmtId="0" fontId="16" fillId="32" borderId="20" applyNumberFormat="0" applyFont="0" applyAlignment="0" applyProtection="0"/>
    <xf numFmtId="0" fontId="16" fillId="0" borderId="0"/>
    <xf numFmtId="9" fontId="12" fillId="0" borderId="0" applyFont="0" applyFill="0" applyBorder="0" applyAlignment="0" applyProtection="0"/>
    <xf numFmtId="0" fontId="41" fillId="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43" fillId="0" borderId="0"/>
    <xf numFmtId="0" fontId="1" fillId="0" borderId="0">
      <alignment vertical="center"/>
    </xf>
    <xf numFmtId="0" fontId="3" fillId="0" borderId="0"/>
    <xf numFmtId="0" fontId="8" fillId="2" borderId="0" applyNumberFormat="0" applyBorder="0" applyAlignment="0" applyProtection="0"/>
    <xf numFmtId="0" fontId="43" fillId="5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" borderId="0" applyNumberFormat="0" applyBorder="0" applyAlignment="0" applyProtection="0"/>
    <xf numFmtId="0" fontId="42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" borderId="0" applyNumberFormat="0" applyBorder="0" applyAlignment="0" applyProtection="0"/>
    <xf numFmtId="0" fontId="42" fillId="3" borderId="0" applyNumberFormat="0" applyBorder="0" applyAlignment="0" applyProtection="0">
      <alignment vertical="center"/>
    </xf>
    <xf numFmtId="0" fontId="45" fillId="2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9" fillId="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46" fillId="0" borderId="0">
      <alignment vertical="center"/>
    </xf>
    <xf numFmtId="0" fontId="1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46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0" borderId="0"/>
    <xf numFmtId="0" fontId="43" fillId="5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0" borderId="0">
      <alignment vertical="center"/>
    </xf>
    <xf numFmtId="0" fontId="44" fillId="4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" borderId="0" applyNumberFormat="0" applyBorder="0" applyAlignment="0" applyProtection="0"/>
    <xf numFmtId="0" fontId="42" fillId="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" borderId="0" applyNumberFormat="0" applyBorder="0" applyAlignment="0" applyProtection="0"/>
    <xf numFmtId="0" fontId="42" fillId="3" borderId="0" applyNumberFormat="0" applyBorder="0" applyAlignment="0" applyProtection="0">
      <alignment vertical="center"/>
    </xf>
    <xf numFmtId="0" fontId="45" fillId="2" borderId="0" applyNumberFormat="0" applyBorder="0" applyAlignment="0" applyProtection="0"/>
    <xf numFmtId="0" fontId="1" fillId="0" borderId="0">
      <alignment vertical="center"/>
    </xf>
    <xf numFmtId="0" fontId="8" fillId="2" borderId="0" applyNumberFormat="0" applyBorder="0" applyAlignment="0" applyProtection="0"/>
    <xf numFmtId="0" fontId="16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/>
    <xf numFmtId="0" fontId="19" fillId="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/>
    <xf numFmtId="0" fontId="1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/>
    <xf numFmtId="0" fontId="43" fillId="5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22" fillId="2" borderId="0" applyNumberFormat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43" fontId="16" fillId="0" borderId="0" applyFont="0" applyFill="0" applyBorder="0" applyAlignment="0" applyProtection="0">
      <alignment vertical="center"/>
    </xf>
    <xf numFmtId="0" fontId="57" fillId="0" borderId="0"/>
    <xf numFmtId="0" fontId="57" fillId="5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60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5" borderId="0" applyNumberFormat="0" applyBorder="0" applyAlignment="0" applyProtection="0"/>
    <xf numFmtId="0" fontId="57" fillId="9" borderId="0" applyNumberFormat="0" applyBorder="0" applyAlignment="0" applyProtection="0"/>
    <xf numFmtId="0" fontId="57" fillId="13" borderId="0" applyNumberFormat="0" applyBorder="0" applyAlignment="0" applyProtection="0"/>
    <xf numFmtId="0" fontId="57" fillId="17" borderId="0" applyNumberFormat="0" applyBorder="0" applyAlignment="0" applyProtection="0"/>
    <xf numFmtId="0" fontId="57" fillId="21" borderId="0" applyNumberFormat="0" applyBorder="0" applyAlignment="0" applyProtection="0"/>
    <xf numFmtId="0" fontId="57" fillId="25" borderId="0" applyNumberFormat="0" applyBorder="0" applyAlignment="0" applyProtection="0"/>
    <xf numFmtId="0" fontId="57" fillId="6" borderId="0" applyNumberFormat="0" applyBorder="0" applyAlignment="0" applyProtection="0"/>
    <xf numFmtId="0" fontId="57" fillId="10" borderId="0" applyNumberFormat="0" applyBorder="0" applyAlignment="0" applyProtection="0"/>
    <xf numFmtId="0" fontId="57" fillId="14" borderId="0" applyNumberFormat="0" applyBorder="0" applyAlignment="0" applyProtection="0"/>
    <xf numFmtId="0" fontId="57" fillId="18" borderId="0" applyNumberFormat="0" applyBorder="0" applyAlignment="0" applyProtection="0"/>
    <xf numFmtId="0" fontId="57" fillId="22" borderId="0" applyNumberFormat="0" applyBorder="0" applyAlignment="0" applyProtection="0"/>
    <xf numFmtId="0" fontId="57" fillId="26" borderId="0" applyNumberFormat="0" applyBorder="0" applyAlignment="0" applyProtection="0"/>
    <xf numFmtId="0" fontId="58" fillId="7" borderId="0" applyNumberFormat="0" applyBorder="0" applyAlignment="0" applyProtection="0"/>
    <xf numFmtId="0" fontId="58" fillId="11" borderId="0" applyNumberFormat="0" applyBorder="0" applyAlignment="0" applyProtection="0"/>
    <xf numFmtId="0" fontId="58" fillId="15" borderId="0" applyNumberFormat="0" applyBorder="0" applyAlignment="0" applyProtection="0"/>
    <xf numFmtId="0" fontId="58" fillId="19" borderId="0" applyNumberFormat="0" applyBorder="0" applyAlignment="0" applyProtection="0"/>
    <xf numFmtId="0" fontId="58" fillId="23" borderId="0" applyNumberFormat="0" applyBorder="0" applyAlignment="0" applyProtection="0"/>
    <xf numFmtId="0" fontId="58" fillId="27" borderId="0" applyNumberFormat="0" applyBorder="0" applyAlignment="0" applyProtection="0"/>
    <xf numFmtId="0" fontId="58" fillId="4" borderId="0" applyNumberFormat="0" applyBorder="0" applyAlignment="0" applyProtection="0"/>
    <xf numFmtId="0" fontId="58" fillId="8" borderId="0" applyNumberFormat="0" applyBorder="0" applyAlignment="0" applyProtection="0"/>
    <xf numFmtId="0" fontId="58" fillId="12" borderId="0" applyNumberFormat="0" applyBorder="0" applyAlignment="0" applyProtection="0"/>
    <xf numFmtId="0" fontId="58" fillId="16" borderId="0" applyNumberFormat="0" applyBorder="0" applyAlignment="0" applyProtection="0"/>
    <xf numFmtId="0" fontId="58" fillId="20" borderId="0" applyNumberFormat="0" applyBorder="0" applyAlignment="0" applyProtection="0"/>
    <xf numFmtId="0" fontId="58" fillId="24" borderId="0" applyNumberFormat="0" applyBorder="0" applyAlignment="0" applyProtection="0"/>
    <xf numFmtId="0" fontId="61" fillId="2" borderId="0" applyNumberFormat="0" applyBorder="0" applyAlignment="0" applyProtection="0"/>
    <xf numFmtId="0" fontId="62" fillId="30" borderId="16" applyNumberFormat="0" applyAlignment="0" applyProtection="0"/>
    <xf numFmtId="0" fontId="63" fillId="31" borderId="19" applyNumberFormat="0" applyAlignment="0" applyProtection="0"/>
    <xf numFmtId="0" fontId="64" fillId="0" borderId="0" applyNumberFormat="0" applyFill="0" applyBorder="0" applyAlignment="0" applyProtection="0"/>
    <xf numFmtId="0" fontId="60" fillId="3" borderId="0" applyNumberFormat="0" applyBorder="0" applyAlignment="0" applyProtection="0"/>
    <xf numFmtId="0" fontId="65" fillId="0" borderId="13" applyNumberFormat="0" applyFill="0" applyAlignment="0" applyProtection="0"/>
    <xf numFmtId="0" fontId="66" fillId="0" borderId="14" applyNumberFormat="0" applyFill="0" applyAlignment="0" applyProtection="0"/>
    <xf numFmtId="0" fontId="67" fillId="0" borderId="15" applyNumberFormat="0" applyFill="0" applyAlignment="0" applyProtection="0"/>
    <xf numFmtId="0" fontId="67" fillId="0" borderId="0" applyNumberFormat="0" applyFill="0" applyBorder="0" applyAlignment="0" applyProtection="0"/>
    <xf numFmtId="0" fontId="68" fillId="29" borderId="16" applyNumberFormat="0" applyAlignment="0" applyProtection="0"/>
    <xf numFmtId="0" fontId="69" fillId="0" borderId="18" applyNumberFormat="0" applyFill="0" applyAlignment="0" applyProtection="0"/>
    <xf numFmtId="0" fontId="70" fillId="28" borderId="0" applyNumberFormat="0" applyBorder="0" applyAlignment="0" applyProtection="0"/>
    <xf numFmtId="0" fontId="57" fillId="32" borderId="20" applyNumberFormat="0" applyFont="0" applyAlignment="0" applyProtection="0"/>
    <xf numFmtId="0" fontId="71" fillId="30" borderId="17" applyNumberFormat="0" applyAlignment="0" applyProtection="0"/>
    <xf numFmtId="0" fontId="72" fillId="0" borderId="0" applyNumberFormat="0" applyFill="0" applyBorder="0" applyAlignment="0" applyProtection="0"/>
    <xf numFmtId="0" fontId="73" fillId="0" borderId="21" applyNumberFormat="0" applyFill="0" applyAlignment="0" applyProtection="0"/>
    <xf numFmtId="0" fontId="74" fillId="0" borderId="0" applyNumberFormat="0" applyFill="0" applyBorder="0" applyAlignment="0" applyProtection="0"/>
    <xf numFmtId="0" fontId="59" fillId="2" borderId="0" applyNumberFormat="0" applyBorder="0" applyAlignment="0" applyProtection="0"/>
    <xf numFmtId="0" fontId="60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30" borderId="16" applyNumberFormat="0" applyAlignment="0" applyProtection="0"/>
    <xf numFmtId="0" fontId="24" fillId="31" borderId="19" applyNumberFormat="0" applyAlignment="0" applyProtection="0"/>
    <xf numFmtId="0" fontId="25" fillId="0" borderId="0" applyNumberFormat="0" applyFill="0" applyBorder="0" applyAlignment="0" applyProtection="0"/>
    <xf numFmtId="0" fontId="27" fillId="0" borderId="13" applyNumberFormat="0" applyFill="0" applyAlignment="0" applyProtection="0"/>
    <xf numFmtId="0" fontId="28" fillId="0" borderId="14" applyNumberFormat="0" applyFill="0" applyAlignment="0" applyProtection="0"/>
    <xf numFmtId="0" fontId="29" fillId="0" borderId="15" applyNumberFormat="0" applyFill="0" applyAlignment="0" applyProtection="0"/>
    <xf numFmtId="0" fontId="29" fillId="0" borderId="0" applyNumberFormat="0" applyFill="0" applyBorder="0" applyAlignment="0" applyProtection="0"/>
    <xf numFmtId="0" fontId="30" fillId="29" borderId="16" applyNumberFormat="0" applyAlignment="0" applyProtection="0"/>
    <xf numFmtId="0" fontId="31" fillId="0" borderId="18" applyNumberFormat="0" applyFill="0" applyAlignment="0" applyProtection="0"/>
    <xf numFmtId="0" fontId="32" fillId="28" borderId="0" applyNumberFormat="0" applyBorder="0" applyAlignment="0" applyProtection="0"/>
    <xf numFmtId="0" fontId="33" fillId="30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22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6" fillId="0" borderId="0"/>
    <xf numFmtId="0" fontId="16" fillId="5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5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6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22" fillId="2" borderId="0" applyNumberFormat="0" applyBorder="0" applyAlignment="0" applyProtection="0"/>
    <xf numFmtId="0" fontId="16" fillId="32" borderId="20" applyNumberFormat="0" applyFont="0" applyAlignment="0" applyProtection="0"/>
    <xf numFmtId="0" fontId="16" fillId="5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6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2" borderId="20" applyNumberFormat="0" applyFont="0" applyAlignment="0" applyProtection="0"/>
    <xf numFmtId="9" fontId="16" fillId="0" borderId="0" applyFont="0" applyFill="0" applyBorder="0" applyAlignment="0" applyProtection="0">
      <alignment vertical="center"/>
    </xf>
  </cellStyleXfs>
  <cellXfs count="124">
    <xf numFmtId="0" fontId="0" fillId="0" borderId="0" xfId="0"/>
    <xf numFmtId="0" fontId="10" fillId="0" borderId="0" xfId="0" applyFont="1"/>
    <xf numFmtId="0" fontId="9" fillId="0" borderId="0" xfId="0" applyFont="1"/>
    <xf numFmtId="0" fontId="11" fillId="0" borderId="0" xfId="0" applyFont="1"/>
    <xf numFmtId="0" fontId="11" fillId="0" borderId="1" xfId="0" applyFont="1" applyBorder="1" applyAlignment="1">
      <alignment horizontal="justify" wrapText="1"/>
    </xf>
    <xf numFmtId="0" fontId="11" fillId="0" borderId="0" xfId="0" applyFont="1" applyAlignment="1">
      <alignment horizontal="right"/>
    </xf>
    <xf numFmtId="18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185" fontId="11" fillId="0" borderId="0" xfId="0" applyNumberFormat="1" applyFont="1" applyAlignment="1">
      <alignment horizontal="left" vertical="center"/>
    </xf>
    <xf numFmtId="177" fontId="11" fillId="0" borderId="2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80" fontId="11" fillId="0" borderId="1" xfId="0" applyNumberFormat="1" applyFont="1" applyBorder="1" applyAlignment="1">
      <alignment horizontal="center" vertical="center"/>
    </xf>
    <xf numFmtId="183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82" fontId="11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justify"/>
    </xf>
    <xf numFmtId="0" fontId="11" fillId="0" borderId="1" xfId="0" applyFont="1" applyBorder="1"/>
    <xf numFmtId="0" fontId="6" fillId="0" borderId="1" xfId="0" applyFont="1" applyBorder="1" applyAlignment="1">
      <alignment horizontal="center" vertical="center"/>
    </xf>
    <xf numFmtId="0" fontId="13" fillId="0" borderId="0" xfId="0" applyFont="1"/>
    <xf numFmtId="14" fontId="11" fillId="0" borderId="0" xfId="0" applyNumberFormat="1" applyFont="1"/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180" fontId="6" fillId="0" borderId="1" xfId="0" applyNumberFormat="1" applyFont="1" applyBorder="1" applyAlignment="1">
      <alignment horizontal="justify" vertical="center" wrapText="1"/>
    </xf>
    <xf numFmtId="0" fontId="5" fillId="0" borderId="1" xfId="0" applyFont="1" applyBorder="1" applyAlignment="1">
      <alignment horizontal="left" vertical="top" wrapText="1"/>
    </xf>
    <xf numFmtId="0" fontId="11" fillId="0" borderId="5" xfId="0" applyFont="1" applyBorder="1"/>
    <xf numFmtId="0" fontId="11" fillId="0" borderId="0" xfId="0" applyFont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183" fontId="11" fillId="0" borderId="2" xfId="0" applyNumberFormat="1" applyFont="1" applyBorder="1" applyAlignment="1" applyProtection="1">
      <alignment horizontal="center" vertical="center" wrapText="1"/>
      <protection locked="0"/>
    </xf>
    <xf numFmtId="183" fontId="11" fillId="0" borderId="2" xfId="0" applyNumberFormat="1" applyFont="1" applyBorder="1" applyAlignment="1">
      <alignment horizontal="center" vertical="center" wrapText="1"/>
    </xf>
    <xf numFmtId="183" fontId="11" fillId="0" borderId="0" xfId="0" applyNumberFormat="1" applyFont="1" applyAlignment="1">
      <alignment horizontal="center" vertical="center"/>
    </xf>
    <xf numFmtId="189" fontId="11" fillId="0" borderId="1" xfId="0" applyNumberFormat="1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187" fontId="11" fillId="0" borderId="1" xfId="0" applyNumberFormat="1" applyFont="1" applyBorder="1" applyAlignment="1">
      <alignment horizontal="center" vertical="center"/>
    </xf>
    <xf numFmtId="0" fontId="37" fillId="0" borderId="0" xfId="0" applyFont="1"/>
    <xf numFmtId="188" fontId="11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48" fillId="0" borderId="1" xfId="145" applyFont="1" applyBorder="1" applyAlignment="1" applyProtection="1">
      <alignment horizontal="center" vertical="center"/>
      <protection locked="0"/>
    </xf>
    <xf numFmtId="178" fontId="48" fillId="0" borderId="1" xfId="145" applyNumberFormat="1" applyFont="1" applyBorder="1" applyAlignment="1" applyProtection="1">
      <alignment horizontal="center" vertical="center"/>
      <protection locked="0"/>
    </xf>
    <xf numFmtId="176" fontId="48" fillId="0" borderId="1" xfId="145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80" fontId="11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80" fontId="50" fillId="0" borderId="1" xfId="0" applyNumberFormat="1" applyFont="1" applyBorder="1" applyAlignment="1">
      <alignment horizontal="center" vertical="center" wrapText="1"/>
    </xf>
    <xf numFmtId="186" fontId="12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0" fontId="52" fillId="0" borderId="0" xfId="0" applyFont="1"/>
    <xf numFmtId="0" fontId="11" fillId="0" borderId="1" xfId="0" applyFont="1" applyBorder="1" applyAlignment="1">
      <alignment horizontal="left" wrapText="1"/>
    </xf>
    <xf numFmtId="0" fontId="40" fillId="0" borderId="1" xfId="0" applyFont="1" applyBorder="1"/>
    <xf numFmtId="10" fontId="11" fillId="0" borderId="1" xfId="0" applyNumberFormat="1" applyFont="1" applyBorder="1" applyAlignment="1">
      <alignment horizontal="justify" wrapText="1"/>
    </xf>
    <xf numFmtId="180" fontId="11" fillId="0" borderId="1" xfId="0" applyNumberFormat="1" applyFont="1" applyBorder="1" applyAlignment="1">
      <alignment horizontal="justify" wrapText="1"/>
    </xf>
    <xf numFmtId="0" fontId="53" fillId="0" borderId="0" xfId="0" applyFont="1" applyAlignment="1">
      <alignment horizontal="left" vertical="center" indent="2"/>
    </xf>
    <xf numFmtId="10" fontId="11" fillId="0" borderId="1" xfId="79" applyNumberFormat="1" applyFont="1" applyFill="1" applyBorder="1" applyAlignment="1">
      <alignment horizontal="justify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" xfId="26" applyFont="1" applyBorder="1" applyAlignment="1">
      <alignment horizontal="justify"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wrapText="1"/>
    </xf>
    <xf numFmtId="178" fontId="11" fillId="0" borderId="1" xfId="0" applyNumberFormat="1" applyFont="1" applyBorder="1" applyAlignment="1" applyProtection="1">
      <alignment horizontal="center" vertical="center"/>
      <protection locked="0"/>
    </xf>
    <xf numFmtId="183" fontId="11" fillId="0" borderId="1" xfId="0" applyNumberFormat="1" applyFont="1" applyBorder="1" applyAlignment="1" applyProtection="1">
      <alignment horizontal="center" vertical="center"/>
      <protection locked="0"/>
    </xf>
    <xf numFmtId="178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83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40" fillId="0" borderId="4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0" fontId="37" fillId="0" borderId="4" xfId="0" applyFont="1" applyBorder="1" applyAlignment="1">
      <alignment horizontal="left" vertical="center" wrapText="1"/>
    </xf>
    <xf numFmtId="0" fontId="7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 wrapText="1"/>
    </xf>
    <xf numFmtId="0" fontId="76" fillId="0" borderId="6" xfId="0" applyFont="1" applyBorder="1" applyAlignment="1">
      <alignment horizontal="left" vertical="center" wrapText="1"/>
    </xf>
    <xf numFmtId="0" fontId="76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81" fontId="11" fillId="0" borderId="2" xfId="0" applyNumberFormat="1" applyFont="1" applyBorder="1" applyAlignment="1">
      <alignment horizontal="center" vertical="center" wrapText="1"/>
    </xf>
    <xf numFmtId="181" fontId="11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80" fontId="11" fillId="0" borderId="2" xfId="0" applyNumberFormat="1" applyFont="1" applyBorder="1" applyAlignment="1">
      <alignment horizontal="center" vertical="center"/>
    </xf>
    <xf numFmtId="180" fontId="11" fillId="0" borderId="3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9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180" fontId="11" fillId="0" borderId="1" xfId="0" applyNumberFormat="1" applyFont="1" applyBorder="1" applyAlignment="1" applyProtection="1">
      <alignment horizontal="center" vertical="center"/>
      <protection locked="0"/>
    </xf>
    <xf numFmtId="176" fontId="11" fillId="0" borderId="10" xfId="0" applyNumberFormat="1" applyFont="1" applyBorder="1" applyAlignment="1">
      <alignment horizontal="center" vertical="center" wrapText="1"/>
    </xf>
    <xf numFmtId="176" fontId="11" fillId="0" borderId="11" xfId="0" applyNumberFormat="1" applyFont="1" applyBorder="1" applyAlignment="1">
      <alignment horizontal="center" vertical="center" wrapText="1"/>
    </xf>
    <xf numFmtId="176" fontId="11" fillId="0" borderId="12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80" fontId="11" fillId="0" borderId="1" xfId="0" applyNumberFormat="1" applyFont="1" applyBorder="1" applyAlignment="1">
      <alignment horizontal="center" vertical="center"/>
    </xf>
    <xf numFmtId="0" fontId="37" fillId="0" borderId="7" xfId="0" applyFont="1" applyBorder="1" applyAlignment="1">
      <alignment horizontal="left"/>
    </xf>
  </cellXfs>
  <cellStyles count="435">
    <cellStyle name="20% - Accent1" xfId="35" xr:uid="{00000000-0005-0000-0000-000000000000}"/>
    <cellStyle name="20% - Accent1 2" xfId="80" xr:uid="{A4C95750-8236-47D2-82DA-8B522E624DBC}"/>
    <cellStyle name="20% - Accent1 2 2" xfId="421" xr:uid="{9834EF13-F311-4969-80A2-3C3DAC59FF82}"/>
    <cellStyle name="20% - Accent1 3" xfId="407" xr:uid="{C01FC077-28FD-4D03-AC14-46FCAB55A4E8}"/>
    <cellStyle name="20% - Accent1 4" xfId="333" xr:uid="{F3FA4589-4052-4DA6-A9EB-52082D5A9DBF}"/>
    <cellStyle name="20% - Accent2" xfId="36" xr:uid="{00000000-0005-0000-0000-000001000000}"/>
    <cellStyle name="20% - Accent2 2" xfId="81" xr:uid="{201C3C76-2428-484F-A969-89A1C81919B6}"/>
    <cellStyle name="20% - Accent2 2 2" xfId="422" xr:uid="{E61247D8-52B7-402E-9971-F1E16659D975}"/>
    <cellStyle name="20% - Accent2 3" xfId="408" xr:uid="{5CF35AAC-77A9-43AD-A488-78D420B431E5}"/>
    <cellStyle name="20% - Accent2 4" xfId="334" xr:uid="{51C50B51-6333-4FE9-8A4C-1CA0DDB76F91}"/>
    <cellStyle name="20% - Accent3" xfId="37" xr:uid="{00000000-0005-0000-0000-000002000000}"/>
    <cellStyle name="20% - Accent3 2" xfId="82" xr:uid="{C759FD5A-576B-4DEE-BE2B-3A3D3DCD68F3}"/>
    <cellStyle name="20% - Accent3 2 2" xfId="423" xr:uid="{EB27E623-99CB-4B26-AA6E-066ACF52A73E}"/>
    <cellStyle name="20% - Accent3 3" xfId="409" xr:uid="{20CD320C-1FFF-4786-8C1D-2535D3B7FAD9}"/>
    <cellStyle name="20% - Accent3 4" xfId="335" xr:uid="{8E036FAC-30C3-480A-A72B-6E4B0085C185}"/>
    <cellStyle name="20% - Accent4" xfId="38" xr:uid="{00000000-0005-0000-0000-000003000000}"/>
    <cellStyle name="20% - Accent4 2" xfId="83" xr:uid="{7EAE5F1C-DB2F-4729-B128-337D4697385F}"/>
    <cellStyle name="20% - Accent4 2 2" xfId="424" xr:uid="{486220A5-2A5C-4764-8642-8F85AB017026}"/>
    <cellStyle name="20% - Accent4 3" xfId="410" xr:uid="{EF570B40-0EE3-426F-8929-A32D864255AF}"/>
    <cellStyle name="20% - Accent4 4" xfId="336" xr:uid="{4DC22F8B-9A04-4CFA-9DEE-E249538E20E7}"/>
    <cellStyle name="20% - Accent5" xfId="39" xr:uid="{00000000-0005-0000-0000-000004000000}"/>
    <cellStyle name="20% - Accent5 2" xfId="84" xr:uid="{A397471A-4CA9-4DB7-AB21-2001F9558C01}"/>
    <cellStyle name="20% - Accent5 2 2" xfId="425" xr:uid="{6BECEA3D-1A0D-47A4-B913-B22FC5EE2687}"/>
    <cellStyle name="20% - Accent5 3" xfId="411" xr:uid="{25446F2A-EEEF-44E6-921B-FC70BFB3A03C}"/>
    <cellStyle name="20% - Accent5 4" xfId="337" xr:uid="{751502BA-32C9-4C90-AA76-BEC5080F7ABE}"/>
    <cellStyle name="20% - Accent6" xfId="40" xr:uid="{00000000-0005-0000-0000-000005000000}"/>
    <cellStyle name="20% - Accent6 2" xfId="85" xr:uid="{2770CCA0-1E8A-4DBF-B483-D2C72097E372}"/>
    <cellStyle name="20% - Accent6 2 2" xfId="426" xr:uid="{54FC7104-F2D6-44AA-95F5-D53B7358296A}"/>
    <cellStyle name="20% - Accent6 3" xfId="412" xr:uid="{890B8496-706A-4C41-830A-7744C0E3E876}"/>
    <cellStyle name="20% - Accent6 4" xfId="338" xr:uid="{FDE28365-0D75-4CCC-8C87-8564894725E8}"/>
    <cellStyle name="20% - 强调文字颜色 1" xfId="7" xr:uid="{00000000-0005-0000-0000-000006000000}"/>
    <cellStyle name="20% - 强调文字颜色 1 2" xfId="171" xr:uid="{20216A17-C034-4542-A640-F882055CF216}"/>
    <cellStyle name="20% - 强调文字颜色 1 2 2" xfId="243" xr:uid="{6EF83E17-117E-463E-8F10-6337B2C8BE6E}"/>
    <cellStyle name="20% - 强调文字颜色 1 3" xfId="212" xr:uid="{8D27546B-D25F-4540-9184-5D8B037FC856}"/>
    <cellStyle name="20% - 强调文字颜色 1 3 2" xfId="395" xr:uid="{5874A210-A4A5-4395-8C95-979702BCF8DF}"/>
    <cellStyle name="20% - 强调文字颜色 1 4" xfId="116" xr:uid="{BBC010DF-2360-493F-9341-8C46F922C982}"/>
    <cellStyle name="20% - 强调文字颜色 1 5" xfId="307" xr:uid="{3D5CB626-86E7-4E42-80AC-7C8B4E66393A}"/>
    <cellStyle name="20% - 强调文字颜色 2" xfId="8" xr:uid="{00000000-0005-0000-0000-000007000000}"/>
    <cellStyle name="20% - 强调文字颜色 2 2" xfId="172" xr:uid="{51975F22-5974-4E89-BADF-820442BD4758}"/>
    <cellStyle name="20% - 强调文字颜色 2 2 2" xfId="244" xr:uid="{CB510EDE-E6AF-47AA-8E65-CCBC0F7B3688}"/>
    <cellStyle name="20% - 强调文字颜色 2 3" xfId="213" xr:uid="{1079F1A6-5EC7-404A-A3A3-E840DD680B9D}"/>
    <cellStyle name="20% - 强调文字颜色 2 3 2" xfId="396" xr:uid="{181C2D61-88AC-4DBC-A86D-E87866CFB822}"/>
    <cellStyle name="20% - 强调文字颜色 2 4" xfId="117" xr:uid="{17372DF9-B670-4139-99BA-F466E9763E02}"/>
    <cellStyle name="20% - 强调文字颜色 2 5" xfId="308" xr:uid="{822D533C-D879-49D8-AD95-B4F33AEBBBD7}"/>
    <cellStyle name="20% - 强调文字颜色 3" xfId="9" xr:uid="{00000000-0005-0000-0000-000008000000}"/>
    <cellStyle name="20% - 强调文字颜色 3 2" xfId="173" xr:uid="{AF49F226-2676-4EC6-BFF6-778F146E494F}"/>
    <cellStyle name="20% - 强调文字颜色 3 2 2" xfId="245" xr:uid="{49C6AFA0-FCA2-4111-9BCA-3B1765F86F9D}"/>
    <cellStyle name="20% - 强调文字颜色 3 3" xfId="214" xr:uid="{AC4A5E1E-034E-4F18-AEFF-8EE2F90BDDF6}"/>
    <cellStyle name="20% - 强调文字颜色 3 3 2" xfId="397" xr:uid="{C83DE82A-2514-4A13-86E4-9CBDDE17D99B}"/>
    <cellStyle name="20% - 强调文字颜色 3 4" xfId="118" xr:uid="{7091DF4C-4EBE-4552-AD82-5C7B506DC86A}"/>
    <cellStyle name="20% - 强调文字颜色 3 5" xfId="309" xr:uid="{D91006E9-BC72-49A4-A95A-D0D27C15B599}"/>
    <cellStyle name="20% - 强调文字颜色 4" xfId="10" xr:uid="{00000000-0005-0000-0000-000009000000}"/>
    <cellStyle name="20% - 强调文字颜色 4 2" xfId="174" xr:uid="{5C21848B-32E3-4842-88AF-5D4197671ACA}"/>
    <cellStyle name="20% - 强调文字颜色 4 2 2" xfId="246" xr:uid="{2D614615-4E51-40AB-90FB-B775831C14BB}"/>
    <cellStyle name="20% - 强调文字颜色 4 3" xfId="215" xr:uid="{13B40ADA-0DBF-4F3F-A418-E4F01AC55D21}"/>
    <cellStyle name="20% - 强调文字颜色 4 3 2" xfId="398" xr:uid="{638A3F36-3FA2-4548-95A5-CDF4B2A5D6BE}"/>
    <cellStyle name="20% - 强调文字颜色 4 4" xfId="119" xr:uid="{E98AA0A5-0206-442E-8954-DB89AEACFE40}"/>
    <cellStyle name="20% - 强调文字颜色 4 5" xfId="310" xr:uid="{EF63D557-E2BC-4789-A0F4-F3B632949B06}"/>
    <cellStyle name="20% - 强调文字颜色 5" xfId="11" xr:uid="{00000000-0005-0000-0000-00000A000000}"/>
    <cellStyle name="20% - 强调文字颜色 5 2" xfId="175" xr:uid="{17581A25-2B89-4BBB-ADC2-7D59B06C13B0}"/>
    <cellStyle name="20% - 强调文字颜色 5 2 2" xfId="247" xr:uid="{58F48DBE-1126-4887-9DA3-B8473DFEBFA5}"/>
    <cellStyle name="20% - 强调文字颜色 5 3" xfId="216" xr:uid="{6F38B6FE-73D7-4D98-A3CB-DEE64FF65F3E}"/>
    <cellStyle name="20% - 强调文字颜色 5 3 2" xfId="399" xr:uid="{ED04AE8F-CACD-48BA-A899-18DF9AE5ECEC}"/>
    <cellStyle name="20% - 强调文字颜色 5 4" xfId="120" xr:uid="{DF2AD55B-4026-45EE-8BE3-A75DC279B942}"/>
    <cellStyle name="20% - 强调文字颜色 5 5" xfId="311" xr:uid="{20B88D4B-B63C-4EB2-8A3B-23BC5661EBE5}"/>
    <cellStyle name="20% - 强调文字颜色 6" xfId="12" xr:uid="{00000000-0005-0000-0000-00000B000000}"/>
    <cellStyle name="20% - 强调文字颜色 6 2" xfId="176" xr:uid="{5A1DB59C-179B-418A-BE2E-428208BC91F1}"/>
    <cellStyle name="20% - 强调文字颜色 6 2 2" xfId="248" xr:uid="{69034CA2-FE18-42F0-825C-7F26A65EBCAA}"/>
    <cellStyle name="20% - 强调文字颜色 6 3" xfId="217" xr:uid="{44205F8E-9BAD-44C7-8187-B99657075F75}"/>
    <cellStyle name="20% - 强调文字颜色 6 3 2" xfId="400" xr:uid="{5078C742-DE51-439C-8A7A-9C35A7FB87A3}"/>
    <cellStyle name="20% - 强调文字颜色 6 4" xfId="121" xr:uid="{0EBCE4E4-5620-475C-AB61-B1508D29A8DD}"/>
    <cellStyle name="20% - 强调文字颜色 6 5" xfId="312" xr:uid="{46422F78-38D3-415B-8F5F-03B62B1A5F2F}"/>
    <cellStyle name="20% - 着色 1 2" xfId="272" xr:uid="{6077922B-3FEC-44F5-B56B-CE9FB3CFD9C7}"/>
    <cellStyle name="20% - 着色 1 3" xfId="185" xr:uid="{3767D228-FCDC-48F9-926E-8FE91ED7A2F5}"/>
    <cellStyle name="20% - 着色 2 2" xfId="273" xr:uid="{0EBDA941-87AD-4BF8-B35F-07B3AAA82B31}"/>
    <cellStyle name="20% - 着色 2 3" xfId="186" xr:uid="{D0E92DDC-2046-4B60-8861-8153BE6ED63D}"/>
    <cellStyle name="20% - 着色 3 2" xfId="274" xr:uid="{59D70C31-3845-4FEB-95D9-E1DC954CAD19}"/>
    <cellStyle name="20% - 着色 3 3" xfId="187" xr:uid="{3C747AB7-8065-436F-9EF0-F6257753EEB5}"/>
    <cellStyle name="20% - 着色 4 2" xfId="275" xr:uid="{D4285566-6202-408A-BCC4-0F8C87CB1E9B}"/>
    <cellStyle name="20% - 着色 4 3" xfId="188" xr:uid="{34871E3F-002F-4A4A-8D3A-32E4F6329CDE}"/>
    <cellStyle name="20% - 着色 5 2" xfId="276" xr:uid="{A69F53E4-A6C2-411C-B84D-5DF9E5B61E00}"/>
    <cellStyle name="20% - 着色 5 3" xfId="189" xr:uid="{A77B872A-4375-470D-BF2A-874A239B548B}"/>
    <cellStyle name="20% - 着色 6 2" xfId="277" xr:uid="{F4418F23-A84C-41D2-AE16-6E0671ECCF5A}"/>
    <cellStyle name="20% - 着色 6 3" xfId="190" xr:uid="{E8C4D588-87F0-43D5-BBEE-885FD7E1A4CA}"/>
    <cellStyle name="40% - Accent1" xfId="41" xr:uid="{00000000-0005-0000-0000-00000C000000}"/>
    <cellStyle name="40% - Accent1 2" xfId="86" xr:uid="{7A7C2306-C339-4615-AB59-BFC505745635}"/>
    <cellStyle name="40% - Accent1 2 2" xfId="427" xr:uid="{50150DE9-7009-47B4-86F4-AA3B024322FF}"/>
    <cellStyle name="40% - Accent1 3" xfId="413" xr:uid="{3FC5E445-DAA4-4D9C-A9F1-9BD9EAC40BFE}"/>
    <cellStyle name="40% - Accent1 4" xfId="339" xr:uid="{48904639-4A29-4C04-800E-819860167477}"/>
    <cellStyle name="40% - Accent2" xfId="42" xr:uid="{00000000-0005-0000-0000-00000D000000}"/>
    <cellStyle name="40% - Accent2 2" xfId="87" xr:uid="{8B4E4DF6-7427-4DF8-80DF-09D0A14AE9D8}"/>
    <cellStyle name="40% - Accent2 2 2" xfId="428" xr:uid="{2AD987F8-0270-49E2-865B-D89BACC2E8A5}"/>
    <cellStyle name="40% - Accent2 3" xfId="414" xr:uid="{5EF297F9-6BC7-4DC9-8E67-CDEDA21BE3C9}"/>
    <cellStyle name="40% - Accent2 4" xfId="340" xr:uid="{F7FE9D12-5830-4D0E-8BAD-D678D1D6EAE1}"/>
    <cellStyle name="40% - Accent3" xfId="43" xr:uid="{00000000-0005-0000-0000-00000E000000}"/>
    <cellStyle name="40% - Accent3 2" xfId="88" xr:uid="{9767EDF3-28A6-46DC-BF0C-99E026C2DDA2}"/>
    <cellStyle name="40% - Accent3 2 2" xfId="429" xr:uid="{C81D84F7-17A5-4A81-8B49-D18DF1F2A532}"/>
    <cellStyle name="40% - Accent3 3" xfId="415" xr:uid="{F848EDF2-7057-44AD-BFF9-A96308A02BA8}"/>
    <cellStyle name="40% - Accent3 4" xfId="341" xr:uid="{FCBD827B-DC95-4E5F-A312-5F2E7460529C}"/>
    <cellStyle name="40% - Accent4" xfId="44" xr:uid="{00000000-0005-0000-0000-00000F000000}"/>
    <cellStyle name="40% - Accent4 2" xfId="89" xr:uid="{C3E4370E-D6D5-4DD8-891A-5540769A26AB}"/>
    <cellStyle name="40% - Accent4 2 2" xfId="430" xr:uid="{79CF8BB8-1F07-4F61-848E-A8B897BB4556}"/>
    <cellStyle name="40% - Accent4 3" xfId="416" xr:uid="{D42F5EC8-1F89-4BF5-943F-0EB19759D827}"/>
    <cellStyle name="40% - Accent4 4" xfId="342" xr:uid="{8EF483CB-4C62-448C-B6D6-7C6AE7210175}"/>
    <cellStyle name="40% - Accent5" xfId="45" xr:uid="{00000000-0005-0000-0000-000010000000}"/>
    <cellStyle name="40% - Accent5 2" xfId="90" xr:uid="{6FE17373-C5F0-48E5-B467-4EAA2B677D84}"/>
    <cellStyle name="40% - Accent5 2 2" xfId="431" xr:uid="{4F6E106B-C9C3-43F9-8C61-8CAB05DFD221}"/>
    <cellStyle name="40% - Accent5 3" xfId="417" xr:uid="{2A9F1D4E-095C-45CF-8ED2-7ED61239BE91}"/>
    <cellStyle name="40% - Accent5 4" xfId="343" xr:uid="{68C5534F-B111-4B91-8B6F-A8ED5AD5BDAC}"/>
    <cellStyle name="40% - Accent6" xfId="46" xr:uid="{00000000-0005-0000-0000-000011000000}"/>
    <cellStyle name="40% - Accent6 2" xfId="91" xr:uid="{C581AADC-9BF4-4C26-BA5F-15E5A55615DD}"/>
    <cellStyle name="40% - Accent6 2 2" xfId="432" xr:uid="{C83AA2FC-324E-466E-BC40-C6A4CFF1EEFE}"/>
    <cellStyle name="40% - Accent6 3" xfId="418" xr:uid="{3CDB5303-C2CF-44A3-8E75-9568BC37E827}"/>
    <cellStyle name="40% - Accent6 4" xfId="344" xr:uid="{3288B9D7-733A-48D6-B301-F3B7FE60E365}"/>
    <cellStyle name="40% - 强调文字颜色 1" xfId="13" xr:uid="{00000000-0005-0000-0000-000012000000}"/>
    <cellStyle name="40% - 强调文字颜色 1 2" xfId="177" xr:uid="{09E89F5D-43B0-4B97-B5AF-7584B151F28E}"/>
    <cellStyle name="40% - 强调文字颜色 1 2 2" xfId="249" xr:uid="{70130F92-ADE7-4BC1-8913-3E099EABF0D7}"/>
    <cellStyle name="40% - 强调文字颜色 1 3" xfId="218" xr:uid="{23431443-EC9C-4ED9-8389-4E6CCF0080EA}"/>
    <cellStyle name="40% - 强调文字颜色 1 3 2" xfId="401" xr:uid="{BA2235D2-6FC3-4AF4-8BEF-91FCC488B993}"/>
    <cellStyle name="40% - 强调文字颜色 1 4" xfId="122" xr:uid="{F702965B-689C-4056-B3EA-AC8E0D09DC6E}"/>
    <cellStyle name="40% - 强调文字颜色 1 5" xfId="313" xr:uid="{1A71C869-4924-4C44-B92F-74D8D8F52CC7}"/>
    <cellStyle name="40% - 强调文字颜色 2" xfId="14" xr:uid="{00000000-0005-0000-0000-000013000000}"/>
    <cellStyle name="40% - 强调文字颜色 2 2" xfId="178" xr:uid="{7DF33B13-2468-4708-9ABA-4CDFC2F1E5A5}"/>
    <cellStyle name="40% - 强调文字颜色 2 2 2" xfId="250" xr:uid="{25F2AE0D-7EA7-4280-9B36-CBA8C81C094B}"/>
    <cellStyle name="40% - 强调文字颜色 2 3" xfId="219" xr:uid="{59EF071F-A128-429E-86F4-86B09EDC441D}"/>
    <cellStyle name="40% - 强调文字颜色 2 3 2" xfId="402" xr:uid="{CF3FF251-42AA-47D5-B36A-A9F81F9CF274}"/>
    <cellStyle name="40% - 强调文字颜色 2 4" xfId="123" xr:uid="{E3882EA4-4391-4647-8E4F-6BE05C720CD3}"/>
    <cellStyle name="40% - 强调文字颜色 2 5" xfId="314" xr:uid="{FE5FD7EF-CB09-477A-9636-EC21E8DF1106}"/>
    <cellStyle name="40% - 强调文字颜色 3" xfId="15" xr:uid="{00000000-0005-0000-0000-000014000000}"/>
    <cellStyle name="40% - 强调文字颜色 3 2" xfId="179" xr:uid="{251E43B0-E5EC-4862-A04D-5673DFD0F554}"/>
    <cellStyle name="40% - 强调文字颜色 3 2 2" xfId="251" xr:uid="{27DF83C0-DD7B-4799-A476-36FF8F206297}"/>
    <cellStyle name="40% - 强调文字颜色 3 3" xfId="220" xr:uid="{801E534C-0EF1-447D-A82E-94B7D0C147A1}"/>
    <cellStyle name="40% - 强调文字颜色 3 3 2" xfId="403" xr:uid="{C851E99A-5D19-4861-82FB-5546980AE950}"/>
    <cellStyle name="40% - 强调文字颜色 3 4" xfId="124" xr:uid="{DA61BFA7-48D6-4E79-8049-D10C3A472AFF}"/>
    <cellStyle name="40% - 强调文字颜色 3 5" xfId="315" xr:uid="{978DB1DD-AA6C-4EF7-9AA5-62068AE2B591}"/>
    <cellStyle name="40% - 强调文字颜色 4" xfId="16" xr:uid="{00000000-0005-0000-0000-000015000000}"/>
    <cellStyle name="40% - 强调文字颜色 4 2" xfId="180" xr:uid="{65CE55DF-E765-402A-A94B-8CA36B15F611}"/>
    <cellStyle name="40% - 强调文字颜色 4 2 2" xfId="252" xr:uid="{12AC454B-8D3E-4FD2-B848-75B30A39208F}"/>
    <cellStyle name="40% - 强调文字颜色 4 3" xfId="221" xr:uid="{5BDDA520-B5DC-4B00-A693-24A997D767C4}"/>
    <cellStyle name="40% - 强调文字颜色 4 3 2" xfId="404" xr:uid="{8B088369-49FC-4524-9451-ACF8C6EDF869}"/>
    <cellStyle name="40% - 强调文字颜色 4 4" xfId="125" xr:uid="{4ADAD19A-4A96-4C07-9351-1FEB5AD22A4B}"/>
    <cellStyle name="40% - 强调文字颜色 4 5" xfId="316" xr:uid="{044DC4AB-D45E-46A1-A4DD-3D592E07050B}"/>
    <cellStyle name="40% - 强调文字颜色 5" xfId="17" xr:uid="{00000000-0005-0000-0000-000016000000}"/>
    <cellStyle name="40% - 强调文字颜色 5 2" xfId="181" xr:uid="{0202C660-6839-456D-84B5-AB1039594E2E}"/>
    <cellStyle name="40% - 强调文字颜色 5 2 2" xfId="253" xr:uid="{71C211FB-5DE3-4F5A-BAE1-7678F0F18A42}"/>
    <cellStyle name="40% - 强调文字颜色 5 3" xfId="222" xr:uid="{B4243203-B15B-4339-9980-01C519355865}"/>
    <cellStyle name="40% - 强调文字颜色 5 3 2" xfId="405" xr:uid="{41EC34E7-DD6D-471C-AA86-AC29A213608D}"/>
    <cellStyle name="40% - 强调文字颜色 5 4" xfId="126" xr:uid="{DFFE2769-F356-4273-B9F6-43B8AC248BB4}"/>
    <cellStyle name="40% - 强调文字颜色 5 5" xfId="317" xr:uid="{EC17DFE9-992C-490C-A6DC-E6EF461C8BD8}"/>
    <cellStyle name="40% - 强调文字颜色 6" xfId="18" xr:uid="{00000000-0005-0000-0000-000017000000}"/>
    <cellStyle name="40% - 强调文字颜色 6 2" xfId="182" xr:uid="{7082E418-2839-4944-A496-91C5EFE26BEB}"/>
    <cellStyle name="40% - 强调文字颜色 6 2 2" xfId="254" xr:uid="{0D2B37CC-1078-4C49-941D-998E1F0726D2}"/>
    <cellStyle name="40% - 强调文字颜色 6 3" xfId="223" xr:uid="{CF2BBF56-32F1-4732-B7D6-E358A0BF5B52}"/>
    <cellStyle name="40% - 强调文字颜色 6 3 2" xfId="406" xr:uid="{F9A9FA07-4709-4EC6-A4AD-9C1BC0A6FF0F}"/>
    <cellStyle name="40% - 强调文字颜色 6 4" xfId="127" xr:uid="{925D1674-9301-4317-86D7-94337D4B592F}"/>
    <cellStyle name="40% - 强调文字颜色 6 5" xfId="318" xr:uid="{CA63A87F-F475-410E-8777-63CF8371135C}"/>
    <cellStyle name="40% - 着色 1 2" xfId="278" xr:uid="{74259B17-2279-4EB9-A51E-9D20F3C89806}"/>
    <cellStyle name="40% - 着色 1 3" xfId="191" xr:uid="{B0E6141A-5533-4267-8A79-FE0193BA497B}"/>
    <cellStyle name="40% - 着色 2 2" xfId="279" xr:uid="{71E47A87-813D-4054-9FA8-22C1E3CC0355}"/>
    <cellStyle name="40% - 着色 2 3" xfId="192" xr:uid="{6F87A03A-2AD6-479C-BB9B-122C288476F9}"/>
    <cellStyle name="40% - 着色 3 2" xfId="280" xr:uid="{F1D5CA1D-6127-4374-B51A-4940864F941C}"/>
    <cellStyle name="40% - 着色 3 3" xfId="193" xr:uid="{0C562FFF-3C87-4395-AD67-6D51D2EE6D47}"/>
    <cellStyle name="40% - 着色 4 2" xfId="281" xr:uid="{A6159F59-5F83-42AD-A6F4-B4BFD0360A34}"/>
    <cellStyle name="40% - 着色 4 3" xfId="194" xr:uid="{A4861B16-9E72-4F55-91AE-8370C5290C59}"/>
    <cellStyle name="40% - 着色 5 2" xfId="282" xr:uid="{9C7B7A73-1340-4A6A-822F-3D3BD0FABAD5}"/>
    <cellStyle name="40% - 着色 5 3" xfId="195" xr:uid="{25F65C32-F235-4D16-8CB2-B0167F4700BA}"/>
    <cellStyle name="40% - 着色 6 2" xfId="283" xr:uid="{03D44123-A83B-49ED-A2B9-8C07775D681E}"/>
    <cellStyle name="40% - 着色 6 3" xfId="196" xr:uid="{629AB6A1-481F-4701-93D5-5A4B87AD921A}"/>
    <cellStyle name="60% - Accent1" xfId="47" xr:uid="{00000000-0005-0000-0000-000018000000}"/>
    <cellStyle name="60% - Accent1 2" xfId="92" xr:uid="{6C0F3195-7F10-43DB-B488-0FFFE9C490DF}"/>
    <cellStyle name="60% - Accent1 3" xfId="345" xr:uid="{5FDAB576-C561-479F-A4F9-605DA127D17C}"/>
    <cellStyle name="60% - Accent2" xfId="48" xr:uid="{00000000-0005-0000-0000-000019000000}"/>
    <cellStyle name="60% - Accent2 2" xfId="93" xr:uid="{77786DBE-9859-444C-B8F8-F7E856D74416}"/>
    <cellStyle name="60% - Accent2 3" xfId="346" xr:uid="{2B30E66B-900A-4FE6-8332-508771EAFFE1}"/>
    <cellStyle name="60% - Accent3" xfId="49" xr:uid="{00000000-0005-0000-0000-00001A000000}"/>
    <cellStyle name="60% - Accent3 2" xfId="94" xr:uid="{2653CDB3-6FC0-455C-8837-D42CBB864EF6}"/>
    <cellStyle name="60% - Accent3 3" xfId="347" xr:uid="{D23C4C44-96C2-45FC-935F-FBCB0316ED5A}"/>
    <cellStyle name="60% - Accent4" xfId="50" xr:uid="{00000000-0005-0000-0000-00001B000000}"/>
    <cellStyle name="60% - Accent4 2" xfId="95" xr:uid="{59A7C05B-8A5B-4964-8D57-708FB34A5ED0}"/>
    <cellStyle name="60% - Accent4 3" xfId="348" xr:uid="{7CA44778-AFD8-4C65-8077-AA0688E46F52}"/>
    <cellStyle name="60% - Accent5" xfId="51" xr:uid="{00000000-0005-0000-0000-00001C000000}"/>
    <cellStyle name="60% - Accent5 2" xfId="96" xr:uid="{EA0C1830-7D94-4C59-9D01-9FDE550E882F}"/>
    <cellStyle name="60% - Accent5 3" xfId="349" xr:uid="{D40769DA-BFCC-4574-9BCE-DAB6A2AECAE8}"/>
    <cellStyle name="60% - Accent6" xfId="52" xr:uid="{00000000-0005-0000-0000-00001D000000}"/>
    <cellStyle name="60% - Accent6 2" xfId="97" xr:uid="{957331A2-C746-4117-8B14-9AA75DC91A09}"/>
    <cellStyle name="60% - Accent6 3" xfId="350" xr:uid="{EFBB1BDA-AEE5-4007-BD23-C50A9C5EE140}"/>
    <cellStyle name="60% - 强调文字颜色 1" xfId="19" xr:uid="{00000000-0005-0000-0000-00001E000000}"/>
    <cellStyle name="60% - 强调文字颜色 1 2" xfId="255" xr:uid="{6D52DFB8-0B0C-460A-818B-7B33C87D83B7}"/>
    <cellStyle name="60% - 强调文字颜色 1 3" xfId="224" xr:uid="{711C8743-405F-4A29-BC14-87ED4A7473B2}"/>
    <cellStyle name="60% - 强调文字颜色 1 4" xfId="128" xr:uid="{79B57E4E-9FB8-4A4A-A030-222398A699E3}"/>
    <cellStyle name="60% - 强调文字颜色 1 5" xfId="319" xr:uid="{51543F54-55D9-404F-90D6-6805A479B0C3}"/>
    <cellStyle name="60% - 强调文字颜色 2" xfId="20" xr:uid="{00000000-0005-0000-0000-00001F000000}"/>
    <cellStyle name="60% - 强调文字颜色 2 2" xfId="256" xr:uid="{28EC41B4-7C28-4E5C-A39E-958820E196FD}"/>
    <cellStyle name="60% - 强调文字颜色 2 3" xfId="225" xr:uid="{E01B2687-BA0F-4314-9AA2-9938B49F1981}"/>
    <cellStyle name="60% - 强调文字颜色 2 4" xfId="129" xr:uid="{560D656D-1F86-493E-844A-789F4FE512AF}"/>
    <cellStyle name="60% - 强调文字颜色 2 5" xfId="320" xr:uid="{4861E0B4-2129-43E6-958D-D7CDED02FE33}"/>
    <cellStyle name="60% - 强调文字颜色 3" xfId="21" xr:uid="{00000000-0005-0000-0000-000020000000}"/>
    <cellStyle name="60% - 强调文字颜色 3 2" xfId="257" xr:uid="{84BF4CBD-C214-4A6A-9B4F-A6BDFD64EB7B}"/>
    <cellStyle name="60% - 强调文字颜色 3 3" xfId="226" xr:uid="{5ABDDE2F-13CF-40DE-87BC-1D517799FD89}"/>
    <cellStyle name="60% - 强调文字颜色 3 4" xfId="130" xr:uid="{6175E728-CD3A-4A6A-9631-A08B50B0F3B6}"/>
    <cellStyle name="60% - 强调文字颜色 3 5" xfId="321" xr:uid="{020C3DD1-B14B-48EC-9505-A84C6AD6314E}"/>
    <cellStyle name="60% - 强调文字颜色 4" xfId="22" xr:uid="{00000000-0005-0000-0000-000021000000}"/>
    <cellStyle name="60% - 强调文字颜色 4 2" xfId="258" xr:uid="{77654BFA-C18A-4930-B213-CC88BBFD2CBF}"/>
    <cellStyle name="60% - 强调文字颜色 4 3" xfId="227" xr:uid="{7F6EAB17-6D41-4B8A-8631-E1122AAE02B3}"/>
    <cellStyle name="60% - 强调文字颜色 4 4" xfId="131" xr:uid="{EDBA1092-9543-4976-9175-4009589420BA}"/>
    <cellStyle name="60% - 强调文字颜色 4 5" xfId="322" xr:uid="{B51F9C0C-CEB8-40DC-A4AC-023A03A88766}"/>
    <cellStyle name="60% - 强调文字颜色 5" xfId="23" xr:uid="{00000000-0005-0000-0000-000022000000}"/>
    <cellStyle name="60% - 强调文字颜色 5 2" xfId="259" xr:uid="{F504F074-C024-4B4C-B5A4-96E316AFB0AA}"/>
    <cellStyle name="60% - 强调文字颜色 5 3" xfId="228" xr:uid="{E6ECE367-93CA-4CD9-A1DB-6C6C96894CB3}"/>
    <cellStyle name="60% - 强调文字颜色 5 4" xfId="132" xr:uid="{E8D2ABBA-786A-452D-98D6-F893F1EF69C6}"/>
    <cellStyle name="60% - 强调文字颜色 5 5" xfId="323" xr:uid="{AA1279E8-9635-41EA-A8E9-6A776A7E2F4E}"/>
    <cellStyle name="60% - 强调文字颜色 6" xfId="24" xr:uid="{00000000-0005-0000-0000-000023000000}"/>
    <cellStyle name="60% - 强调文字颜色 6 2" xfId="260" xr:uid="{BA3984B9-5312-464F-A179-A32C201CDD71}"/>
    <cellStyle name="60% - 强调文字颜色 6 3" xfId="229" xr:uid="{E5E0756B-AE1B-4F67-866B-1E9FA777B2E2}"/>
    <cellStyle name="60% - 强调文字颜色 6 4" xfId="133" xr:uid="{077033C0-0CB1-48D7-9408-6986CE7CBE2A}"/>
    <cellStyle name="60% - 强调文字颜色 6 5" xfId="324" xr:uid="{EBE9E14F-B889-4E22-A727-C6EA05DA332E}"/>
    <cellStyle name="60% - 着色 1 2" xfId="284" xr:uid="{AF20B01F-7EF8-456E-83F9-19969198F86D}"/>
    <cellStyle name="60% - 着色 1 3" xfId="197" xr:uid="{7BCE12C8-EA46-4E9A-BA39-AED7C3F06302}"/>
    <cellStyle name="60% - 着色 2 2" xfId="285" xr:uid="{506B5C04-67C5-4058-ADFD-F719C861A181}"/>
    <cellStyle name="60% - 着色 2 3" xfId="198" xr:uid="{C5D78E36-A729-4F7D-BAFB-7ADDDE363944}"/>
    <cellStyle name="60% - 着色 3 2" xfId="286" xr:uid="{2F8113B7-9265-4F95-9D17-A370B4AAA597}"/>
    <cellStyle name="60% - 着色 3 3" xfId="199" xr:uid="{76B6C0B9-392C-42E0-AB12-E9ADDCC925FD}"/>
    <cellStyle name="60% - 着色 4 2" xfId="287" xr:uid="{94292CA4-AD3F-416F-91B5-A5007DD91539}"/>
    <cellStyle name="60% - 着色 4 3" xfId="200" xr:uid="{CF337F99-7C19-4B3C-A1DC-7119A511E5FE}"/>
    <cellStyle name="60% - 着色 5 2" xfId="288" xr:uid="{DBEA9436-1959-45E2-B003-AEFD40393E02}"/>
    <cellStyle name="60% - 着色 5 3" xfId="201" xr:uid="{B239BA6F-EE5E-4144-98E4-AF8587CB40C4}"/>
    <cellStyle name="60% - 着色 6 2" xfId="289" xr:uid="{2FE235AA-A65D-4A6A-A6E8-8867DD2A7464}"/>
    <cellStyle name="60% - 着色 6 3" xfId="202" xr:uid="{127B3864-4C3F-49CC-9B14-E7C4665071C6}"/>
    <cellStyle name="Accent1" xfId="53" xr:uid="{00000000-0005-0000-0000-000024000000}"/>
    <cellStyle name="Accent1 2" xfId="98" xr:uid="{71F1C197-1EFD-4C87-969A-0F3E4053A098}"/>
    <cellStyle name="Accent1 3" xfId="351" xr:uid="{F0CD8DD0-9C2D-43AC-9A52-F658F6AF62AF}"/>
    <cellStyle name="Accent2" xfId="54" xr:uid="{00000000-0005-0000-0000-000025000000}"/>
    <cellStyle name="Accent2 2" xfId="99" xr:uid="{2C7ACF63-72E8-47C9-A8BB-737EDFEA3EFB}"/>
    <cellStyle name="Accent2 3" xfId="352" xr:uid="{A5E38F39-9BDA-405D-B527-1062B8D1B5D4}"/>
    <cellStyle name="Accent3" xfId="55" xr:uid="{00000000-0005-0000-0000-000026000000}"/>
    <cellStyle name="Accent3 2" xfId="100" xr:uid="{5979075C-3BA4-4125-A2C3-C3E50BB0A9D4}"/>
    <cellStyle name="Accent3 3" xfId="353" xr:uid="{A7F59351-492D-457A-9410-5FB8D4B7641C}"/>
    <cellStyle name="Accent4" xfId="56" xr:uid="{00000000-0005-0000-0000-000027000000}"/>
    <cellStyle name="Accent4 2" xfId="101" xr:uid="{926A2078-174D-4672-93F5-A3048BBC5AB0}"/>
    <cellStyle name="Accent4 3" xfId="354" xr:uid="{F0113938-48AD-4FED-9E84-71FCEC4AE349}"/>
    <cellStyle name="Accent5" xfId="57" xr:uid="{00000000-0005-0000-0000-000028000000}"/>
    <cellStyle name="Accent5 2" xfId="102" xr:uid="{F9CB4D1A-0EB4-4820-B525-1DDFF6EA2C0A}"/>
    <cellStyle name="Accent5 3" xfId="355" xr:uid="{1C544CA5-6803-4B91-8034-499CD3F2833F}"/>
    <cellStyle name="Accent6" xfId="58" xr:uid="{00000000-0005-0000-0000-000029000000}"/>
    <cellStyle name="Accent6 2" xfId="103" xr:uid="{24FA6037-02C3-4F4F-9847-65B80B206993}"/>
    <cellStyle name="Accent6 3" xfId="356" xr:uid="{6FD423EE-BBEB-44F4-B8E8-BC283C53B598}"/>
    <cellStyle name="Bad" xfId="59" xr:uid="{00000000-0005-0000-0000-00002A000000}"/>
    <cellStyle name="Bad 2" xfId="1" xr:uid="{00000000-0005-0000-0000-00002B000000}"/>
    <cellStyle name="Bad 3" xfId="242" xr:uid="{0937210D-CE05-4B5A-9679-2FF064998192}"/>
    <cellStyle name="Bad 3 2" xfId="377" xr:uid="{749D4020-3FED-4DCC-A640-EC0A457289C2}"/>
    <cellStyle name="Bad 4" xfId="357" xr:uid="{1207A078-56CA-4ABC-9257-EA42C8FD4AA6}"/>
    <cellStyle name="Bad_T11_Recovery" xfId="300" xr:uid="{8202E295-8189-4104-A27A-1A41BD3E3D2D}"/>
    <cellStyle name="Calculation" xfId="60" xr:uid="{00000000-0005-0000-0000-00002D000000}"/>
    <cellStyle name="Calculation 2" xfId="378" xr:uid="{31BFDF91-E113-4B2A-AABA-BECB9F77A387}"/>
    <cellStyle name="Calculation 3" xfId="358" xr:uid="{151AC3AA-FAD3-4229-816C-D2DFFBB606B7}"/>
    <cellStyle name="Check Cell" xfId="61" xr:uid="{00000000-0005-0000-0000-00002E000000}"/>
    <cellStyle name="Check Cell 2" xfId="379" xr:uid="{0EA6A9F5-F142-47DF-A116-BD0E5A4F8B44}"/>
    <cellStyle name="Check Cell 3" xfId="359" xr:uid="{C6FF6C3C-D5FE-4A31-9C86-BB79222B7AE7}"/>
    <cellStyle name="Explanatory Text" xfId="62" xr:uid="{00000000-0005-0000-0000-00002F000000}"/>
    <cellStyle name="Explanatory Text 2" xfId="380" xr:uid="{5A3821E1-B862-4F47-925A-F6C3E1C3E473}"/>
    <cellStyle name="Explanatory Text 3" xfId="360" xr:uid="{E852B5D4-A425-4C31-BF4F-DE927D9051FF}"/>
    <cellStyle name="Good" xfId="63" xr:uid="{00000000-0005-0000-0000-000030000000}"/>
    <cellStyle name="Good 2" xfId="104" xr:uid="{03B4B2AA-FBBA-402C-9354-0FC13CAB7626}"/>
    <cellStyle name="Good 3" xfId="361" xr:uid="{A5FB8B1E-A1AD-48C8-9C02-E5F246E61BC5}"/>
    <cellStyle name="Heading 1" xfId="64" xr:uid="{00000000-0005-0000-0000-000031000000}"/>
    <cellStyle name="Heading 1 2" xfId="381" xr:uid="{BB44A7C8-B164-451F-92E2-66936E9F333D}"/>
    <cellStyle name="Heading 1 3" xfId="362" xr:uid="{466CDFE9-BD34-496B-8392-55B1D35FB21E}"/>
    <cellStyle name="Heading 2" xfId="65" xr:uid="{00000000-0005-0000-0000-000032000000}"/>
    <cellStyle name="Heading 2 2" xfId="382" xr:uid="{A464A76E-7C6D-41D1-988E-2D82562229C9}"/>
    <cellStyle name="Heading 2 3" xfId="363" xr:uid="{D11E3653-05D8-4563-A06E-B7683FA4703D}"/>
    <cellStyle name="Heading 3" xfId="66" xr:uid="{00000000-0005-0000-0000-000033000000}"/>
    <cellStyle name="Heading 3 2" xfId="383" xr:uid="{E657B15F-98D5-442A-87ED-8D1A555E1250}"/>
    <cellStyle name="Heading 3 3" xfId="364" xr:uid="{9F460290-9294-4B1F-80D8-C1478C31D6D8}"/>
    <cellStyle name="Heading 4" xfId="67" xr:uid="{00000000-0005-0000-0000-000034000000}"/>
    <cellStyle name="Heading 4 2" xfId="384" xr:uid="{027004E3-1189-434C-A0DA-9AC8EBB43D40}"/>
    <cellStyle name="Heading 4 3" xfId="365" xr:uid="{7EC8CE2B-947E-4FAC-B308-FB1A4339DB87}"/>
    <cellStyle name="Input" xfId="68" xr:uid="{00000000-0005-0000-0000-000035000000}"/>
    <cellStyle name="Input 2" xfId="385" xr:uid="{6FCDAD75-E8DC-46E8-9D39-F2FB8CC9373F}"/>
    <cellStyle name="Input 3" xfId="366" xr:uid="{B1B690B8-9AA3-4596-96AE-46D00C59DCD5}"/>
    <cellStyle name="Linked Cell" xfId="69" xr:uid="{00000000-0005-0000-0000-000036000000}"/>
    <cellStyle name="Linked Cell 2" xfId="386" xr:uid="{82FF7B74-06BA-45B7-9EBF-3B6FCC47984F}"/>
    <cellStyle name="Linked Cell 3" xfId="367" xr:uid="{391DFC47-3537-453D-B57C-AA6F5D919CF0}"/>
    <cellStyle name="Neutral" xfId="70" xr:uid="{00000000-0005-0000-0000-000037000000}"/>
    <cellStyle name="Neutral 2" xfId="387" xr:uid="{C2000E22-D783-4FA0-9D7A-31DFC48B7A2E}"/>
    <cellStyle name="Neutral 3" xfId="368" xr:uid="{1119228F-3D5B-45EB-9597-18063C7F9B3C}"/>
    <cellStyle name="Normal 2" xfId="2" xr:uid="{00000000-0005-0000-0000-000038000000}"/>
    <cellStyle name="Normal 2 2" xfId="148" xr:uid="{9013FF7C-A918-4C6F-A171-FE35230EE28D}"/>
    <cellStyle name="Normal 3" xfId="3" xr:uid="{00000000-0005-0000-0000-000039000000}"/>
    <cellStyle name="Normal 3 2" xfId="150" xr:uid="{B845DF0E-0804-48AC-8545-C6A372DE5E4B}"/>
    <cellStyle name="Normal 3 2 2" xfId="151" xr:uid="{1AF799EF-9C75-4420-96C5-63A461D44D7A}"/>
    <cellStyle name="Normal 3 3" xfId="149" xr:uid="{9B0B2CA1-2310-4F2A-8565-3C48CB618EB5}"/>
    <cellStyle name="Normal 5" xfId="152" xr:uid="{62C55A41-78E2-43CB-935D-62B737A87406}"/>
    <cellStyle name="Normal_Gilead Samples 02jan07" xfId="6" xr:uid="{00000000-0005-0000-0000-00003A000000}"/>
    <cellStyle name="Note" xfId="71" xr:uid="{00000000-0005-0000-0000-00003C000000}"/>
    <cellStyle name="Note 2" xfId="105" xr:uid="{BBBC129E-4C90-46D4-8050-32E21E59FF00}"/>
    <cellStyle name="Note 2 2" xfId="433" xr:uid="{0A0710D6-F58D-4AD6-AB3B-625E5B6BEB70}"/>
    <cellStyle name="Note 3" xfId="420" xr:uid="{D4B4F1A0-92AD-4923-9698-397E847E6CDA}"/>
    <cellStyle name="Note 4" xfId="369" xr:uid="{D3374D5C-4681-4D97-AE65-96E8F42F3CF6}"/>
    <cellStyle name="Output" xfId="72" xr:uid="{00000000-0005-0000-0000-00003D000000}"/>
    <cellStyle name="Output 2" xfId="388" xr:uid="{917A0BB5-387E-407C-ABA4-0AAA9E8CB4BF}"/>
    <cellStyle name="Output 3" xfId="370" xr:uid="{213217AC-08DF-47FF-9624-045CEEB22921}"/>
    <cellStyle name="Percent 2" xfId="4" xr:uid="{00000000-0005-0000-0000-00003E000000}"/>
    <cellStyle name="Title" xfId="73" xr:uid="{00000000-0005-0000-0000-00003F000000}"/>
    <cellStyle name="Title 2" xfId="389" xr:uid="{02631DB7-21C4-4795-A213-17285DC0346E}"/>
    <cellStyle name="Title 3" xfId="371" xr:uid="{1DBDEE4E-4AED-4B50-8EF6-D7B9889B7C6F}"/>
    <cellStyle name="Total" xfId="74" xr:uid="{00000000-0005-0000-0000-000040000000}"/>
    <cellStyle name="Total 2" xfId="390" xr:uid="{84AB56BA-50E5-45DF-B6D3-F21021E6728C}"/>
    <cellStyle name="Total 3" xfId="372" xr:uid="{BE9392DE-5AD2-475F-8313-F1B20CA09EEA}"/>
    <cellStyle name="Warning Text" xfId="75" xr:uid="{00000000-0005-0000-0000-000041000000}"/>
    <cellStyle name="Warning Text 2" xfId="391" xr:uid="{AECBCBC2-C733-4BC1-99FE-693259876E4E}"/>
    <cellStyle name="Warning Text 3" xfId="373" xr:uid="{97904798-25D2-4C82-90A6-2A14AC05EAFF}"/>
    <cellStyle name="百分比" xfId="79" builtinId="5"/>
    <cellStyle name="百分比 2" xfId="107" xr:uid="{2B3E1869-CC9F-4801-B5E1-0F548EEA1750}"/>
    <cellStyle name="百分比 2 2" xfId="434" xr:uid="{CE4BABF8-906C-4443-8307-463E26742456}"/>
    <cellStyle name="差 2" xfId="115" xr:uid="{92CD985A-DE71-40CB-A0AB-66C11EBFFFEE}"/>
    <cellStyle name="差 2 2" xfId="419" xr:uid="{48C60C11-E14F-4AAA-82FD-361FD9A809BE}"/>
    <cellStyle name="差_1.1" xfId="25" xr:uid="{00000000-0005-0000-0000-000043000000}"/>
    <cellStyle name="差_1.1 2" xfId="261" xr:uid="{3C433EAF-4C1C-4664-886A-7D4884D4F964}"/>
    <cellStyle name="差_1.1 3" xfId="230" xr:uid="{08AE4E27-A3E0-48BA-A206-31E2E0DE6BFB}"/>
    <cellStyle name="差_1.1 4" xfId="134" xr:uid="{1D91F610-0C24-45D1-A4EC-DF76CA7DD0C0}"/>
    <cellStyle name="差_1.1 5" xfId="325" xr:uid="{86F161E8-F5DC-4B51-90FE-714B8077B141}"/>
    <cellStyle name="差_T11_Recovery" xfId="303" xr:uid="{D90288F7-6D41-4727-8FAD-53F92DA3E55F}"/>
    <cellStyle name="差_T11_Recovery 2" xfId="304" xr:uid="{E331CEAF-6004-4973-B8CC-85B933184675}"/>
    <cellStyle name="差_标曲及QC " xfId="154" xr:uid="{E1266D71-1A55-4D9F-BDE3-96EB0F065D10}"/>
    <cellStyle name="差_表11_Recovery" xfId="76" xr:uid="{00000000-0005-0000-0000-000044000000}"/>
    <cellStyle name="差_表11_Recovery 2" xfId="269" xr:uid="{358DC256-BEAE-4DD1-BE9E-CBAC3C5D6BAF}"/>
    <cellStyle name="差_表11_Recovery 3" xfId="238" xr:uid="{542B6B43-77D5-46DD-85FE-E3F53E89D1D2}"/>
    <cellStyle name="差_表11_Recovery 4" xfId="142" xr:uid="{5157640F-9833-4587-B804-498A6E53C0B3}"/>
    <cellStyle name="差_表11_Recovery 5" xfId="374" xr:uid="{D66472DA-DD83-4B6F-A8A3-CD0BD54076EC}"/>
    <cellStyle name="差_表2_SST" xfId="108" xr:uid="{9A261026-95DB-4F41-AD11-B9288EAA4641}"/>
    <cellStyle name="差_表2_SST 2" xfId="291" xr:uid="{32EE6F8E-58E1-42CD-B59F-86C8D506859A}"/>
    <cellStyle name="差_表21_LTS" xfId="392" xr:uid="{EC3CC2E8-8352-40A6-BE1F-05681A8E5220}"/>
    <cellStyle name="差_表25_干扰" xfId="78" xr:uid="{00000000-0005-0000-0000-000045000000}"/>
    <cellStyle name="差_表25_干扰 2" xfId="271" xr:uid="{68F77452-7CF4-4171-99E6-61822E860989}"/>
    <cellStyle name="差_表25_干扰 3" xfId="240" xr:uid="{A6E039DE-56F6-4A13-B2A4-27C9E47CD778}"/>
    <cellStyle name="差_表25_干扰 4" xfId="144" xr:uid="{1D781362-AE65-4418-9F8B-3FB52C3635A2}"/>
    <cellStyle name="差_表25_干扰 5" xfId="376" xr:uid="{B46B94CB-060C-49B0-B474-1061B4DFA799}"/>
    <cellStyle name="差_表3_Carryover" xfId="211" xr:uid="{02E51867-141E-491E-9455-FB29B9F28B29}"/>
    <cellStyle name="差_表3_CO" xfId="167" xr:uid="{26AA765D-0750-49FF-9E9F-4D888D18DCBC}"/>
    <cellStyle name="差_表3_CO_1" xfId="299" xr:uid="{228BFE82-9F07-4481-B580-5E3FD80B1B16}"/>
    <cellStyle name="常规" xfId="0" builtinId="0"/>
    <cellStyle name="常规 10" xfId="166" xr:uid="{D02DD15A-0D6F-44E0-B8EA-8F7230A288A0}"/>
    <cellStyle name="常规 11" xfId="241" xr:uid="{475B1CA2-BB56-47A6-869D-3625BA2BB50C}"/>
    <cellStyle name="常规 12" xfId="306" xr:uid="{395FBEDB-3CED-432C-AC98-540DB5675F2D}"/>
    <cellStyle name="常规 2" xfId="27" xr:uid="{00000000-0005-0000-0000-000047000000}"/>
    <cellStyle name="常规 2 2" xfId="5" xr:uid="{00000000-0005-0000-0000-000048000000}"/>
    <cellStyle name="常规 2 2 2" xfId="155" xr:uid="{2DA3CCE7-6C14-406C-943A-B4A4938A2912}"/>
    <cellStyle name="常规 2 3 2" xfId="156" xr:uid="{80DEB2A5-332E-45EF-84B0-F1668B18610F}"/>
    <cellStyle name="常规 2_1513RD2_BA_二次数据" xfId="157" xr:uid="{B218CE66-5F7D-48E0-B4B4-03E0E8186EDB}"/>
    <cellStyle name="常规 3" xfId="110" xr:uid="{FB5B3178-13C1-4C18-8025-6A3C49B7086D}"/>
    <cellStyle name="常规 3 2" xfId="159" xr:uid="{5870B4E9-1CE2-41CF-B15F-B6B9E85DF1EC}"/>
    <cellStyle name="常规 3 3" xfId="158" xr:uid="{43F92A0A-2963-4E8A-8B64-E930D0B6CA70}"/>
    <cellStyle name="常规 3 4" xfId="145" xr:uid="{7C0F5210-D6FC-45FF-8189-6FCFF1D8C7C9}"/>
    <cellStyle name="常规 3_表2_SST" xfId="203" xr:uid="{5FED3806-8613-41D9-9FDA-A01BDDD15E2C}"/>
    <cellStyle name="常规 4" xfId="111" xr:uid="{2DCE0D16-AA3F-40D9-92D2-D7CF726B4FEA}"/>
    <cellStyle name="常规 4 2" xfId="161" xr:uid="{52F125A9-A52A-46CA-B01C-E3081913EB38}"/>
    <cellStyle name="常规 4 2 2" xfId="162" xr:uid="{F7C474B0-5967-4B6F-A21B-69F8912AAD79}"/>
    <cellStyle name="常规 4 3" xfId="160" xr:uid="{E28D7837-44D6-4413-B452-E87FD02DCBFB}"/>
    <cellStyle name="常规 4 4" xfId="169" xr:uid="{8D93487A-9C3B-4BEA-8C1E-9818D09E2583}"/>
    <cellStyle name="常规 4 5" xfId="106" xr:uid="{0D0EABD8-8E1F-4441-9A8B-1FFA80D71233}"/>
    <cellStyle name="常规 5" xfId="112" xr:uid="{FC9D5670-9169-4F74-9320-0ABB2F68E457}"/>
    <cellStyle name="常规 5 2" xfId="163" xr:uid="{1C76B018-CC6B-4B91-BA39-3BD27BDD4DBA}"/>
    <cellStyle name="常规 5 3" xfId="394" xr:uid="{9A5E1EB7-7A3A-41CE-816E-B3FDD349F5E4}"/>
    <cellStyle name="常规 6" xfId="113" xr:uid="{ED6FC24F-C2A2-4D66-9DB4-076F9E2BBFD7}"/>
    <cellStyle name="常规 6 2" xfId="164" xr:uid="{49D75535-5589-4D53-8F47-E9F3868B563E}"/>
    <cellStyle name="常规 7" xfId="114" xr:uid="{0A612668-F0EC-4C9A-A2CC-70B9DFAC4107}"/>
    <cellStyle name="常规 7 2" xfId="146" xr:uid="{D7E98C56-EB89-42D0-8C3D-B051B3B59571}"/>
    <cellStyle name="常规 7 3" xfId="170" xr:uid="{A6789F3C-BE72-4D32-BEAA-89324564A500}"/>
    <cellStyle name="常规 8" xfId="147" xr:uid="{E2EC6F0C-655D-46D0-8B5D-F18E68D2A4EB}"/>
    <cellStyle name="常规 9" xfId="165" xr:uid="{0E8CC12C-F102-466A-9D16-916828B0D93E}"/>
    <cellStyle name="常规_1.1" xfId="26" xr:uid="{00000000-0005-0000-0000-000049000000}"/>
    <cellStyle name="好_1.1" xfId="28" xr:uid="{00000000-0005-0000-0000-00004C000000}"/>
    <cellStyle name="好_1.1 2" xfId="183" xr:uid="{7404A861-932D-4BB3-AC83-4F1BA5401743}"/>
    <cellStyle name="好_1.1 2 2" xfId="262" xr:uid="{1126CB14-140C-4471-95FB-8D66CDCD191D}"/>
    <cellStyle name="好_1.1 3" xfId="231" xr:uid="{BF01D138-8B1A-43F9-9317-F6E3DD5F77AE}"/>
    <cellStyle name="好_1.1 4" xfId="135" xr:uid="{1156E66B-36AE-4FEF-BAD7-1DBC8018783B}"/>
    <cellStyle name="好_1.1 5" xfId="326" xr:uid="{3D66BC49-0B98-4D5E-8ECA-DBEB1F1298BF}"/>
    <cellStyle name="好_T11_Recovery" xfId="301" xr:uid="{C9E7CEE0-2E27-401F-944F-FC166E2981B3}"/>
    <cellStyle name="好_T11_Recovery 2" xfId="302" xr:uid="{E2F0D169-8F78-43D4-A6BC-C26EE2B42EE4}"/>
    <cellStyle name="好_标曲及QC " xfId="153" xr:uid="{611A481F-BF25-48AC-8240-BC3C3CF5B8D0}"/>
    <cellStyle name="好_表11_Recovery" xfId="77" xr:uid="{00000000-0005-0000-0000-00004D000000}"/>
    <cellStyle name="好_表11_Recovery 2" xfId="184" xr:uid="{C2C2EB53-846B-4CFD-8206-349F18548A95}"/>
    <cellStyle name="好_表11_Recovery 2 2" xfId="270" xr:uid="{A2A1EEA4-4C94-4AB9-AB7A-EDDE51800CC4}"/>
    <cellStyle name="好_表11_Recovery 3" xfId="239" xr:uid="{FDF99024-309D-436C-926D-1CBA06DC1CEF}"/>
    <cellStyle name="好_表11_Recovery 4" xfId="143" xr:uid="{ECDDEEF1-1DF8-4C53-A9F1-1B86FE215FAE}"/>
    <cellStyle name="好_表11_Recovery 5" xfId="375" xr:uid="{F8559889-6CEE-411D-AA87-E4C06623A6F6}"/>
    <cellStyle name="好_表2_SST" xfId="109" xr:uid="{2EAFEDE4-9E30-4BFA-906F-F2094B474761}"/>
    <cellStyle name="好_表2_SST 2" xfId="290" xr:uid="{5D57A2D8-C977-4885-A201-ADBE4617E211}"/>
    <cellStyle name="好_表21_LTS" xfId="393" xr:uid="{3E37D96F-3764-4D3B-8265-A5EB1DFC4B23}"/>
    <cellStyle name="好_表3_Carryover" xfId="210" xr:uid="{3BEFB90A-D19C-4D8E-B8D8-C201AD4EA868}"/>
    <cellStyle name="好_表3_CO" xfId="168" xr:uid="{5A24BE08-6F0D-4C01-9BB1-2567E57F8D4C}"/>
    <cellStyle name="好_表3_CO_1" xfId="298" xr:uid="{057679C6-2E39-40FC-AD01-DCBA12DDD2CB}"/>
    <cellStyle name="千位分隔 2" xfId="305" xr:uid="{7611B496-5363-41E4-AB53-9FF5FF895832}"/>
    <cellStyle name="强调文字颜色 1" xfId="29" xr:uid="{00000000-0005-0000-0000-00004E000000}"/>
    <cellStyle name="强调文字颜色 1 2" xfId="263" xr:uid="{43EA1666-540F-41A5-9516-A0FC54F0E835}"/>
    <cellStyle name="强调文字颜色 1 3" xfId="232" xr:uid="{1172863B-A4B9-41FD-8FE1-9201A2C07AAA}"/>
    <cellStyle name="强调文字颜色 1 4" xfId="136" xr:uid="{F91E3C85-C414-4797-84DB-11058DE70A72}"/>
    <cellStyle name="强调文字颜色 1 5" xfId="327" xr:uid="{640E778E-0BF3-4927-A3BF-A8C21B5E6ABB}"/>
    <cellStyle name="强调文字颜色 2" xfId="30" xr:uid="{00000000-0005-0000-0000-00004F000000}"/>
    <cellStyle name="强调文字颜色 2 2" xfId="264" xr:uid="{D564D849-FF93-45F9-8D98-E7F24171724B}"/>
    <cellStyle name="强调文字颜色 2 3" xfId="233" xr:uid="{B82A0C90-6B75-4500-9D92-A5568B6C2A6C}"/>
    <cellStyle name="强调文字颜色 2 4" xfId="137" xr:uid="{477F602F-F0EC-43F2-97C5-584397FA2208}"/>
    <cellStyle name="强调文字颜色 2 5" xfId="328" xr:uid="{79042816-5635-4AA2-A22B-25DEDE1DE3F9}"/>
    <cellStyle name="强调文字颜色 3" xfId="31" xr:uid="{00000000-0005-0000-0000-000050000000}"/>
    <cellStyle name="强调文字颜色 3 2" xfId="265" xr:uid="{1BF0EF64-DFD0-4941-A8B4-29C220D578D4}"/>
    <cellStyle name="强调文字颜色 3 3" xfId="234" xr:uid="{A5BF364D-DE6A-44EC-9DB3-0393FA437CA9}"/>
    <cellStyle name="强调文字颜色 3 4" xfId="138" xr:uid="{D1FA756A-E03B-40B7-BEA1-D3C23CEE0799}"/>
    <cellStyle name="强调文字颜色 3 5" xfId="329" xr:uid="{58DED24A-C964-4BD5-9A82-FF85265C3684}"/>
    <cellStyle name="强调文字颜色 4" xfId="32" xr:uid="{00000000-0005-0000-0000-000051000000}"/>
    <cellStyle name="强调文字颜色 4 2" xfId="266" xr:uid="{A7574A3D-E74A-4D0A-A536-EF0633889A36}"/>
    <cellStyle name="强调文字颜色 4 3" xfId="235" xr:uid="{69D74063-BFE5-4458-8C13-5AC0F6BAE7A9}"/>
    <cellStyle name="强调文字颜色 4 4" xfId="139" xr:uid="{DB1011DD-C147-4260-BDB0-51C4BA831DD4}"/>
    <cellStyle name="强调文字颜色 4 5" xfId="330" xr:uid="{50EE9170-6712-414E-ACC4-2D20429920A9}"/>
    <cellStyle name="强调文字颜色 5" xfId="33" xr:uid="{00000000-0005-0000-0000-000052000000}"/>
    <cellStyle name="强调文字颜色 5 2" xfId="267" xr:uid="{298B84A7-0921-4030-A783-5CCC0CB6A1E8}"/>
    <cellStyle name="强调文字颜色 5 3" xfId="236" xr:uid="{0630C69B-CD05-460A-9D5B-DB321385930C}"/>
    <cellStyle name="强调文字颜色 5 4" xfId="140" xr:uid="{22A2100E-E0B6-42FA-A5FE-15C286BE035F}"/>
    <cellStyle name="强调文字颜色 5 5" xfId="331" xr:uid="{740F9FC1-3402-42AA-8721-E5D56D796C3E}"/>
    <cellStyle name="强调文字颜色 6" xfId="34" xr:uid="{00000000-0005-0000-0000-000053000000}"/>
    <cellStyle name="强调文字颜色 6 2" xfId="268" xr:uid="{0CBB4363-36B0-4EB0-9F92-B4D6788442EB}"/>
    <cellStyle name="强调文字颜色 6 3" xfId="237" xr:uid="{4D3159AA-908C-4A56-847A-3189F5622EB0}"/>
    <cellStyle name="强调文字颜色 6 4" xfId="141" xr:uid="{FF140986-F92A-4879-9DBC-163711DE04FB}"/>
    <cellStyle name="强调文字颜色 6 5" xfId="332" xr:uid="{E95E0596-B53D-4A9E-B88B-D7BB3788618A}"/>
    <cellStyle name="着色 1 2" xfId="292" xr:uid="{0F3ADEE6-495A-40BC-BEB3-888CCF927E93}"/>
    <cellStyle name="着色 1 3" xfId="204" xr:uid="{CB64DDF4-8859-48EC-B0A4-F8E67075727F}"/>
    <cellStyle name="着色 2 2" xfId="293" xr:uid="{5969A84D-8B43-4515-A03C-F3EC926AB54B}"/>
    <cellStyle name="着色 2 3" xfId="205" xr:uid="{839D3805-E605-4F2E-B40B-BC259E1C786C}"/>
    <cellStyle name="着色 3 2" xfId="294" xr:uid="{6C0E9FCA-C1BA-43C0-86E0-BBCC54166893}"/>
    <cellStyle name="着色 3 3" xfId="206" xr:uid="{E5A60C76-667C-418E-9E56-2356261B55AB}"/>
    <cellStyle name="着色 4 2" xfId="295" xr:uid="{D0F623AB-D0F1-41E4-B12F-C68E5D0C6072}"/>
    <cellStyle name="着色 4 3" xfId="207" xr:uid="{9C721361-CBB6-4AA8-9003-473CA103CC5B}"/>
    <cellStyle name="着色 5 2" xfId="296" xr:uid="{88DC01ED-5C7F-46C5-9161-E71F88D8B567}"/>
    <cellStyle name="着色 5 3" xfId="208" xr:uid="{C4BE4C4F-7687-47D8-BCBF-80B64AB8D699}"/>
    <cellStyle name="着色 6 2" xfId="297" xr:uid="{C57701F2-CDD9-4B1C-885C-DF88749224D7}"/>
    <cellStyle name="着色 6 3" xfId="209" xr:uid="{C52CF12F-C4B7-426B-A06C-35BF4FEF799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C43"/>
  <sheetViews>
    <sheetView tabSelected="1" zoomScaleNormal="100" zoomScaleSheetLayoutView="100" workbookViewId="0">
      <selection activeCell="H4" sqref="H4"/>
    </sheetView>
  </sheetViews>
  <sheetFormatPr defaultColWidth="8.83203125" defaultRowHeight="19.5" customHeight="1"/>
  <cols>
    <col min="1" max="1" width="34.75" style="19" customWidth="1"/>
    <col min="2" max="2" width="34.83203125" style="19" customWidth="1"/>
    <col min="3" max="3" width="43.5" style="19" customWidth="1"/>
    <col min="4" max="16384" width="8.83203125" style="19"/>
  </cols>
  <sheetData>
    <row r="1" spans="1:3" ht="19.5" customHeight="1">
      <c r="A1" s="19" t="s">
        <v>14</v>
      </c>
    </row>
    <row r="3" spans="1:3" ht="19.5" customHeight="1">
      <c r="A3" s="64" t="s">
        <v>22</v>
      </c>
      <c r="B3" s="80" t="s">
        <v>191</v>
      </c>
      <c r="C3" s="76"/>
    </row>
    <row r="4" spans="1:3" ht="19.5" customHeight="1">
      <c r="A4" s="64" t="s">
        <v>16</v>
      </c>
      <c r="B4" s="76" t="s">
        <v>207</v>
      </c>
      <c r="C4" s="76"/>
    </row>
    <row r="5" spans="1:3" ht="45.75" customHeight="1">
      <c r="A5" s="64" t="s">
        <v>82</v>
      </c>
      <c r="B5" s="81" t="s">
        <v>192</v>
      </c>
      <c r="C5" s="78"/>
    </row>
    <row r="6" spans="1:3" ht="19.5" customHeight="1">
      <c r="A6" s="64" t="s">
        <v>83</v>
      </c>
      <c r="B6" s="64" t="s">
        <v>84</v>
      </c>
      <c r="C6" s="64" t="s">
        <v>85</v>
      </c>
    </row>
    <row r="7" spans="1:3" ht="19.5" customHeight="1">
      <c r="A7" s="64" t="s">
        <v>86</v>
      </c>
      <c r="B7" s="64" t="s">
        <v>110</v>
      </c>
      <c r="C7" s="64" t="s">
        <v>111</v>
      </c>
    </row>
    <row r="8" spans="1:3" ht="19.5" customHeight="1">
      <c r="A8" s="64" t="s">
        <v>87</v>
      </c>
      <c r="B8" s="64" t="s">
        <v>13</v>
      </c>
      <c r="C8" s="64" t="s">
        <v>88</v>
      </c>
    </row>
    <row r="9" spans="1:3" ht="19.5" customHeight="1">
      <c r="A9" s="64" t="s">
        <v>89</v>
      </c>
      <c r="B9" s="64" t="s">
        <v>13</v>
      </c>
      <c r="C9" s="64" t="s">
        <v>175</v>
      </c>
    </row>
    <row r="10" spans="1:3" ht="19.5" customHeight="1">
      <c r="A10" s="65" t="s">
        <v>90</v>
      </c>
      <c r="B10" s="76" t="s">
        <v>112</v>
      </c>
      <c r="C10" s="76"/>
    </row>
    <row r="11" spans="1:3" ht="19.5" customHeight="1">
      <c r="A11" s="64" t="s">
        <v>91</v>
      </c>
      <c r="B11" s="76" t="s">
        <v>176</v>
      </c>
      <c r="C11" s="76"/>
    </row>
    <row r="12" spans="1:3" ht="19.5" customHeight="1">
      <c r="A12" s="64" t="s">
        <v>92</v>
      </c>
      <c r="B12" s="76" t="s">
        <v>93</v>
      </c>
      <c r="C12" s="76"/>
    </row>
    <row r="13" spans="1:3" ht="19.5" customHeight="1">
      <c r="A13" s="76" t="s">
        <v>46</v>
      </c>
      <c r="B13" s="80" t="s">
        <v>177</v>
      </c>
      <c r="C13" s="76"/>
    </row>
    <row r="14" spans="1:3" ht="19.5" customHeight="1">
      <c r="A14" s="76"/>
      <c r="B14" s="80" t="s">
        <v>113</v>
      </c>
      <c r="C14" s="76"/>
    </row>
    <row r="15" spans="1:3" ht="19.5" customHeight="1">
      <c r="A15" s="76" t="s">
        <v>94</v>
      </c>
      <c r="B15" s="80" t="s">
        <v>178</v>
      </c>
      <c r="C15" s="76"/>
    </row>
    <row r="16" spans="1:3" ht="19.5" customHeight="1">
      <c r="A16" s="76"/>
      <c r="B16" s="80" t="s">
        <v>179</v>
      </c>
      <c r="C16" s="76"/>
    </row>
    <row r="17" spans="1:3" ht="19.5" customHeight="1">
      <c r="A17" s="76"/>
      <c r="B17" s="81" t="s">
        <v>180</v>
      </c>
      <c r="C17" s="78"/>
    </row>
    <row r="18" spans="1:3" ht="19.5" customHeight="1">
      <c r="A18" s="64" t="s">
        <v>95</v>
      </c>
      <c r="B18" s="77" t="s">
        <v>77</v>
      </c>
      <c r="C18" s="78"/>
    </row>
    <row r="19" spans="1:3" ht="19.5" customHeight="1">
      <c r="A19" s="64" t="s">
        <v>96</v>
      </c>
      <c r="B19" s="76" t="s">
        <v>181</v>
      </c>
      <c r="C19" s="76"/>
    </row>
    <row r="20" spans="1:3" ht="19.5" customHeight="1">
      <c r="A20" s="64" t="s">
        <v>97</v>
      </c>
      <c r="B20" s="76" t="s">
        <v>182</v>
      </c>
      <c r="C20" s="76"/>
    </row>
    <row r="21" spans="1:3" ht="19.5" customHeight="1">
      <c r="A21" s="64" t="s">
        <v>15</v>
      </c>
      <c r="B21" s="76" t="s">
        <v>114</v>
      </c>
      <c r="C21" s="76"/>
    </row>
    <row r="22" spans="1:3" ht="19.5" customHeight="1">
      <c r="A22" s="64" t="s">
        <v>98</v>
      </c>
      <c r="B22" s="79" t="s">
        <v>116</v>
      </c>
      <c r="C22" s="78"/>
    </row>
    <row r="23" spans="1:3" ht="19.5" customHeight="1">
      <c r="A23" s="64" t="s">
        <v>99</v>
      </c>
      <c r="B23" s="80" t="s">
        <v>183</v>
      </c>
      <c r="C23" s="76"/>
    </row>
    <row r="24" spans="1:3" ht="19.5" customHeight="1">
      <c r="A24" s="64" t="s">
        <v>100</v>
      </c>
      <c r="B24" s="76" t="s">
        <v>117</v>
      </c>
      <c r="C24" s="76"/>
    </row>
    <row r="25" spans="1:3" ht="33" customHeight="1">
      <c r="A25" s="64" t="s">
        <v>101</v>
      </c>
      <c r="B25" s="75" t="s">
        <v>208</v>
      </c>
      <c r="C25" s="75"/>
    </row>
    <row r="26" spans="1:3" ht="19.5" customHeight="1">
      <c r="A26" s="64" t="s">
        <v>102</v>
      </c>
      <c r="B26" s="76" t="s">
        <v>81</v>
      </c>
      <c r="C26" s="76"/>
    </row>
    <row r="27" spans="1:3" ht="19.5" customHeight="1">
      <c r="A27" s="64" t="s">
        <v>103</v>
      </c>
      <c r="B27" s="76" t="s">
        <v>184</v>
      </c>
      <c r="C27" s="76"/>
    </row>
    <row r="28" spans="1:3" ht="19.5" customHeight="1">
      <c r="A28" s="64" t="s">
        <v>104</v>
      </c>
      <c r="B28" s="75" t="s">
        <v>193</v>
      </c>
      <c r="C28" s="75"/>
    </row>
    <row r="29" spans="1:3" ht="19.5" customHeight="1">
      <c r="A29" s="64" t="s">
        <v>105</v>
      </c>
      <c r="B29" s="75" t="s">
        <v>194</v>
      </c>
      <c r="C29" s="75"/>
    </row>
    <row r="30" spans="1:3" ht="19.5" customHeight="1">
      <c r="A30" s="64" t="s">
        <v>106</v>
      </c>
      <c r="B30" s="75" t="s">
        <v>194</v>
      </c>
      <c r="C30" s="75"/>
    </row>
    <row r="31" spans="1:3" ht="32.25" customHeight="1">
      <c r="A31" s="64" t="s">
        <v>107</v>
      </c>
      <c r="B31" s="75" t="s">
        <v>195</v>
      </c>
      <c r="C31" s="75"/>
    </row>
    <row r="32" spans="1:3" ht="75" customHeight="1">
      <c r="A32" s="65" t="s">
        <v>47</v>
      </c>
      <c r="B32" s="82" t="s">
        <v>196</v>
      </c>
      <c r="C32" s="83"/>
    </row>
    <row r="33" spans="1:3" ht="60.75" customHeight="1">
      <c r="A33" s="64" t="s">
        <v>26</v>
      </c>
      <c r="B33" s="84" t="s">
        <v>197</v>
      </c>
      <c r="C33" s="85"/>
    </row>
    <row r="34" spans="1:3" ht="56.25" customHeight="1">
      <c r="A34" s="64" t="s">
        <v>25</v>
      </c>
      <c r="B34" s="86" t="s">
        <v>209</v>
      </c>
      <c r="C34" s="85"/>
    </row>
    <row r="35" spans="1:3" ht="24" customHeight="1">
      <c r="A35" s="65" t="s">
        <v>108</v>
      </c>
      <c r="B35" s="64" t="s">
        <v>59</v>
      </c>
      <c r="C35" s="45" t="s">
        <v>58</v>
      </c>
    </row>
    <row r="36" spans="1:3" ht="28">
      <c r="A36" s="66" t="s">
        <v>185</v>
      </c>
      <c r="B36" s="67" t="s">
        <v>198</v>
      </c>
      <c r="C36" s="67" t="s">
        <v>199</v>
      </c>
    </row>
    <row r="37" spans="1:3" ht="28">
      <c r="A37" s="66" t="s">
        <v>186</v>
      </c>
      <c r="B37" s="67" t="s">
        <v>200</v>
      </c>
      <c r="C37" s="67" t="s">
        <v>201</v>
      </c>
    </row>
    <row r="38" spans="1:3" ht="33.75" customHeight="1">
      <c r="A38" s="64" t="s">
        <v>27</v>
      </c>
      <c r="B38" s="76" t="s">
        <v>202</v>
      </c>
      <c r="C38" s="76"/>
    </row>
    <row r="41" spans="1:3" ht="19.5" customHeight="1">
      <c r="A41" s="7"/>
    </row>
    <row r="42" spans="1:3" ht="19.5" customHeight="1">
      <c r="A42" s="7"/>
    </row>
    <row r="43" spans="1:3" ht="19.5" customHeight="1">
      <c r="A43" s="7"/>
    </row>
  </sheetData>
  <mergeCells count="31">
    <mergeCell ref="B38:C38"/>
    <mergeCell ref="B30:C30"/>
    <mergeCell ref="B31:C31"/>
    <mergeCell ref="B32:C32"/>
    <mergeCell ref="B33:C33"/>
    <mergeCell ref="B34:C34"/>
    <mergeCell ref="A13:A14"/>
    <mergeCell ref="B13:C13"/>
    <mergeCell ref="B14:C14"/>
    <mergeCell ref="A15:A17"/>
    <mergeCell ref="B15:C15"/>
    <mergeCell ref="B16:C16"/>
    <mergeCell ref="B17:C17"/>
    <mergeCell ref="B12:C12"/>
    <mergeCell ref="B3:C3"/>
    <mergeCell ref="B4:C4"/>
    <mergeCell ref="B5:C5"/>
    <mergeCell ref="B10:C10"/>
    <mergeCell ref="B11:C11"/>
    <mergeCell ref="B18:C18"/>
    <mergeCell ref="B24:C24"/>
    <mergeCell ref="B19:C19"/>
    <mergeCell ref="B20:C20"/>
    <mergeCell ref="B22:C22"/>
    <mergeCell ref="B23:C23"/>
    <mergeCell ref="B21:C21"/>
    <mergeCell ref="B25:C25"/>
    <mergeCell ref="B26:C26"/>
    <mergeCell ref="B27:C27"/>
    <mergeCell ref="B28:C28"/>
    <mergeCell ref="B29:C29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4" orientation="portrait" r:id="rId1"/>
  <headerFooter>
    <oddHeader>&amp;C 1632MV7生物分析方法学验证数据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C12"/>
  <sheetViews>
    <sheetView zoomScaleNormal="100" zoomScaleSheetLayoutView="100" workbookViewId="0">
      <selection activeCell="C19" sqref="C19"/>
    </sheetView>
  </sheetViews>
  <sheetFormatPr defaultColWidth="8.83203125" defaultRowHeight="13.5"/>
  <cols>
    <col min="1" max="1" width="21" style="3" customWidth="1"/>
    <col min="2" max="2" width="37.58203125" style="3" customWidth="1"/>
    <col min="3" max="3" width="29.33203125" style="3" customWidth="1"/>
    <col min="4" max="16384" width="8.83203125" style="3"/>
  </cols>
  <sheetData>
    <row r="2" spans="1:3" ht="14">
      <c r="A2" s="24" t="s">
        <v>23</v>
      </c>
    </row>
    <row r="3" spans="1:3">
      <c r="A3" s="24"/>
    </row>
    <row r="4" spans="1:3" ht="16">
      <c r="A4" s="4" t="s">
        <v>121</v>
      </c>
      <c r="B4" s="4" t="s">
        <v>211</v>
      </c>
      <c r="C4" s="4" t="s">
        <v>190</v>
      </c>
    </row>
    <row r="5" spans="1:3">
      <c r="A5" s="4" t="s">
        <v>122</v>
      </c>
      <c r="B5" s="4" t="s">
        <v>188</v>
      </c>
      <c r="C5" s="4" t="s">
        <v>203</v>
      </c>
    </row>
    <row r="6" spans="1:3">
      <c r="A6" s="4" t="s">
        <v>123</v>
      </c>
      <c r="B6" s="4" t="s">
        <v>124</v>
      </c>
      <c r="C6" s="4" t="s">
        <v>133</v>
      </c>
    </row>
    <row r="7" spans="1:3">
      <c r="A7" s="4" t="s">
        <v>125</v>
      </c>
      <c r="B7" s="4">
        <v>268112</v>
      </c>
      <c r="C7" s="4" t="s">
        <v>134</v>
      </c>
    </row>
    <row r="8" spans="1:3" ht="14">
      <c r="A8" s="68" t="s">
        <v>137</v>
      </c>
      <c r="B8" s="60">
        <v>0.99299999999999999</v>
      </c>
      <c r="C8" s="63">
        <v>0.96099999999999997</v>
      </c>
    </row>
    <row r="9" spans="1:3">
      <c r="A9" s="4" t="s">
        <v>127</v>
      </c>
      <c r="B9" s="4">
        <v>493.48</v>
      </c>
      <c r="C9" s="4">
        <v>311.43</v>
      </c>
    </row>
    <row r="10" spans="1:3">
      <c r="A10" s="4" t="s">
        <v>128</v>
      </c>
      <c r="B10" s="4" t="s">
        <v>129</v>
      </c>
      <c r="C10" s="4" t="s">
        <v>135</v>
      </c>
    </row>
    <row r="11" spans="1:3">
      <c r="A11" s="4" t="s">
        <v>130</v>
      </c>
      <c r="B11" s="61">
        <v>46627</v>
      </c>
      <c r="C11" s="61">
        <v>46182</v>
      </c>
    </row>
    <row r="12" spans="1:3">
      <c r="A12" s="4" t="s">
        <v>131</v>
      </c>
      <c r="B12" s="4" t="s">
        <v>132</v>
      </c>
      <c r="C12" s="4" t="s">
        <v>136</v>
      </c>
    </row>
  </sheetData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96"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2:C13"/>
  <sheetViews>
    <sheetView zoomScaleNormal="100" zoomScaleSheetLayoutView="100" workbookViewId="0">
      <selection activeCell="B4" sqref="B4"/>
    </sheetView>
  </sheetViews>
  <sheetFormatPr defaultColWidth="8.83203125" defaultRowHeight="13.5"/>
  <cols>
    <col min="1" max="1" width="21" style="3" customWidth="1"/>
    <col min="2" max="2" width="30.83203125" style="3" customWidth="1"/>
    <col min="3" max="3" width="29.33203125" style="3" customWidth="1"/>
    <col min="4" max="16384" width="8.83203125" style="3"/>
  </cols>
  <sheetData>
    <row r="2" spans="1:3" ht="14">
      <c r="A2" s="24" t="s">
        <v>24</v>
      </c>
    </row>
    <row r="3" spans="1:3" ht="14">
      <c r="B3" s="27"/>
    </row>
    <row r="4" spans="1:3" ht="15.75" customHeight="1">
      <c r="A4" s="4" t="s">
        <v>121</v>
      </c>
      <c r="B4" s="4" t="s">
        <v>205</v>
      </c>
      <c r="C4" s="4" t="s">
        <v>206</v>
      </c>
    </row>
    <row r="5" spans="1:3" ht="15.75" customHeight="1">
      <c r="A5" s="4" t="s">
        <v>122</v>
      </c>
      <c r="B5" s="4" t="s">
        <v>139</v>
      </c>
      <c r="C5" s="4" t="s">
        <v>210</v>
      </c>
    </row>
    <row r="6" spans="1:3" ht="15.75" customHeight="1">
      <c r="A6" s="4" t="s">
        <v>123</v>
      </c>
      <c r="B6" s="4" t="s">
        <v>138</v>
      </c>
      <c r="C6" s="4" t="s">
        <v>141</v>
      </c>
    </row>
    <row r="7" spans="1:3" ht="15.75" customHeight="1">
      <c r="A7" s="4" t="s">
        <v>125</v>
      </c>
      <c r="B7" s="4">
        <v>365043</v>
      </c>
      <c r="C7" s="4">
        <v>128979</v>
      </c>
    </row>
    <row r="8" spans="1:3" ht="15.75" customHeight="1">
      <c r="A8" s="4" t="s">
        <v>126</v>
      </c>
      <c r="B8" s="60">
        <v>0.90410000000000001</v>
      </c>
      <c r="C8" s="4" t="s">
        <v>172</v>
      </c>
    </row>
    <row r="9" spans="1:3" ht="15.75" customHeight="1">
      <c r="A9" s="25" t="s">
        <v>143</v>
      </c>
      <c r="B9" s="34"/>
      <c r="C9" s="25" t="s">
        <v>142</v>
      </c>
    </row>
    <row r="10" spans="1:3" ht="15.75" customHeight="1">
      <c r="A10" s="4" t="s">
        <v>128</v>
      </c>
      <c r="B10" s="4" t="s">
        <v>140</v>
      </c>
      <c r="C10" s="4" t="s">
        <v>173</v>
      </c>
    </row>
    <row r="11" spans="1:3" ht="15.75" customHeight="1">
      <c r="A11" s="4" t="s">
        <v>130</v>
      </c>
      <c r="B11" s="61">
        <v>46438</v>
      </c>
      <c r="C11" s="61">
        <v>46463</v>
      </c>
    </row>
    <row r="12" spans="1:3">
      <c r="A12" s="4" t="s">
        <v>131</v>
      </c>
      <c r="B12" s="4" t="s">
        <v>132</v>
      </c>
      <c r="C12" s="4" t="s">
        <v>132</v>
      </c>
    </row>
    <row r="13" spans="1:3" ht="15.5">
      <c r="A13" s="62" t="s">
        <v>174</v>
      </c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scale="94"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C10"/>
  <sheetViews>
    <sheetView topLeftCell="A2" zoomScaleNormal="100" zoomScaleSheetLayoutView="115" workbookViewId="0">
      <selection activeCell="B22" sqref="B21:B22"/>
    </sheetView>
  </sheetViews>
  <sheetFormatPr defaultColWidth="9" defaultRowHeight="13.5"/>
  <cols>
    <col min="1" max="3" width="25.08203125" style="3" customWidth="1"/>
    <col min="4" max="4" width="16.5" style="3" customWidth="1"/>
    <col min="5" max="16384" width="9" style="3"/>
  </cols>
  <sheetData>
    <row r="1" spans="1:3" ht="15" customHeight="1"/>
    <row r="2" spans="1:3" ht="15" customHeight="1">
      <c r="A2" s="3" t="s">
        <v>167</v>
      </c>
    </row>
    <row r="3" spans="1:3" ht="15" customHeight="1"/>
    <row r="4" spans="1:3">
      <c r="A4" s="8" t="s">
        <v>168</v>
      </c>
      <c r="B4" s="8" t="s">
        <v>169</v>
      </c>
      <c r="C4" s="8" t="s">
        <v>170</v>
      </c>
    </row>
    <row r="5" spans="1:3" ht="15.75" customHeight="1">
      <c r="A5" s="58" t="s">
        <v>145</v>
      </c>
      <c r="B5" s="33" t="s">
        <v>151</v>
      </c>
      <c r="C5" s="58" t="s">
        <v>171</v>
      </c>
    </row>
    <row r="6" spans="1:3" ht="15.75" customHeight="1">
      <c r="A6" s="58" t="s">
        <v>146</v>
      </c>
      <c r="B6" s="33" t="s">
        <v>151</v>
      </c>
      <c r="C6" s="58" t="s">
        <v>171</v>
      </c>
    </row>
    <row r="7" spans="1:3" ht="15.75" customHeight="1">
      <c r="A7" s="58" t="s">
        <v>147</v>
      </c>
      <c r="B7" s="33" t="s">
        <v>151</v>
      </c>
      <c r="C7" s="58" t="s">
        <v>171</v>
      </c>
    </row>
    <row r="8" spans="1:3" ht="15.75" customHeight="1">
      <c r="A8" s="58" t="s">
        <v>148</v>
      </c>
      <c r="B8" s="33" t="s">
        <v>151</v>
      </c>
      <c r="C8" s="58" t="s">
        <v>171</v>
      </c>
    </row>
    <row r="9" spans="1:3" ht="15.75" customHeight="1">
      <c r="A9" s="58" t="s">
        <v>149</v>
      </c>
      <c r="B9" s="33" t="s">
        <v>151</v>
      </c>
      <c r="C9" s="58" t="s">
        <v>171</v>
      </c>
    </row>
    <row r="10" spans="1:3" ht="15.75" customHeight="1">
      <c r="A10" s="58" t="s">
        <v>144</v>
      </c>
      <c r="B10" s="59" t="s">
        <v>152</v>
      </c>
      <c r="C10" s="33" t="s">
        <v>150</v>
      </c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4"/>
  <sheetViews>
    <sheetView workbookViewId="0">
      <selection activeCell="B14" sqref="B14"/>
    </sheetView>
  </sheetViews>
  <sheetFormatPr defaultColWidth="9" defaultRowHeight="15.75" customHeight="1"/>
  <cols>
    <col min="1" max="1" width="21" style="57" customWidth="1"/>
    <col min="2" max="2" width="35.33203125" style="57" customWidth="1"/>
    <col min="3" max="3" width="18" style="57" customWidth="1"/>
    <col min="4" max="4" width="18.75" style="57" customWidth="1"/>
    <col min="5" max="16384" width="9" style="57"/>
  </cols>
  <sheetData>
    <row r="1" spans="1:4" ht="15.75" customHeight="1">
      <c r="A1" s="27" t="s">
        <v>166</v>
      </c>
      <c r="B1" s="56"/>
    </row>
    <row r="3" spans="1:4" s="3" customFormat="1" ht="15.75" customHeight="1">
      <c r="A3" s="29" t="s">
        <v>62</v>
      </c>
      <c r="B3" s="29" t="s">
        <v>64</v>
      </c>
      <c r="C3" s="29" t="s">
        <v>65</v>
      </c>
      <c r="D3" s="29" t="s">
        <v>63</v>
      </c>
    </row>
    <row r="4" spans="1:4" s="3" customFormat="1" ht="15.75" customHeight="1">
      <c r="A4" s="29" t="s">
        <v>153</v>
      </c>
      <c r="B4" s="30" t="s">
        <v>115</v>
      </c>
      <c r="C4" s="31" t="s">
        <v>154</v>
      </c>
      <c r="D4" s="32">
        <v>45546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2:C6"/>
  <sheetViews>
    <sheetView zoomScaleNormal="100" zoomScaleSheetLayoutView="100" workbookViewId="0">
      <selection activeCell="A4" sqref="A4:C6"/>
    </sheetView>
  </sheetViews>
  <sheetFormatPr defaultColWidth="8.83203125" defaultRowHeight="16.5" customHeight="1"/>
  <cols>
    <col min="1" max="1" width="23.33203125" style="22" customWidth="1"/>
    <col min="2" max="2" width="26.08203125" style="22" customWidth="1"/>
    <col min="3" max="3" width="30.75" style="22" customWidth="1"/>
    <col min="4" max="16384" width="8.83203125" style="22"/>
  </cols>
  <sheetData>
    <row r="2" spans="1:3" ht="16.5" customHeight="1">
      <c r="A2" s="52" t="s">
        <v>71</v>
      </c>
    </row>
    <row r="4" spans="1:3" ht="15.75" customHeight="1">
      <c r="A4" s="53" t="s">
        <v>66</v>
      </c>
      <c r="B4" s="53" t="s">
        <v>67</v>
      </c>
      <c r="C4" s="53" t="s">
        <v>68</v>
      </c>
    </row>
    <row r="5" spans="1:3" ht="15.75" customHeight="1">
      <c r="A5" s="53" t="s">
        <v>69</v>
      </c>
      <c r="B5" s="54">
        <v>45974</v>
      </c>
      <c r="C5" s="55" t="s">
        <v>76</v>
      </c>
    </row>
    <row r="6" spans="1:3" ht="15.75" customHeight="1">
      <c r="A6" s="53" t="s">
        <v>70</v>
      </c>
      <c r="B6" s="54">
        <v>45974</v>
      </c>
      <c r="C6" s="55" t="s">
        <v>76</v>
      </c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scale="89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H18"/>
  <sheetViews>
    <sheetView zoomScaleNormal="100" zoomScaleSheetLayoutView="100" workbookViewId="0">
      <selection activeCell="A4" sqref="A4:G5"/>
    </sheetView>
  </sheetViews>
  <sheetFormatPr defaultColWidth="8.83203125" defaultRowHeight="13.5"/>
  <cols>
    <col min="1" max="1" width="7.83203125" style="3" customWidth="1"/>
    <col min="2" max="2" width="41.75" style="3" customWidth="1"/>
    <col min="3" max="4" width="12.25" style="3" customWidth="1"/>
    <col min="5" max="5" width="13.83203125" style="15" customWidth="1"/>
    <col min="6" max="6" width="13.83203125" style="3" customWidth="1"/>
    <col min="7" max="7" width="11.08203125" style="3" customWidth="1"/>
    <col min="8" max="8" width="9.58203125" style="3" bestFit="1" customWidth="1"/>
    <col min="9" max="16384" width="8.83203125" style="3"/>
  </cols>
  <sheetData>
    <row r="2" spans="1:8">
      <c r="A2" s="87" t="s">
        <v>38</v>
      </c>
      <c r="B2" s="87"/>
      <c r="C2" s="9"/>
    </row>
    <row r="3" spans="1:8">
      <c r="A3" s="24"/>
    </row>
    <row r="4" spans="1:8" ht="31.5" customHeight="1">
      <c r="A4" s="8" t="s">
        <v>17</v>
      </c>
      <c r="B4" s="8" t="s">
        <v>18</v>
      </c>
      <c r="C4" s="8" t="s">
        <v>53</v>
      </c>
      <c r="D4" s="8" t="s">
        <v>19</v>
      </c>
      <c r="E4" s="20" t="s">
        <v>189</v>
      </c>
      <c r="F4" s="20" t="s">
        <v>204</v>
      </c>
      <c r="G4" s="21" t="s">
        <v>54</v>
      </c>
    </row>
    <row r="5" spans="1:8" ht="27">
      <c r="A5" s="26">
        <v>1</v>
      </c>
      <c r="B5" s="49" t="s">
        <v>187</v>
      </c>
      <c r="C5" s="50">
        <v>45974</v>
      </c>
      <c r="D5" s="50">
        <v>45974</v>
      </c>
      <c r="E5" s="51" t="s">
        <v>30</v>
      </c>
      <c r="F5" s="51" t="s">
        <v>30</v>
      </c>
      <c r="G5" s="21" t="s">
        <v>155</v>
      </c>
    </row>
    <row r="6" spans="1:8">
      <c r="A6" s="19"/>
    </row>
    <row r="7" spans="1:8" ht="14.25" customHeight="1">
      <c r="E7" s="3"/>
    </row>
    <row r="8" spans="1:8">
      <c r="E8" s="3"/>
    </row>
    <row r="9" spans="1:8">
      <c r="E9" s="3"/>
    </row>
    <row r="10" spans="1:8">
      <c r="E10" s="3"/>
    </row>
    <row r="11" spans="1:8">
      <c r="E11" s="3"/>
    </row>
    <row r="12" spans="1:8" ht="14">
      <c r="B12" s="27"/>
      <c r="C12" s="27"/>
      <c r="D12" s="27"/>
      <c r="E12" s="27"/>
    </row>
    <row r="13" spans="1:8" ht="14">
      <c r="B13" s="27"/>
      <c r="C13" s="27"/>
      <c r="D13" s="27"/>
      <c r="E13" s="27"/>
    </row>
    <row r="14" spans="1:8" ht="14">
      <c r="B14" s="27"/>
      <c r="C14" s="27"/>
      <c r="D14" s="27"/>
      <c r="E14" s="27"/>
    </row>
    <row r="15" spans="1:8" ht="14">
      <c r="B15" s="27"/>
      <c r="C15" s="27"/>
      <c r="D15" s="27"/>
      <c r="E15" s="27"/>
    </row>
    <row r="16" spans="1:8" ht="14">
      <c r="B16" s="27"/>
      <c r="C16" s="27"/>
      <c r="D16" s="27"/>
      <c r="E16" s="27"/>
      <c r="G16" s="28"/>
      <c r="H16" s="28"/>
    </row>
    <row r="17" spans="2:5" ht="14">
      <c r="B17" s="27"/>
      <c r="C17" s="27"/>
      <c r="D17" s="27"/>
      <c r="E17" s="27"/>
    </row>
    <row r="18" spans="2:5" ht="14">
      <c r="B18" s="27"/>
      <c r="C18" s="27"/>
      <c r="D18" s="27"/>
      <c r="E18" s="27"/>
    </row>
  </sheetData>
  <mergeCells count="1">
    <mergeCell ref="A2:B2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4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2:D12"/>
  <sheetViews>
    <sheetView zoomScaleNormal="100" zoomScaleSheetLayoutView="100" workbookViewId="0">
      <selection activeCell="A4" sqref="A4:D12"/>
    </sheetView>
  </sheetViews>
  <sheetFormatPr defaultColWidth="8.83203125" defaultRowHeight="13.5"/>
  <cols>
    <col min="1" max="4" width="17.5" style="22" customWidth="1"/>
    <col min="5" max="8" width="17.58203125" style="22" customWidth="1"/>
    <col min="9" max="16384" width="8.83203125" style="22"/>
  </cols>
  <sheetData>
    <row r="2" spans="1:4">
      <c r="A2" s="88" t="s">
        <v>37</v>
      </c>
      <c r="B2" s="88"/>
      <c r="C2" s="88"/>
    </row>
    <row r="4" spans="1:4">
      <c r="A4" s="22" t="s">
        <v>188</v>
      </c>
    </row>
    <row r="5" spans="1:4" ht="16.5" customHeight="1">
      <c r="A5" s="89" t="s">
        <v>17</v>
      </c>
      <c r="B5" s="90" t="s">
        <v>39</v>
      </c>
      <c r="C5" s="91"/>
      <c r="D5" s="92"/>
    </row>
    <row r="6" spans="1:4" ht="16.5" customHeight="1">
      <c r="A6" s="89"/>
      <c r="B6" s="8" t="s">
        <v>52</v>
      </c>
      <c r="C6" s="8" t="s">
        <v>20</v>
      </c>
      <c r="D6" s="8" t="s">
        <v>165</v>
      </c>
    </row>
    <row r="7" spans="1:4" ht="16.5" customHeight="1">
      <c r="A7" s="21">
        <v>1</v>
      </c>
      <c r="B7" s="48">
        <v>0</v>
      </c>
      <c r="C7" s="48">
        <v>0</v>
      </c>
      <c r="D7" s="48">
        <v>9.1</v>
      </c>
    </row>
    <row r="8" spans="1:4" ht="16.5" customHeight="1"/>
    <row r="9" spans="1:4" ht="16.5" customHeight="1">
      <c r="A9" s="22" t="s">
        <v>203</v>
      </c>
    </row>
    <row r="10" spans="1:4" ht="16.5" customHeight="1">
      <c r="A10" s="89" t="s">
        <v>17</v>
      </c>
      <c r="B10" s="90" t="s">
        <v>39</v>
      </c>
      <c r="C10" s="91"/>
      <c r="D10" s="92"/>
    </row>
    <row r="11" spans="1:4" ht="16.5" customHeight="1">
      <c r="A11" s="89"/>
      <c r="B11" s="8" t="s">
        <v>52</v>
      </c>
      <c r="C11" s="8" t="s">
        <v>20</v>
      </c>
      <c r="D11" s="8" t="s">
        <v>165</v>
      </c>
    </row>
    <row r="12" spans="1:4" ht="16.5" customHeight="1">
      <c r="A12" s="21">
        <v>1</v>
      </c>
      <c r="B12" s="48">
        <v>0.6</v>
      </c>
      <c r="C12" s="48">
        <v>0</v>
      </c>
      <c r="D12" s="48">
        <v>4.2</v>
      </c>
    </row>
  </sheetData>
  <mergeCells count="5">
    <mergeCell ref="A2:C2"/>
    <mergeCell ref="A5:A6"/>
    <mergeCell ref="B5:D5"/>
    <mergeCell ref="A10:A11"/>
    <mergeCell ref="B10:D10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2:I13"/>
  <sheetViews>
    <sheetView topLeftCell="A3" zoomScaleNormal="100" zoomScaleSheetLayoutView="100" workbookViewId="0">
      <selection activeCell="A4" sqref="A4:I12"/>
    </sheetView>
  </sheetViews>
  <sheetFormatPr defaultColWidth="8.83203125" defaultRowHeight="13.5"/>
  <cols>
    <col min="1" max="1" width="9.83203125" style="3" customWidth="1"/>
    <col min="2" max="2" width="15.08203125" style="3" customWidth="1"/>
    <col min="3" max="3" width="14.75" style="3" customWidth="1"/>
    <col min="4" max="6" width="11.08203125" style="3" customWidth="1"/>
    <col min="7" max="7" width="15" style="3" customWidth="1"/>
    <col min="8" max="8" width="9.75" style="3" customWidth="1"/>
    <col min="9" max="9" width="11.83203125" style="3" customWidth="1"/>
    <col min="10" max="10" width="11.08203125" style="3" customWidth="1"/>
    <col min="11" max="16384" width="8.83203125" style="3"/>
  </cols>
  <sheetData>
    <row r="2" spans="1:9" s="22" customFormat="1" ht="18" customHeight="1">
      <c r="A2" s="98" t="s">
        <v>31</v>
      </c>
      <c r="B2" s="98"/>
      <c r="C2" s="98"/>
    </row>
    <row r="3" spans="1:9" s="22" customFormat="1" ht="18" customHeight="1">
      <c r="A3" s="19"/>
      <c r="B3" s="19"/>
      <c r="C3" s="19"/>
    </row>
    <row r="4" spans="1:9" s="22" customFormat="1" ht="18" customHeight="1">
      <c r="A4" s="99" t="s">
        <v>188</v>
      </c>
      <c r="B4" s="99"/>
      <c r="C4" s="99"/>
    </row>
    <row r="5" spans="1:9" ht="70.5" customHeight="1">
      <c r="A5" s="8" t="s">
        <v>51</v>
      </c>
      <c r="B5" s="8" t="s">
        <v>28</v>
      </c>
      <c r="C5" s="8" t="s">
        <v>29</v>
      </c>
      <c r="D5" s="8" t="s">
        <v>72</v>
      </c>
      <c r="E5" s="8" t="s">
        <v>73</v>
      </c>
      <c r="F5" s="20" t="s">
        <v>74</v>
      </c>
      <c r="G5" s="8" t="s">
        <v>75</v>
      </c>
      <c r="H5" s="8" t="s">
        <v>44</v>
      </c>
      <c r="I5" s="8" t="s">
        <v>45</v>
      </c>
    </row>
    <row r="6" spans="1:9" ht="14.25" customHeight="1">
      <c r="A6" s="94">
        <v>1</v>
      </c>
      <c r="B6" s="46">
        <v>0</v>
      </c>
      <c r="C6" s="46">
        <v>0</v>
      </c>
      <c r="D6" s="47">
        <v>1864</v>
      </c>
      <c r="E6" s="47">
        <v>46310</v>
      </c>
      <c r="F6" s="96">
        <f>ROUND(AVERAGE(D6:D7),0)</f>
        <v>1805</v>
      </c>
      <c r="G6" s="94">
        <f>ROUND(AVERAGE(E6:E7),0)</f>
        <v>43864</v>
      </c>
      <c r="H6" s="23">
        <f>ROUND(B6/F6*100,1)</f>
        <v>0</v>
      </c>
      <c r="I6" s="23">
        <f>ROUND(C6/G6*100,1)</f>
        <v>0</v>
      </c>
    </row>
    <row r="7" spans="1:9" ht="14.25" customHeight="1">
      <c r="A7" s="95"/>
      <c r="B7" s="46">
        <v>0</v>
      </c>
      <c r="C7" s="46">
        <v>0</v>
      </c>
      <c r="D7" s="47">
        <v>1745</v>
      </c>
      <c r="E7" s="47">
        <v>41417</v>
      </c>
      <c r="F7" s="97"/>
      <c r="G7" s="95"/>
      <c r="H7" s="23">
        <f>ROUND(B7/F6*100,1)</f>
        <v>0</v>
      </c>
      <c r="I7" s="23">
        <f>ROUND(C7/G6*100,1)</f>
        <v>0</v>
      </c>
    </row>
    <row r="9" spans="1:9">
      <c r="A9" s="93" t="s">
        <v>203</v>
      </c>
      <c r="B9" s="93"/>
      <c r="C9" s="93"/>
    </row>
    <row r="10" spans="1:9" ht="70.5" customHeight="1">
      <c r="A10" s="8" t="s">
        <v>51</v>
      </c>
      <c r="B10" s="8" t="s">
        <v>28</v>
      </c>
      <c r="C10" s="8" t="s">
        <v>29</v>
      </c>
      <c r="D10" s="8" t="s">
        <v>72</v>
      </c>
      <c r="E10" s="8" t="s">
        <v>73</v>
      </c>
      <c r="F10" s="20" t="s">
        <v>74</v>
      </c>
      <c r="G10" s="8" t="s">
        <v>75</v>
      </c>
      <c r="H10" s="20" t="s">
        <v>109</v>
      </c>
      <c r="I10" s="8" t="s">
        <v>45</v>
      </c>
    </row>
    <row r="11" spans="1:9" ht="15" customHeight="1">
      <c r="A11" s="94">
        <v>2</v>
      </c>
      <c r="B11" s="46">
        <v>1180</v>
      </c>
      <c r="C11" s="46">
        <v>0</v>
      </c>
      <c r="D11" s="47">
        <v>6472</v>
      </c>
      <c r="E11" s="47">
        <v>3519386</v>
      </c>
      <c r="F11" s="96">
        <f>ROUND(AVERAGE(D11:D12),0)</f>
        <v>6169</v>
      </c>
      <c r="G11" s="94">
        <f>ROUND(AVERAGE(E11:E12),0)</f>
        <v>3276202</v>
      </c>
      <c r="H11" s="23">
        <f>ROUND(B11/F11*100,1)</f>
        <v>19.100000000000001</v>
      </c>
      <c r="I11" s="23">
        <f>ROUND(C11/G11*100,1)</f>
        <v>0</v>
      </c>
    </row>
    <row r="12" spans="1:9" ht="15" customHeight="1">
      <c r="A12" s="95"/>
      <c r="B12" s="46">
        <v>0</v>
      </c>
      <c r="C12" s="46">
        <v>0</v>
      </c>
      <c r="D12" s="47">
        <v>5866</v>
      </c>
      <c r="E12" s="47">
        <v>3033017</v>
      </c>
      <c r="F12" s="97"/>
      <c r="G12" s="95"/>
      <c r="H12" s="23">
        <f>ROUND(B12/F11*100,1)</f>
        <v>0</v>
      </c>
      <c r="I12" s="23">
        <f>ROUND(C12/G11*100,1)</f>
        <v>0</v>
      </c>
    </row>
    <row r="13" spans="1:9">
      <c r="B13" s="7"/>
      <c r="C13" s="7"/>
    </row>
  </sheetData>
  <mergeCells count="9">
    <mergeCell ref="A9:C9"/>
    <mergeCell ref="A11:A12"/>
    <mergeCell ref="F11:F12"/>
    <mergeCell ref="G11:G12"/>
    <mergeCell ref="A2:C2"/>
    <mergeCell ref="A4:C4"/>
    <mergeCell ref="A6:A7"/>
    <mergeCell ref="G6:G7"/>
    <mergeCell ref="F6:F7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76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G12"/>
  <sheetViews>
    <sheetView zoomScaleNormal="100" zoomScaleSheetLayoutView="100" zoomScalePageLayoutView="90" workbookViewId="0">
      <selection activeCell="A4" sqref="A4:G12"/>
    </sheetView>
  </sheetViews>
  <sheetFormatPr defaultColWidth="8.83203125" defaultRowHeight="13.5"/>
  <cols>
    <col min="1" max="1" width="12.5" style="3" customWidth="1"/>
    <col min="2" max="2" width="12.25" style="3" customWidth="1"/>
    <col min="3" max="5" width="9.33203125" style="3" customWidth="1"/>
    <col min="6" max="6" width="12.58203125" style="3" customWidth="1"/>
    <col min="7" max="7" width="13" style="3" customWidth="1"/>
    <col min="8" max="16384" width="8.83203125" style="3"/>
  </cols>
  <sheetData>
    <row r="2" spans="1:7" ht="15.75" customHeight="1">
      <c r="A2" s="87" t="s">
        <v>35</v>
      </c>
      <c r="B2" s="87"/>
      <c r="C2" s="87"/>
      <c r="D2" s="87"/>
    </row>
    <row r="4" spans="1:7" ht="14">
      <c r="A4" s="100" t="s">
        <v>188</v>
      </c>
      <c r="B4" s="87"/>
      <c r="C4" s="87"/>
      <c r="D4" s="87"/>
    </row>
    <row r="5" spans="1:7" s="15" customFormat="1" ht="30" customHeight="1">
      <c r="A5" s="8" t="s">
        <v>159</v>
      </c>
      <c r="B5" s="8" t="s">
        <v>51</v>
      </c>
      <c r="C5" s="8" t="s">
        <v>162</v>
      </c>
      <c r="D5" s="8" t="s">
        <v>163</v>
      </c>
      <c r="E5" s="8" t="s">
        <v>164</v>
      </c>
      <c r="F5" s="8" t="s">
        <v>119</v>
      </c>
      <c r="G5" s="8" t="s">
        <v>120</v>
      </c>
    </row>
    <row r="6" spans="1:7" s="15" customFormat="1" ht="16.5" customHeight="1">
      <c r="A6" s="13">
        <v>45974</v>
      </c>
      <c r="B6" s="21">
        <v>1</v>
      </c>
      <c r="C6" s="40">
        <v>2.2839999999999999E-2</v>
      </c>
      <c r="D6" s="41">
        <v>6.9030000000000003E-3</v>
      </c>
      <c r="E6" s="42">
        <v>0.99629999999999996</v>
      </c>
      <c r="F6" s="14">
        <v>1.5</v>
      </c>
      <c r="G6" s="14">
        <v>1500</v>
      </c>
    </row>
    <row r="7" spans="1:7">
      <c r="A7" s="3" t="s">
        <v>36</v>
      </c>
    </row>
    <row r="8" spans="1:7">
      <c r="A8" s="43"/>
    </row>
    <row r="9" spans="1:7" ht="15.75" customHeight="1">
      <c r="A9" s="100" t="s">
        <v>203</v>
      </c>
      <c r="B9" s="87"/>
      <c r="C9" s="87"/>
      <c r="D9" s="87"/>
    </row>
    <row r="10" spans="1:7" s="15" customFormat="1" ht="30" customHeight="1">
      <c r="A10" s="8" t="s">
        <v>159</v>
      </c>
      <c r="B10" s="8" t="s">
        <v>51</v>
      </c>
      <c r="C10" s="8" t="s">
        <v>162</v>
      </c>
      <c r="D10" s="8" t="s">
        <v>163</v>
      </c>
      <c r="E10" s="8" t="s">
        <v>164</v>
      </c>
      <c r="F10" s="8" t="s">
        <v>119</v>
      </c>
      <c r="G10" s="8" t="s">
        <v>120</v>
      </c>
    </row>
    <row r="11" spans="1:7" s="15" customFormat="1" ht="16.5" customHeight="1">
      <c r="A11" s="13">
        <v>45974</v>
      </c>
      <c r="B11" s="21">
        <v>1</v>
      </c>
      <c r="C11" s="41">
        <v>1.1429999999999999E-3</v>
      </c>
      <c r="D11" s="44">
        <v>1.5420000000000001E-4</v>
      </c>
      <c r="E11" s="42">
        <v>0.998</v>
      </c>
      <c r="F11" s="14">
        <v>1.5</v>
      </c>
      <c r="G11" s="14">
        <v>1500</v>
      </c>
    </row>
    <row r="12" spans="1:7">
      <c r="A12" s="3" t="s">
        <v>36</v>
      </c>
    </row>
  </sheetData>
  <mergeCells count="3">
    <mergeCell ref="A9:D9"/>
    <mergeCell ref="A2:D2"/>
    <mergeCell ref="A4:D4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2:R22"/>
  <sheetViews>
    <sheetView topLeftCell="A3" zoomScaleNormal="100" zoomScaleSheetLayoutView="100" workbookViewId="0">
      <selection activeCell="A4" sqref="A4:R22"/>
    </sheetView>
  </sheetViews>
  <sheetFormatPr defaultColWidth="8.83203125" defaultRowHeight="13.5"/>
  <cols>
    <col min="1" max="1" width="12.75" style="18" customWidth="1"/>
    <col min="2" max="2" width="7.33203125" style="18" customWidth="1"/>
    <col min="3" max="3" width="8.83203125" style="18" customWidth="1"/>
    <col min="4" max="4" width="6.83203125" style="18" customWidth="1"/>
    <col min="5" max="5" width="8.08203125" style="18" customWidth="1"/>
    <col min="6" max="6" width="7.25" style="18" customWidth="1"/>
    <col min="7" max="7" width="8.25" style="18" customWidth="1"/>
    <col min="8" max="8" width="7.33203125" style="18" customWidth="1"/>
    <col min="9" max="9" width="8.58203125" style="18" customWidth="1"/>
    <col min="10" max="10" width="6.75" style="18" customWidth="1"/>
    <col min="11" max="11" width="8.75" style="18" customWidth="1"/>
    <col min="12" max="12" width="7.25" style="18" customWidth="1"/>
    <col min="13" max="13" width="9.33203125" style="18" customWidth="1"/>
    <col min="14" max="14" width="7" style="18" customWidth="1"/>
    <col min="15" max="15" width="8.75" style="18" customWidth="1"/>
    <col min="16" max="16" width="6.58203125" style="18" customWidth="1"/>
    <col min="17" max="17" width="9.5" style="18" customWidth="1"/>
    <col min="18" max="18" width="6.83203125" style="18" customWidth="1"/>
    <col min="19" max="16384" width="8.83203125" style="18"/>
  </cols>
  <sheetData>
    <row r="2" spans="1:18">
      <c r="A2" s="98" t="s">
        <v>34</v>
      </c>
      <c r="B2" s="98"/>
      <c r="C2" s="98"/>
      <c r="D2" s="98"/>
      <c r="E2" s="98"/>
    </row>
    <row r="3" spans="1:18">
      <c r="A3" s="19"/>
      <c r="B3" s="19"/>
      <c r="C3" s="19"/>
      <c r="D3" s="19"/>
      <c r="E3" s="19"/>
    </row>
    <row r="4" spans="1:18">
      <c r="A4" s="106" t="s">
        <v>188</v>
      </c>
      <c r="B4" s="99"/>
      <c r="C4" s="99"/>
      <c r="D4" s="99"/>
      <c r="E4" s="99"/>
    </row>
    <row r="5" spans="1:18" ht="14.15" customHeight="1">
      <c r="A5" s="89" t="s">
        <v>19</v>
      </c>
      <c r="B5" s="89" t="s">
        <v>17</v>
      </c>
      <c r="C5" s="8" t="s">
        <v>5</v>
      </c>
      <c r="D5" s="89" t="s">
        <v>41</v>
      </c>
      <c r="E5" s="8" t="s">
        <v>6</v>
      </c>
      <c r="F5" s="89" t="s">
        <v>41</v>
      </c>
      <c r="G5" s="8" t="s">
        <v>7</v>
      </c>
      <c r="H5" s="89" t="s">
        <v>41</v>
      </c>
      <c r="I5" s="8" t="s">
        <v>8</v>
      </c>
      <c r="J5" s="89" t="s">
        <v>41</v>
      </c>
      <c r="K5" s="8" t="s">
        <v>9</v>
      </c>
      <c r="L5" s="89" t="s">
        <v>78</v>
      </c>
      <c r="M5" s="8" t="s">
        <v>10</v>
      </c>
      <c r="N5" s="89" t="s">
        <v>78</v>
      </c>
      <c r="O5" s="8" t="s">
        <v>11</v>
      </c>
      <c r="P5" s="89" t="s">
        <v>78</v>
      </c>
      <c r="Q5" s="8" t="s">
        <v>12</v>
      </c>
      <c r="R5" s="89" t="s">
        <v>78</v>
      </c>
    </row>
    <row r="6" spans="1:18" s="39" customFormat="1">
      <c r="A6" s="89"/>
      <c r="B6" s="89"/>
      <c r="C6" s="38">
        <v>1.5</v>
      </c>
      <c r="D6" s="89"/>
      <c r="E6" s="38">
        <v>3</v>
      </c>
      <c r="F6" s="89"/>
      <c r="G6" s="38">
        <v>7.5</v>
      </c>
      <c r="H6" s="89"/>
      <c r="I6" s="38">
        <v>30</v>
      </c>
      <c r="J6" s="89"/>
      <c r="K6" s="38">
        <v>150</v>
      </c>
      <c r="L6" s="89"/>
      <c r="M6" s="38">
        <v>750</v>
      </c>
      <c r="N6" s="89"/>
      <c r="O6" s="38">
        <v>1200</v>
      </c>
      <c r="P6" s="89"/>
      <c r="Q6" s="38">
        <v>1500</v>
      </c>
      <c r="R6" s="89"/>
    </row>
    <row r="7" spans="1:18">
      <c r="A7" s="89"/>
      <c r="B7" s="89"/>
      <c r="C7" s="12" t="s">
        <v>118</v>
      </c>
      <c r="D7" s="89"/>
      <c r="E7" s="12" t="s">
        <v>118</v>
      </c>
      <c r="F7" s="89"/>
      <c r="G7" s="12" t="s">
        <v>118</v>
      </c>
      <c r="H7" s="89"/>
      <c r="I7" s="12" t="s">
        <v>118</v>
      </c>
      <c r="J7" s="89"/>
      <c r="K7" s="12" t="s">
        <v>118</v>
      </c>
      <c r="L7" s="89"/>
      <c r="M7" s="12" t="s">
        <v>118</v>
      </c>
      <c r="N7" s="89"/>
      <c r="O7" s="12" t="s">
        <v>118</v>
      </c>
      <c r="P7" s="89"/>
      <c r="Q7" s="12" t="s">
        <v>118</v>
      </c>
      <c r="R7" s="89"/>
    </row>
    <row r="8" spans="1:18">
      <c r="A8" s="104">
        <v>45974</v>
      </c>
      <c r="B8" s="94">
        <v>1</v>
      </c>
      <c r="C8" s="73">
        <v>1.46</v>
      </c>
      <c r="D8" s="72">
        <v>-2.7</v>
      </c>
      <c r="E8" s="73">
        <v>2.8090000000000002</v>
      </c>
      <c r="F8" s="72">
        <v>-6.4</v>
      </c>
      <c r="G8" s="73">
        <v>6.992</v>
      </c>
      <c r="H8" s="72">
        <v>-6.8</v>
      </c>
      <c r="I8" s="73">
        <v>29.216999999999999</v>
      </c>
      <c r="J8" s="72">
        <v>-2.6</v>
      </c>
      <c r="K8" s="73">
        <v>153.50800000000001</v>
      </c>
      <c r="L8" s="72">
        <v>2.2999999999999998</v>
      </c>
      <c r="M8" s="73">
        <v>741.01400000000001</v>
      </c>
      <c r="N8" s="72">
        <v>-1.2</v>
      </c>
      <c r="O8" s="73">
        <v>1236.9000000000001</v>
      </c>
      <c r="P8" s="72">
        <v>3.1</v>
      </c>
      <c r="Q8" s="73">
        <v>1426.3389999999999</v>
      </c>
      <c r="R8" s="72">
        <v>-4.9000000000000004</v>
      </c>
    </row>
    <row r="9" spans="1:18">
      <c r="A9" s="105"/>
      <c r="B9" s="95"/>
      <c r="C9" s="73">
        <v>1.542</v>
      </c>
      <c r="D9" s="72">
        <v>2.8</v>
      </c>
      <c r="E9" s="73">
        <v>3.12</v>
      </c>
      <c r="F9" s="72">
        <v>4</v>
      </c>
      <c r="G9" s="73">
        <v>8.5180000000000007</v>
      </c>
      <c r="H9" s="72">
        <v>13.6</v>
      </c>
      <c r="I9" s="73">
        <v>28.638999999999999</v>
      </c>
      <c r="J9" s="72">
        <v>-4.5</v>
      </c>
      <c r="K9" s="73">
        <v>157.07599999999999</v>
      </c>
      <c r="L9" s="72">
        <v>4.7</v>
      </c>
      <c r="M9" s="73">
        <v>721.63</v>
      </c>
      <c r="N9" s="72">
        <v>-3.8</v>
      </c>
      <c r="O9" s="73">
        <v>1223.1759999999999</v>
      </c>
      <c r="P9" s="72">
        <v>1.9</v>
      </c>
      <c r="Q9" s="73">
        <v>1506.3520000000001</v>
      </c>
      <c r="R9" s="72">
        <v>0.4</v>
      </c>
    </row>
    <row r="10" spans="1:18" ht="14.15" customHeight="1">
      <c r="A10" s="8" t="s">
        <v>21</v>
      </c>
      <c r="B10" s="101"/>
      <c r="C10" s="73">
        <v>1.5009999999999999</v>
      </c>
      <c r="D10" s="101"/>
      <c r="E10" s="73">
        <v>2.9649999999999999</v>
      </c>
      <c r="F10" s="101"/>
      <c r="G10" s="73">
        <v>7.7549999999999999</v>
      </c>
      <c r="H10" s="101"/>
      <c r="I10" s="73">
        <v>28.928000000000001</v>
      </c>
      <c r="J10" s="101"/>
      <c r="K10" s="73">
        <v>155.292</v>
      </c>
      <c r="L10" s="101"/>
      <c r="M10" s="73">
        <v>731.322</v>
      </c>
      <c r="N10" s="101"/>
      <c r="O10" s="73">
        <v>1230.038</v>
      </c>
      <c r="P10" s="101"/>
      <c r="Q10" s="73">
        <v>1466.346</v>
      </c>
      <c r="R10" s="101"/>
    </row>
    <row r="11" spans="1:18" ht="14.15" customHeight="1">
      <c r="A11" s="8" t="s">
        <v>41</v>
      </c>
      <c r="B11" s="102"/>
      <c r="C11" s="72">
        <v>0.1</v>
      </c>
      <c r="D11" s="102"/>
      <c r="E11" s="72">
        <v>-1.2</v>
      </c>
      <c r="F11" s="102"/>
      <c r="G11" s="72">
        <v>3.4</v>
      </c>
      <c r="H11" s="102"/>
      <c r="I11" s="72">
        <v>-3.6</v>
      </c>
      <c r="J11" s="102"/>
      <c r="K11" s="72">
        <v>3.5</v>
      </c>
      <c r="L11" s="102"/>
      <c r="M11" s="72">
        <v>-2.5</v>
      </c>
      <c r="N11" s="102"/>
      <c r="O11" s="72">
        <v>2.5</v>
      </c>
      <c r="P11" s="102"/>
      <c r="Q11" s="72">
        <v>-2.2000000000000002</v>
      </c>
      <c r="R11" s="102"/>
    </row>
    <row r="12" spans="1:18" ht="14.15" customHeight="1">
      <c r="A12" s="8" t="s">
        <v>4</v>
      </c>
      <c r="B12" s="103"/>
      <c r="C12" s="71">
        <v>2</v>
      </c>
      <c r="D12" s="103"/>
      <c r="E12" s="71">
        <v>2</v>
      </c>
      <c r="F12" s="103"/>
      <c r="G12" s="71">
        <v>2</v>
      </c>
      <c r="H12" s="103"/>
      <c r="I12" s="71">
        <v>2</v>
      </c>
      <c r="J12" s="103"/>
      <c r="K12" s="71">
        <v>2</v>
      </c>
      <c r="L12" s="103"/>
      <c r="M12" s="71">
        <v>2</v>
      </c>
      <c r="N12" s="103"/>
      <c r="O12" s="71">
        <v>2</v>
      </c>
      <c r="P12" s="103"/>
      <c r="Q12" s="71">
        <v>2</v>
      </c>
      <c r="R12" s="103"/>
    </row>
    <row r="13" spans="1:18">
      <c r="A13" s="107"/>
      <c r="B13" s="107"/>
      <c r="C13" s="107"/>
      <c r="D13" s="107"/>
    </row>
    <row r="14" spans="1:18">
      <c r="A14" s="106" t="s">
        <v>203</v>
      </c>
      <c r="B14" s="99"/>
      <c r="C14" s="99"/>
      <c r="D14" s="99"/>
      <c r="E14" s="99"/>
    </row>
    <row r="15" spans="1:18" ht="14.15" customHeight="1">
      <c r="A15" s="89" t="s">
        <v>19</v>
      </c>
      <c r="B15" s="89" t="s">
        <v>17</v>
      </c>
      <c r="C15" s="8" t="s">
        <v>5</v>
      </c>
      <c r="D15" s="89" t="s">
        <v>41</v>
      </c>
      <c r="E15" s="8" t="s">
        <v>6</v>
      </c>
      <c r="F15" s="89" t="s">
        <v>41</v>
      </c>
      <c r="G15" s="8" t="s">
        <v>7</v>
      </c>
      <c r="H15" s="89" t="s">
        <v>41</v>
      </c>
      <c r="I15" s="8" t="s">
        <v>8</v>
      </c>
      <c r="J15" s="89" t="s">
        <v>41</v>
      </c>
      <c r="K15" s="8" t="s">
        <v>9</v>
      </c>
      <c r="L15" s="89" t="s">
        <v>78</v>
      </c>
      <c r="M15" s="8" t="s">
        <v>10</v>
      </c>
      <c r="N15" s="89" t="s">
        <v>78</v>
      </c>
      <c r="O15" s="8" t="s">
        <v>11</v>
      </c>
      <c r="P15" s="89" t="s">
        <v>78</v>
      </c>
      <c r="Q15" s="8" t="s">
        <v>12</v>
      </c>
      <c r="R15" s="89" t="s">
        <v>78</v>
      </c>
    </row>
    <row r="16" spans="1:18" s="39" customFormat="1">
      <c r="A16" s="89"/>
      <c r="B16" s="89"/>
      <c r="C16" s="38">
        <v>1.5</v>
      </c>
      <c r="D16" s="89"/>
      <c r="E16" s="38">
        <v>3</v>
      </c>
      <c r="F16" s="89"/>
      <c r="G16" s="38">
        <v>7.5</v>
      </c>
      <c r="H16" s="89"/>
      <c r="I16" s="38">
        <v>30</v>
      </c>
      <c r="J16" s="89"/>
      <c r="K16" s="38">
        <v>150</v>
      </c>
      <c r="L16" s="89"/>
      <c r="M16" s="38">
        <v>750</v>
      </c>
      <c r="N16" s="89"/>
      <c r="O16" s="38">
        <v>1200</v>
      </c>
      <c r="P16" s="89"/>
      <c r="Q16" s="38">
        <v>1500</v>
      </c>
      <c r="R16" s="89"/>
    </row>
    <row r="17" spans="1:18">
      <c r="A17" s="89"/>
      <c r="B17" s="89"/>
      <c r="C17" s="12" t="s">
        <v>118</v>
      </c>
      <c r="D17" s="89"/>
      <c r="E17" s="12" t="s">
        <v>118</v>
      </c>
      <c r="F17" s="89"/>
      <c r="G17" s="12" t="s">
        <v>118</v>
      </c>
      <c r="H17" s="89"/>
      <c r="I17" s="12" t="s">
        <v>118</v>
      </c>
      <c r="J17" s="89"/>
      <c r="K17" s="12" t="s">
        <v>118</v>
      </c>
      <c r="L17" s="89"/>
      <c r="M17" s="12" t="s">
        <v>118</v>
      </c>
      <c r="N17" s="89"/>
      <c r="O17" s="12" t="s">
        <v>118</v>
      </c>
      <c r="P17" s="89"/>
      <c r="Q17" s="12" t="s">
        <v>118</v>
      </c>
      <c r="R17" s="89"/>
    </row>
    <row r="18" spans="1:18">
      <c r="A18" s="104">
        <v>45974</v>
      </c>
      <c r="B18" s="94">
        <v>1</v>
      </c>
      <c r="C18" s="73">
        <v>1.474</v>
      </c>
      <c r="D18" s="72">
        <v>-1.7</v>
      </c>
      <c r="E18" s="73">
        <v>2.8759999999999999</v>
      </c>
      <c r="F18" s="72">
        <v>-4.0999999999999996</v>
      </c>
      <c r="G18" s="73">
        <v>7.7619999999999996</v>
      </c>
      <c r="H18" s="72">
        <v>3.5</v>
      </c>
      <c r="I18" s="73">
        <v>30.396999999999998</v>
      </c>
      <c r="J18" s="72">
        <v>1.3</v>
      </c>
      <c r="K18" s="73">
        <v>150.78</v>
      </c>
      <c r="L18" s="72">
        <v>0.5</v>
      </c>
      <c r="M18" s="73">
        <v>739.76599999999996</v>
      </c>
      <c r="N18" s="72">
        <v>-1.4</v>
      </c>
      <c r="O18" s="73">
        <v>1160.114</v>
      </c>
      <c r="P18" s="72">
        <v>-3.3</v>
      </c>
      <c r="Q18" s="73">
        <v>1435.913</v>
      </c>
      <c r="R18" s="72">
        <v>-4.3</v>
      </c>
    </row>
    <row r="19" spans="1:18">
      <c r="A19" s="105"/>
      <c r="B19" s="95"/>
      <c r="C19" s="73">
        <v>1.5569999999999999</v>
      </c>
      <c r="D19" s="72">
        <v>3.8</v>
      </c>
      <c r="E19" s="73">
        <v>2.871</v>
      </c>
      <c r="F19" s="72">
        <v>-4.3</v>
      </c>
      <c r="G19" s="73">
        <v>8.0280000000000005</v>
      </c>
      <c r="H19" s="72">
        <v>7</v>
      </c>
      <c r="I19" s="73">
        <v>29.292000000000002</v>
      </c>
      <c r="J19" s="72">
        <v>-2.4</v>
      </c>
      <c r="K19" s="73">
        <v>158.14699999999999</v>
      </c>
      <c r="L19" s="72">
        <v>5.4</v>
      </c>
      <c r="M19" s="73">
        <v>777.67</v>
      </c>
      <c r="N19" s="72">
        <v>3.7</v>
      </c>
      <c r="O19" s="73">
        <v>1219.3389999999999</v>
      </c>
      <c r="P19" s="72">
        <v>1.6</v>
      </c>
      <c r="Q19" s="73">
        <v>1417.894</v>
      </c>
      <c r="R19" s="72">
        <v>-5.5</v>
      </c>
    </row>
    <row r="20" spans="1:18" ht="14.15" customHeight="1">
      <c r="A20" s="8" t="s">
        <v>21</v>
      </c>
      <c r="B20" s="101"/>
      <c r="C20" s="73">
        <v>1.516</v>
      </c>
      <c r="D20" s="101"/>
      <c r="E20" s="73">
        <v>2.8740000000000001</v>
      </c>
      <c r="F20" s="101"/>
      <c r="G20" s="73">
        <v>7.8949999999999996</v>
      </c>
      <c r="H20" s="101"/>
      <c r="I20" s="73">
        <v>29.844999999999999</v>
      </c>
      <c r="J20" s="101"/>
      <c r="K20" s="73">
        <v>154.464</v>
      </c>
      <c r="L20" s="101"/>
      <c r="M20" s="73">
        <v>758.71799999999996</v>
      </c>
      <c r="N20" s="101"/>
      <c r="O20" s="73">
        <v>1189.7270000000001</v>
      </c>
      <c r="P20" s="101"/>
      <c r="Q20" s="73">
        <v>1426.904</v>
      </c>
      <c r="R20" s="101"/>
    </row>
    <row r="21" spans="1:18" ht="14.15" customHeight="1">
      <c r="A21" s="8" t="s">
        <v>41</v>
      </c>
      <c r="B21" s="102"/>
      <c r="C21" s="72">
        <v>1.1000000000000001</v>
      </c>
      <c r="D21" s="102"/>
      <c r="E21" s="72">
        <v>-4.2</v>
      </c>
      <c r="F21" s="102"/>
      <c r="G21" s="72">
        <v>5.3</v>
      </c>
      <c r="H21" s="102"/>
      <c r="I21" s="72">
        <v>-0.5</v>
      </c>
      <c r="J21" s="102"/>
      <c r="K21" s="72">
        <v>3</v>
      </c>
      <c r="L21" s="102"/>
      <c r="M21" s="72">
        <v>1.2</v>
      </c>
      <c r="N21" s="102"/>
      <c r="O21" s="72">
        <v>-0.9</v>
      </c>
      <c r="P21" s="102"/>
      <c r="Q21" s="72">
        <v>-4.9000000000000004</v>
      </c>
      <c r="R21" s="102"/>
    </row>
    <row r="22" spans="1:18" ht="14.15" customHeight="1">
      <c r="A22" s="8" t="s">
        <v>4</v>
      </c>
      <c r="B22" s="103"/>
      <c r="C22" s="71">
        <v>2</v>
      </c>
      <c r="D22" s="103"/>
      <c r="E22" s="71">
        <v>2</v>
      </c>
      <c r="F22" s="103"/>
      <c r="G22" s="71">
        <v>2</v>
      </c>
      <c r="H22" s="103"/>
      <c r="I22" s="71">
        <v>2</v>
      </c>
      <c r="J22" s="103"/>
      <c r="K22" s="71">
        <v>2</v>
      </c>
      <c r="L22" s="103"/>
      <c r="M22" s="71">
        <v>2</v>
      </c>
      <c r="N22" s="103"/>
      <c r="O22" s="71">
        <v>2</v>
      </c>
      <c r="P22" s="103"/>
      <c r="Q22" s="71">
        <v>2</v>
      </c>
      <c r="R22" s="103"/>
    </row>
  </sheetData>
  <mergeCells count="46">
    <mergeCell ref="N20:N22"/>
    <mergeCell ref="P20:P22"/>
    <mergeCell ref="R20:R22"/>
    <mergeCell ref="A18:A19"/>
    <mergeCell ref="B18:B19"/>
    <mergeCell ref="D20:D22"/>
    <mergeCell ref="F20:F22"/>
    <mergeCell ref="H20:H22"/>
    <mergeCell ref="B20:B22"/>
    <mergeCell ref="J20:J22"/>
    <mergeCell ref="L20:L22"/>
    <mergeCell ref="R15:R17"/>
    <mergeCell ref="H15:H17"/>
    <mergeCell ref="J15:J17"/>
    <mergeCell ref="L15:L17"/>
    <mergeCell ref="N15:N17"/>
    <mergeCell ref="P15:P17"/>
    <mergeCell ref="A15:A17"/>
    <mergeCell ref="B15:B17"/>
    <mergeCell ref="D15:D17"/>
    <mergeCell ref="F15:F17"/>
    <mergeCell ref="A13:D13"/>
    <mergeCell ref="A2:E2"/>
    <mergeCell ref="A4:E4"/>
    <mergeCell ref="A5:A7"/>
    <mergeCell ref="B5:B7"/>
    <mergeCell ref="A14:E14"/>
    <mergeCell ref="D5:D7"/>
    <mergeCell ref="D10:D12"/>
    <mergeCell ref="P5:P7"/>
    <mergeCell ref="N10:N12"/>
    <mergeCell ref="J5:J7"/>
    <mergeCell ref="R10:R12"/>
    <mergeCell ref="L10:L12"/>
    <mergeCell ref="R5:R7"/>
    <mergeCell ref="P10:P12"/>
    <mergeCell ref="B10:B12"/>
    <mergeCell ref="A8:A9"/>
    <mergeCell ref="B8:B9"/>
    <mergeCell ref="L5:L7"/>
    <mergeCell ref="N5:N7"/>
    <mergeCell ref="F5:F7"/>
    <mergeCell ref="H10:H12"/>
    <mergeCell ref="J10:J12"/>
    <mergeCell ref="H5:H7"/>
    <mergeCell ref="F10:F12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59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2:Q65"/>
  <sheetViews>
    <sheetView zoomScaleNormal="100" zoomScaleSheetLayoutView="100" workbookViewId="0">
      <selection activeCell="L30" sqref="A4:L34"/>
    </sheetView>
  </sheetViews>
  <sheetFormatPr defaultColWidth="8.83203125" defaultRowHeight="13.5"/>
  <cols>
    <col min="1" max="1" width="18.08203125" style="18" customWidth="1"/>
    <col min="2" max="2" width="9.83203125" style="18" customWidth="1"/>
    <col min="3" max="10" width="10.83203125" style="18" customWidth="1"/>
    <col min="11" max="11" width="12.33203125" style="18" customWidth="1"/>
    <col min="12" max="12" width="12" style="18" customWidth="1"/>
    <col min="13" max="16384" width="8.83203125" style="18"/>
  </cols>
  <sheetData>
    <row r="2" spans="1:16">
      <c r="A2" s="98" t="s">
        <v>33</v>
      </c>
      <c r="B2" s="98"/>
      <c r="C2" s="98"/>
      <c r="D2" s="98"/>
      <c r="E2" s="98"/>
    </row>
    <row r="3" spans="1:16">
      <c r="A3" s="19"/>
      <c r="B3" s="19"/>
      <c r="C3" s="19"/>
      <c r="D3" s="19"/>
      <c r="E3" s="19"/>
    </row>
    <row r="4" spans="1:16">
      <c r="A4" s="112" t="s">
        <v>188</v>
      </c>
      <c r="B4" s="113"/>
      <c r="C4" s="113"/>
      <c r="D4" s="113"/>
      <c r="E4" s="113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 ht="14.15" customHeight="1">
      <c r="A5" s="111" t="s">
        <v>19</v>
      </c>
      <c r="B5" s="111" t="s">
        <v>17</v>
      </c>
      <c r="C5" s="16" t="s">
        <v>0</v>
      </c>
      <c r="D5" s="114" t="s">
        <v>41</v>
      </c>
      <c r="E5" s="36" t="s">
        <v>2</v>
      </c>
      <c r="F5" s="114" t="s">
        <v>41</v>
      </c>
      <c r="G5" s="36" t="s">
        <v>60</v>
      </c>
      <c r="H5" s="114" t="s">
        <v>41</v>
      </c>
      <c r="I5" s="36" t="s">
        <v>61</v>
      </c>
      <c r="J5" s="114" t="s">
        <v>41</v>
      </c>
      <c r="K5" s="36" t="s">
        <v>1</v>
      </c>
      <c r="L5" s="111" t="s">
        <v>41</v>
      </c>
      <c r="M5" s="35"/>
      <c r="N5" s="35"/>
      <c r="O5" s="35"/>
      <c r="P5" s="35"/>
    </row>
    <row r="6" spans="1:16" ht="14.15" customHeight="1">
      <c r="A6" s="111"/>
      <c r="B6" s="111"/>
      <c r="C6" s="37">
        <v>1.5</v>
      </c>
      <c r="D6" s="115"/>
      <c r="E6" s="37">
        <v>4.5</v>
      </c>
      <c r="F6" s="115"/>
      <c r="G6" s="37">
        <v>45</v>
      </c>
      <c r="H6" s="115"/>
      <c r="I6" s="37">
        <v>450</v>
      </c>
      <c r="J6" s="115"/>
      <c r="K6" s="37">
        <v>1125</v>
      </c>
      <c r="L6" s="111"/>
      <c r="M6" s="35"/>
      <c r="N6" s="35"/>
      <c r="O6" s="35"/>
      <c r="P6" s="35"/>
    </row>
    <row r="7" spans="1:16" ht="14.15" customHeight="1">
      <c r="A7" s="111"/>
      <c r="B7" s="111"/>
      <c r="C7" s="17" t="s">
        <v>118</v>
      </c>
      <c r="D7" s="116"/>
      <c r="E7" s="17" t="s">
        <v>118</v>
      </c>
      <c r="F7" s="116"/>
      <c r="G7" s="17" t="s">
        <v>118</v>
      </c>
      <c r="H7" s="116"/>
      <c r="I7" s="17" t="s">
        <v>118</v>
      </c>
      <c r="J7" s="116"/>
      <c r="K7" s="17" t="s">
        <v>118</v>
      </c>
      <c r="L7" s="111"/>
      <c r="M7" s="35"/>
      <c r="N7" s="35"/>
      <c r="O7" s="35"/>
      <c r="P7" s="35"/>
    </row>
    <row r="8" spans="1:16">
      <c r="A8" s="117">
        <v>45974</v>
      </c>
      <c r="B8" s="114">
        <v>1</v>
      </c>
      <c r="C8" s="70">
        <v>1.357</v>
      </c>
      <c r="D8" s="74">
        <v>-9.5</v>
      </c>
      <c r="E8" s="70">
        <v>5.0940000000000003</v>
      </c>
      <c r="F8" s="74">
        <v>13.2</v>
      </c>
      <c r="G8" s="70">
        <v>43.499000000000002</v>
      </c>
      <c r="H8" s="74">
        <v>-3.3</v>
      </c>
      <c r="I8" s="70">
        <v>460.42599999999999</v>
      </c>
      <c r="J8" s="74">
        <v>2.2999999999999998</v>
      </c>
      <c r="K8" s="70">
        <v>1169.5540000000001</v>
      </c>
      <c r="L8" s="74">
        <v>4</v>
      </c>
      <c r="M8" s="35"/>
      <c r="N8" s="35"/>
      <c r="O8" s="35"/>
      <c r="P8" s="35"/>
    </row>
    <row r="9" spans="1:16">
      <c r="A9" s="117"/>
      <c r="B9" s="115"/>
      <c r="C9" s="70">
        <v>1.254</v>
      </c>
      <c r="D9" s="74">
        <v>-16.399999999999999</v>
      </c>
      <c r="E9" s="70">
        <v>3.972</v>
      </c>
      <c r="F9" s="74">
        <v>-11.7</v>
      </c>
      <c r="G9" s="70">
        <v>44.823999999999998</v>
      </c>
      <c r="H9" s="74">
        <v>-0.4</v>
      </c>
      <c r="I9" s="70">
        <v>478.95400000000001</v>
      </c>
      <c r="J9" s="74">
        <v>6.4</v>
      </c>
      <c r="K9" s="70">
        <v>1180.443</v>
      </c>
      <c r="L9" s="74">
        <v>4.9000000000000004</v>
      </c>
      <c r="M9" s="35"/>
      <c r="N9" s="35"/>
      <c r="O9" s="35"/>
      <c r="P9" s="35"/>
    </row>
    <row r="10" spans="1:16">
      <c r="A10" s="117"/>
      <c r="B10" s="115"/>
      <c r="C10" s="70">
        <v>1.379</v>
      </c>
      <c r="D10" s="74">
        <v>-8.1</v>
      </c>
      <c r="E10" s="70">
        <v>4.7839999999999998</v>
      </c>
      <c r="F10" s="74">
        <v>6.3</v>
      </c>
      <c r="G10" s="70">
        <v>46.619</v>
      </c>
      <c r="H10" s="74">
        <v>3.6</v>
      </c>
      <c r="I10" s="70">
        <v>423.25599999999997</v>
      </c>
      <c r="J10" s="74">
        <v>-5.9</v>
      </c>
      <c r="K10" s="70">
        <v>1124.9480000000001</v>
      </c>
      <c r="L10" s="74">
        <v>0</v>
      </c>
      <c r="M10" s="35"/>
      <c r="N10" s="35"/>
      <c r="O10" s="35"/>
      <c r="P10" s="35"/>
    </row>
    <row r="11" spans="1:16">
      <c r="A11" s="117"/>
      <c r="B11" s="115"/>
      <c r="C11" s="70">
        <v>1.264</v>
      </c>
      <c r="D11" s="74">
        <v>-15.7</v>
      </c>
      <c r="E11" s="70">
        <v>4.3689999999999998</v>
      </c>
      <c r="F11" s="74">
        <v>-2.9</v>
      </c>
      <c r="G11" s="70">
        <v>46.378999999999998</v>
      </c>
      <c r="H11" s="74">
        <v>3.1</v>
      </c>
      <c r="I11" s="70">
        <v>440.45400000000001</v>
      </c>
      <c r="J11" s="74">
        <v>-2.1</v>
      </c>
      <c r="K11" s="70">
        <v>1105.876</v>
      </c>
      <c r="L11" s="74">
        <v>-1.7</v>
      </c>
      <c r="M11" s="35"/>
      <c r="N11" s="35"/>
      <c r="O11" s="35"/>
      <c r="P11" s="35"/>
    </row>
    <row r="12" spans="1:16">
      <c r="A12" s="117"/>
      <c r="B12" s="115"/>
      <c r="C12" s="70">
        <v>1.57</v>
      </c>
      <c r="D12" s="74">
        <v>4.7</v>
      </c>
      <c r="E12" s="70">
        <v>4.6929999999999996</v>
      </c>
      <c r="F12" s="74">
        <v>4.3</v>
      </c>
      <c r="G12" s="70">
        <v>44.241999999999997</v>
      </c>
      <c r="H12" s="74">
        <v>-1.7</v>
      </c>
      <c r="I12" s="70">
        <v>428.90699999999998</v>
      </c>
      <c r="J12" s="74">
        <v>-4.7</v>
      </c>
      <c r="K12" s="70">
        <v>1096.0219999999999</v>
      </c>
      <c r="L12" s="74">
        <v>-2.6</v>
      </c>
      <c r="M12" s="35"/>
      <c r="N12" s="35"/>
      <c r="O12" s="35"/>
      <c r="P12" s="35"/>
    </row>
    <row r="13" spans="1:16">
      <c r="A13" s="117"/>
      <c r="B13" s="116"/>
      <c r="C13" s="70">
        <v>1.3320000000000001</v>
      </c>
      <c r="D13" s="74">
        <v>-11.2</v>
      </c>
      <c r="E13" s="70">
        <v>4.149</v>
      </c>
      <c r="F13" s="74">
        <v>-7.8</v>
      </c>
      <c r="G13" s="70">
        <v>46.831000000000003</v>
      </c>
      <c r="H13" s="74">
        <v>4.0999999999999996</v>
      </c>
      <c r="I13" s="70">
        <v>448.42500000000001</v>
      </c>
      <c r="J13" s="74">
        <v>-0.4</v>
      </c>
      <c r="K13" s="70">
        <v>1126.701</v>
      </c>
      <c r="L13" s="74">
        <v>0.2</v>
      </c>
      <c r="M13" s="35"/>
      <c r="N13" s="35"/>
      <c r="O13" s="35"/>
      <c r="P13" s="35"/>
    </row>
    <row r="14" spans="1:16" ht="13.5" customHeight="1">
      <c r="A14" s="36" t="s">
        <v>160</v>
      </c>
      <c r="B14" s="108"/>
      <c r="C14" s="70">
        <v>1.359</v>
      </c>
      <c r="D14" s="108"/>
      <c r="E14" s="70">
        <v>4.51</v>
      </c>
      <c r="F14" s="108"/>
      <c r="G14" s="70">
        <v>45.399000000000001</v>
      </c>
      <c r="H14" s="108"/>
      <c r="I14" s="70">
        <v>446.73700000000002</v>
      </c>
      <c r="J14" s="108"/>
      <c r="K14" s="70">
        <v>1133.924</v>
      </c>
      <c r="L14" s="108"/>
      <c r="M14" s="35"/>
      <c r="N14" s="35"/>
      <c r="O14" s="35"/>
      <c r="P14" s="35"/>
    </row>
    <row r="15" spans="1:16" ht="13.5" customHeight="1">
      <c r="A15" s="36" t="s">
        <v>161</v>
      </c>
      <c r="B15" s="109"/>
      <c r="C15" s="70">
        <v>0.115</v>
      </c>
      <c r="D15" s="109"/>
      <c r="E15" s="70">
        <v>0.42199999999999999</v>
      </c>
      <c r="F15" s="109"/>
      <c r="G15" s="70">
        <v>1.3979999999999999</v>
      </c>
      <c r="H15" s="109"/>
      <c r="I15" s="70">
        <v>20.672999999999998</v>
      </c>
      <c r="J15" s="109"/>
      <c r="K15" s="70">
        <v>34.027999999999999</v>
      </c>
      <c r="L15" s="109"/>
      <c r="M15" s="35"/>
      <c r="N15" s="35"/>
      <c r="O15" s="35"/>
      <c r="P15" s="35"/>
    </row>
    <row r="16" spans="1:16" ht="13.5" customHeight="1">
      <c r="A16" s="36" t="s">
        <v>42</v>
      </c>
      <c r="B16" s="109"/>
      <c r="C16" s="74">
        <v>8.5</v>
      </c>
      <c r="D16" s="109"/>
      <c r="E16" s="74">
        <v>9.4</v>
      </c>
      <c r="F16" s="109"/>
      <c r="G16" s="74">
        <v>3.1</v>
      </c>
      <c r="H16" s="109"/>
      <c r="I16" s="74">
        <v>4.5999999999999996</v>
      </c>
      <c r="J16" s="109"/>
      <c r="K16" s="74">
        <v>3</v>
      </c>
      <c r="L16" s="109"/>
      <c r="M16" s="35"/>
      <c r="N16" s="35"/>
      <c r="O16" s="35"/>
      <c r="P16" s="35"/>
    </row>
    <row r="17" spans="1:16" ht="13.5" customHeight="1">
      <c r="A17" s="36" t="s">
        <v>43</v>
      </c>
      <c r="B17" s="109"/>
      <c r="C17" s="74">
        <v>-9.4</v>
      </c>
      <c r="D17" s="109"/>
      <c r="E17" s="74">
        <v>0.2</v>
      </c>
      <c r="F17" s="109"/>
      <c r="G17" s="74">
        <v>0.9</v>
      </c>
      <c r="H17" s="109"/>
      <c r="I17" s="74">
        <v>-0.7</v>
      </c>
      <c r="J17" s="109"/>
      <c r="K17" s="74">
        <v>0.8</v>
      </c>
      <c r="L17" s="109"/>
      <c r="M17" s="35"/>
      <c r="N17" s="35"/>
      <c r="O17" s="35"/>
      <c r="P17" s="35"/>
    </row>
    <row r="18" spans="1:16" ht="13.5" customHeight="1">
      <c r="A18" s="36" t="s">
        <v>4</v>
      </c>
      <c r="B18" s="110"/>
      <c r="C18" s="69">
        <v>6</v>
      </c>
      <c r="D18" s="110"/>
      <c r="E18" s="69">
        <v>6</v>
      </c>
      <c r="F18" s="110"/>
      <c r="G18" s="69">
        <v>6</v>
      </c>
      <c r="H18" s="110"/>
      <c r="I18" s="69">
        <v>6</v>
      </c>
      <c r="J18" s="110"/>
      <c r="K18" s="69">
        <v>6</v>
      </c>
      <c r="L18" s="110"/>
      <c r="M18" s="35"/>
      <c r="N18" s="35"/>
      <c r="O18" s="35"/>
      <c r="P18" s="35"/>
    </row>
    <row r="20" spans="1:16">
      <c r="A20" s="106" t="s">
        <v>203</v>
      </c>
      <c r="B20" s="99"/>
      <c r="C20" s="99"/>
      <c r="D20" s="99"/>
      <c r="E20" s="99"/>
    </row>
    <row r="21" spans="1:16" ht="14.15" customHeight="1">
      <c r="A21" s="111" t="s">
        <v>19</v>
      </c>
      <c r="B21" s="111" t="s">
        <v>17</v>
      </c>
      <c r="C21" s="16" t="s">
        <v>0</v>
      </c>
      <c r="D21" s="111" t="s">
        <v>41</v>
      </c>
      <c r="E21" s="36" t="s">
        <v>2</v>
      </c>
      <c r="F21" s="111" t="s">
        <v>41</v>
      </c>
      <c r="G21" s="36" t="s">
        <v>60</v>
      </c>
      <c r="H21" s="111" t="s">
        <v>41</v>
      </c>
      <c r="I21" s="36" t="s">
        <v>61</v>
      </c>
      <c r="J21" s="111" t="s">
        <v>41</v>
      </c>
      <c r="K21" s="36" t="s">
        <v>1</v>
      </c>
      <c r="L21" s="111" t="s">
        <v>41</v>
      </c>
      <c r="M21" s="35"/>
      <c r="N21" s="35"/>
      <c r="O21" s="35"/>
      <c r="P21" s="35"/>
    </row>
    <row r="22" spans="1:16" ht="14.15" customHeight="1">
      <c r="A22" s="111"/>
      <c r="B22" s="111"/>
      <c r="C22" s="37">
        <v>1.5</v>
      </c>
      <c r="D22" s="111"/>
      <c r="E22" s="37">
        <v>4.5</v>
      </c>
      <c r="F22" s="111"/>
      <c r="G22" s="37">
        <v>45</v>
      </c>
      <c r="H22" s="111"/>
      <c r="I22" s="37">
        <v>450</v>
      </c>
      <c r="J22" s="111"/>
      <c r="K22" s="37">
        <v>1125</v>
      </c>
      <c r="L22" s="111"/>
      <c r="M22" s="35"/>
      <c r="N22" s="35"/>
      <c r="O22" s="35"/>
      <c r="P22" s="35"/>
    </row>
    <row r="23" spans="1:16" ht="14.15" customHeight="1">
      <c r="A23" s="111"/>
      <c r="B23" s="111"/>
      <c r="C23" s="17" t="s">
        <v>118</v>
      </c>
      <c r="D23" s="111"/>
      <c r="E23" s="17" t="s">
        <v>118</v>
      </c>
      <c r="F23" s="111"/>
      <c r="G23" s="17" t="s">
        <v>118</v>
      </c>
      <c r="H23" s="111"/>
      <c r="I23" s="17" t="s">
        <v>118</v>
      </c>
      <c r="J23" s="111"/>
      <c r="K23" s="17" t="s">
        <v>118</v>
      </c>
      <c r="L23" s="111"/>
      <c r="M23" s="35"/>
      <c r="N23" s="35"/>
      <c r="O23" s="35"/>
      <c r="P23" s="35"/>
    </row>
    <row r="24" spans="1:16">
      <c r="A24" s="117">
        <v>45974</v>
      </c>
      <c r="B24" s="114">
        <v>1</v>
      </c>
      <c r="C24" s="70">
        <v>1.5189999999999999</v>
      </c>
      <c r="D24" s="74">
        <v>1.3</v>
      </c>
      <c r="E24" s="70">
        <v>4.5750000000000002</v>
      </c>
      <c r="F24" s="74">
        <v>1.7</v>
      </c>
      <c r="G24" s="70">
        <v>47.920999999999999</v>
      </c>
      <c r="H24" s="74">
        <v>6.5</v>
      </c>
      <c r="I24" s="70">
        <v>461.05799999999999</v>
      </c>
      <c r="J24" s="74">
        <v>2.5</v>
      </c>
      <c r="K24" s="70">
        <v>1186.6130000000001</v>
      </c>
      <c r="L24" s="74">
        <v>5.5</v>
      </c>
      <c r="M24" s="35"/>
      <c r="N24" s="35"/>
      <c r="O24" s="35"/>
      <c r="P24" s="35"/>
    </row>
    <row r="25" spans="1:16">
      <c r="A25" s="117"/>
      <c r="B25" s="115"/>
      <c r="C25" s="70">
        <v>1.423</v>
      </c>
      <c r="D25" s="74">
        <v>-5.0999999999999996</v>
      </c>
      <c r="E25" s="70">
        <v>4.7350000000000003</v>
      </c>
      <c r="F25" s="74">
        <v>5.2</v>
      </c>
      <c r="G25" s="70">
        <v>46.35</v>
      </c>
      <c r="H25" s="74">
        <v>3</v>
      </c>
      <c r="I25" s="70">
        <v>471.71</v>
      </c>
      <c r="J25" s="74">
        <v>4.8</v>
      </c>
      <c r="K25" s="70">
        <v>1159.7349999999999</v>
      </c>
      <c r="L25" s="74">
        <v>3.1</v>
      </c>
      <c r="M25" s="35"/>
      <c r="N25" s="35"/>
      <c r="O25" s="35"/>
      <c r="P25" s="35"/>
    </row>
    <row r="26" spans="1:16">
      <c r="A26" s="117"/>
      <c r="B26" s="115"/>
      <c r="C26" s="70">
        <v>1.492</v>
      </c>
      <c r="D26" s="74">
        <v>-0.5</v>
      </c>
      <c r="E26" s="70">
        <v>4.72</v>
      </c>
      <c r="F26" s="74">
        <v>4.9000000000000004</v>
      </c>
      <c r="G26" s="70">
        <v>49.813000000000002</v>
      </c>
      <c r="H26" s="74">
        <v>10.7</v>
      </c>
      <c r="I26" s="70">
        <v>448.214</v>
      </c>
      <c r="J26" s="74">
        <v>-0.4</v>
      </c>
      <c r="K26" s="70">
        <v>1164.0029999999999</v>
      </c>
      <c r="L26" s="74">
        <v>3.5</v>
      </c>
      <c r="M26" s="35"/>
      <c r="N26" s="35"/>
      <c r="O26" s="35"/>
      <c r="P26" s="35"/>
    </row>
    <row r="27" spans="1:16">
      <c r="A27" s="117"/>
      <c r="B27" s="115"/>
      <c r="C27" s="70">
        <v>1.647</v>
      </c>
      <c r="D27" s="74">
        <v>9.8000000000000007</v>
      </c>
      <c r="E27" s="70">
        <v>4.3369999999999997</v>
      </c>
      <c r="F27" s="74">
        <v>-3.6</v>
      </c>
      <c r="G27" s="70">
        <v>46.335999999999999</v>
      </c>
      <c r="H27" s="74">
        <v>3</v>
      </c>
      <c r="I27" s="70">
        <v>490.815</v>
      </c>
      <c r="J27" s="74">
        <v>9.1</v>
      </c>
      <c r="K27" s="70">
        <v>1120.663</v>
      </c>
      <c r="L27" s="74">
        <v>-0.4</v>
      </c>
      <c r="M27" s="35"/>
      <c r="N27" s="35"/>
      <c r="O27" s="35"/>
      <c r="P27" s="35"/>
    </row>
    <row r="28" spans="1:16">
      <c r="A28" s="117"/>
      <c r="B28" s="115"/>
      <c r="C28" s="70">
        <v>1.5089999999999999</v>
      </c>
      <c r="D28" s="74">
        <v>0.6</v>
      </c>
      <c r="E28" s="70">
        <v>4.5650000000000004</v>
      </c>
      <c r="F28" s="74">
        <v>1.4</v>
      </c>
      <c r="G28" s="70">
        <v>47.548000000000002</v>
      </c>
      <c r="H28" s="74">
        <v>5.7</v>
      </c>
      <c r="I28" s="70">
        <v>472.733</v>
      </c>
      <c r="J28" s="74">
        <v>5.0999999999999996</v>
      </c>
      <c r="K28" s="70">
        <v>1146.067</v>
      </c>
      <c r="L28" s="74">
        <v>1.9</v>
      </c>
      <c r="M28" s="35"/>
      <c r="N28" s="35"/>
      <c r="O28" s="35"/>
      <c r="P28" s="35"/>
    </row>
    <row r="29" spans="1:16">
      <c r="A29" s="117"/>
      <c r="B29" s="116"/>
      <c r="C29" s="70">
        <v>1.4059999999999999</v>
      </c>
      <c r="D29" s="74">
        <v>-6.3</v>
      </c>
      <c r="E29" s="70">
        <v>4.649</v>
      </c>
      <c r="F29" s="74">
        <v>3.3</v>
      </c>
      <c r="G29" s="70">
        <v>49.716999999999999</v>
      </c>
      <c r="H29" s="74">
        <v>10.5</v>
      </c>
      <c r="I29" s="70">
        <v>461.03699999999998</v>
      </c>
      <c r="J29" s="74">
        <v>2.5</v>
      </c>
      <c r="K29" s="70">
        <v>1111.712</v>
      </c>
      <c r="L29" s="74">
        <v>-1.2</v>
      </c>
      <c r="M29" s="35"/>
      <c r="N29" s="35"/>
      <c r="O29" s="35"/>
      <c r="P29" s="35"/>
    </row>
    <row r="30" spans="1:16" ht="13.5" customHeight="1">
      <c r="A30" s="36" t="s">
        <v>160</v>
      </c>
      <c r="B30" s="108"/>
      <c r="C30" s="70">
        <v>1.4990000000000001</v>
      </c>
      <c r="D30" s="108"/>
      <c r="E30" s="70">
        <v>4.5970000000000004</v>
      </c>
      <c r="F30" s="108"/>
      <c r="G30" s="70">
        <v>47.948</v>
      </c>
      <c r="H30" s="108"/>
      <c r="I30" s="70">
        <v>467.59500000000003</v>
      </c>
      <c r="J30" s="108"/>
      <c r="K30" s="70">
        <v>1148.1320000000001</v>
      </c>
      <c r="L30" s="108"/>
      <c r="M30" s="35"/>
      <c r="N30" s="35"/>
      <c r="O30" s="35"/>
      <c r="P30" s="35"/>
    </row>
    <row r="31" spans="1:16" ht="13.5" customHeight="1">
      <c r="A31" s="36" t="s">
        <v>161</v>
      </c>
      <c r="B31" s="109"/>
      <c r="C31" s="70">
        <v>8.5999999999999993E-2</v>
      </c>
      <c r="D31" s="109"/>
      <c r="E31" s="70">
        <v>0.14599999999999999</v>
      </c>
      <c r="F31" s="109"/>
      <c r="G31" s="70">
        <v>1.544</v>
      </c>
      <c r="H31" s="109"/>
      <c r="I31" s="70">
        <v>14.449</v>
      </c>
      <c r="J31" s="109"/>
      <c r="K31" s="70">
        <v>28.116</v>
      </c>
      <c r="L31" s="109"/>
      <c r="M31" s="35"/>
      <c r="N31" s="35"/>
      <c r="O31" s="35"/>
      <c r="P31" s="35"/>
    </row>
    <row r="32" spans="1:16" ht="13.5" customHeight="1">
      <c r="A32" s="36" t="s">
        <v>42</v>
      </c>
      <c r="B32" s="109"/>
      <c r="C32" s="74">
        <v>5.7</v>
      </c>
      <c r="D32" s="109"/>
      <c r="E32" s="74">
        <v>3.2</v>
      </c>
      <c r="F32" s="109"/>
      <c r="G32" s="74">
        <v>3.2</v>
      </c>
      <c r="H32" s="109"/>
      <c r="I32" s="74">
        <v>3.1</v>
      </c>
      <c r="J32" s="109"/>
      <c r="K32" s="74">
        <v>2.4</v>
      </c>
      <c r="L32" s="109"/>
      <c r="M32" s="35"/>
      <c r="N32" s="35"/>
      <c r="O32" s="35"/>
      <c r="P32" s="35"/>
    </row>
    <row r="33" spans="1:17" ht="13.5" customHeight="1">
      <c r="A33" s="36" t="s">
        <v>43</v>
      </c>
      <c r="B33" s="109"/>
      <c r="C33" s="74">
        <v>-0.1</v>
      </c>
      <c r="D33" s="109"/>
      <c r="E33" s="74">
        <v>2.2000000000000002</v>
      </c>
      <c r="F33" s="109"/>
      <c r="G33" s="74">
        <v>6.6</v>
      </c>
      <c r="H33" s="109"/>
      <c r="I33" s="74">
        <v>3.9</v>
      </c>
      <c r="J33" s="109"/>
      <c r="K33" s="74">
        <v>2.1</v>
      </c>
      <c r="L33" s="109"/>
      <c r="M33" s="35"/>
      <c r="N33" s="35"/>
      <c r="O33" s="35"/>
      <c r="P33" s="35"/>
    </row>
    <row r="34" spans="1:17" ht="13.5" customHeight="1">
      <c r="A34" s="36" t="s">
        <v>4</v>
      </c>
      <c r="B34" s="110"/>
      <c r="C34" s="69">
        <v>6</v>
      </c>
      <c r="D34" s="110"/>
      <c r="E34" s="69">
        <v>6</v>
      </c>
      <c r="F34" s="110"/>
      <c r="G34" s="69">
        <v>6</v>
      </c>
      <c r="H34" s="110"/>
      <c r="I34" s="69">
        <v>6</v>
      </c>
      <c r="J34" s="110"/>
      <c r="K34" s="69">
        <v>6</v>
      </c>
      <c r="L34" s="110"/>
      <c r="M34" s="35"/>
      <c r="N34" s="35"/>
      <c r="O34" s="35"/>
      <c r="P34" s="35"/>
      <c r="Q34" s="35"/>
    </row>
    <row r="35" spans="1:17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</row>
    <row r="36" spans="1:17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  <row r="37" spans="1:1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spans="1:17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spans="1:17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spans="1:17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spans="1:17" ht="13.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spans="1:17" ht="13.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spans="1:17" ht="13.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spans="1:17" ht="13.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spans="1:17" ht="13.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spans="1:17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spans="1:1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1:17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1:17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spans="1:17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spans="1:17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</row>
    <row r="52" spans="1:17" ht="14.1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</row>
    <row r="53" spans="1:17" ht="14.1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 spans="1:17" ht="14.1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 spans="1:17" ht="14.1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1:17" ht="14.1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1:17" ht="1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</row>
    <row r="58" spans="1:17" ht="1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</row>
    <row r="59" spans="1:17" ht="1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</row>
    <row r="60" spans="1:17" ht="1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</row>
    <row r="61" spans="1:17" ht="1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</row>
    <row r="62" spans="1:17" ht="13.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 spans="1:17" s="3" customForma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</row>
    <row r="64" spans="1:17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</row>
    <row r="65" spans="1:13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</row>
  </sheetData>
  <mergeCells count="33">
    <mergeCell ref="L21:L23"/>
    <mergeCell ref="J21:J23"/>
    <mergeCell ref="J5:J7"/>
    <mergeCell ref="J14:J18"/>
    <mergeCell ref="L30:L34"/>
    <mergeCell ref="L5:L7"/>
    <mergeCell ref="L14:L18"/>
    <mergeCell ref="H14:H18"/>
    <mergeCell ref="A2:E2"/>
    <mergeCell ref="A4:E4"/>
    <mergeCell ref="B14:B18"/>
    <mergeCell ref="A5:A7"/>
    <mergeCell ref="B5:B7"/>
    <mergeCell ref="D5:D7"/>
    <mergeCell ref="D14:D18"/>
    <mergeCell ref="H5:H7"/>
    <mergeCell ref="A8:A13"/>
    <mergeCell ref="B8:B13"/>
    <mergeCell ref="F5:F7"/>
    <mergeCell ref="F14:F18"/>
    <mergeCell ref="A20:E20"/>
    <mergeCell ref="H30:H34"/>
    <mergeCell ref="J30:J34"/>
    <mergeCell ref="A21:A23"/>
    <mergeCell ref="B21:B23"/>
    <mergeCell ref="D21:D23"/>
    <mergeCell ref="F21:F23"/>
    <mergeCell ref="H21:H23"/>
    <mergeCell ref="A24:A29"/>
    <mergeCell ref="B24:B29"/>
    <mergeCell ref="B30:B34"/>
    <mergeCell ref="D30:D34"/>
    <mergeCell ref="F30:F34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2:I36"/>
  <sheetViews>
    <sheetView zoomScaleNormal="100" zoomScaleSheetLayoutView="100" workbookViewId="0">
      <selection activeCell="F32" sqref="A4:F36"/>
    </sheetView>
  </sheetViews>
  <sheetFormatPr defaultColWidth="8.83203125" defaultRowHeight="13.5"/>
  <cols>
    <col min="1" max="6" width="14.58203125" style="3" customWidth="1"/>
    <col min="7" max="7" width="12.33203125" style="3" customWidth="1"/>
    <col min="8" max="8" width="8.83203125" style="3"/>
    <col min="9" max="9" width="16.83203125" style="3" customWidth="1"/>
    <col min="10" max="16384" width="8.83203125" style="3"/>
  </cols>
  <sheetData>
    <row r="2" spans="1:9">
      <c r="A2" s="87" t="s">
        <v>32</v>
      </c>
      <c r="B2" s="87"/>
      <c r="C2" s="87"/>
    </row>
    <row r="3" spans="1:9">
      <c r="A3" s="9"/>
      <c r="B3" s="9"/>
      <c r="C3" s="9"/>
    </row>
    <row r="4" spans="1:9" ht="14">
      <c r="A4" s="3" t="s">
        <v>188</v>
      </c>
      <c r="H4" s="5" t="s">
        <v>50</v>
      </c>
      <c r="I4" s="6">
        <v>45973.729166666664</v>
      </c>
    </row>
    <row r="5" spans="1:9" ht="14.25" customHeight="1">
      <c r="A5" s="123" t="s">
        <v>157</v>
      </c>
      <c r="B5" s="123"/>
      <c r="C5" s="123"/>
      <c r="D5" s="123"/>
      <c r="E5" s="123"/>
      <c r="F5" s="123"/>
      <c r="H5" s="5" t="s">
        <v>158</v>
      </c>
      <c r="I5" s="6">
        <v>45974.40347222222</v>
      </c>
    </row>
    <row r="6" spans="1:9" ht="13.5" customHeight="1">
      <c r="A6" s="94" t="s">
        <v>159</v>
      </c>
      <c r="B6" s="94" t="s">
        <v>17</v>
      </c>
      <c r="C6" s="8" t="s">
        <v>2</v>
      </c>
      <c r="D6" s="89" t="s">
        <v>78</v>
      </c>
      <c r="E6" s="8" t="s">
        <v>1</v>
      </c>
      <c r="F6" s="89" t="s">
        <v>78</v>
      </c>
      <c r="H6" s="7" t="s">
        <v>49</v>
      </c>
      <c r="I6" s="10">
        <f>(I5-I4)*24</f>
        <v>16.183333333348855</v>
      </c>
    </row>
    <row r="7" spans="1:9">
      <c r="A7" s="121"/>
      <c r="B7" s="121"/>
      <c r="C7" s="11">
        <v>4.5</v>
      </c>
      <c r="D7" s="89"/>
      <c r="E7" s="11">
        <v>1125</v>
      </c>
      <c r="F7" s="89"/>
    </row>
    <row r="8" spans="1:9">
      <c r="A8" s="95"/>
      <c r="B8" s="95"/>
      <c r="C8" s="12" t="s">
        <v>118</v>
      </c>
      <c r="D8" s="89"/>
      <c r="E8" s="12" t="s">
        <v>118</v>
      </c>
      <c r="F8" s="89"/>
    </row>
    <row r="9" spans="1:9">
      <c r="A9" s="122">
        <v>45974</v>
      </c>
      <c r="B9" s="94">
        <v>1</v>
      </c>
      <c r="C9" s="14">
        <v>5.04</v>
      </c>
      <c r="D9" s="72">
        <f>ROUND((C9-C7)/C7*100,1)</f>
        <v>12</v>
      </c>
      <c r="E9" s="14">
        <v>1183.075</v>
      </c>
      <c r="F9" s="72">
        <f>ROUND((E9-E7)/E7*100,1)</f>
        <v>5.2</v>
      </c>
    </row>
    <row r="10" spans="1:9">
      <c r="A10" s="122"/>
      <c r="B10" s="121"/>
      <c r="C10" s="14">
        <v>4.2080000000000002</v>
      </c>
      <c r="D10" s="72">
        <f>ROUND((C10-C7)/C7*100,1)</f>
        <v>-6.5</v>
      </c>
      <c r="E10" s="14">
        <v>1147.6880000000001</v>
      </c>
      <c r="F10" s="72">
        <f>ROUND((E10-E7)/E7*100,1)</f>
        <v>2</v>
      </c>
    </row>
    <row r="11" spans="1:9">
      <c r="A11" s="122"/>
      <c r="B11" s="121"/>
      <c r="C11" s="14">
        <v>4.34</v>
      </c>
      <c r="D11" s="72">
        <f>ROUND((C11-C7)/C7*100,1)</f>
        <v>-3.6</v>
      </c>
      <c r="E11" s="14">
        <v>1178.951</v>
      </c>
      <c r="F11" s="72">
        <f>ROUND((E11-E7)/E7*100,1)</f>
        <v>4.8</v>
      </c>
    </row>
    <row r="12" spans="1:9">
      <c r="A12" s="122"/>
      <c r="B12" s="121"/>
      <c r="C12" s="14">
        <v>4.7270000000000003</v>
      </c>
      <c r="D12" s="72">
        <f>ROUND((C12-C7)/C7*100,1)</f>
        <v>5</v>
      </c>
      <c r="E12" s="14">
        <v>1158.3699999999999</v>
      </c>
      <c r="F12" s="72">
        <f>ROUND((E12-E7)/E7*100,1)</f>
        <v>3</v>
      </c>
    </row>
    <row r="13" spans="1:9">
      <c r="A13" s="122"/>
      <c r="B13" s="121"/>
      <c r="C13" s="14">
        <v>4.4669999999999996</v>
      </c>
      <c r="D13" s="72">
        <f>ROUND((C13-C7)/C7*100,1)</f>
        <v>-0.7</v>
      </c>
      <c r="E13" s="14">
        <v>1096.8030000000001</v>
      </c>
      <c r="F13" s="72">
        <f>ROUND((E13-E7)/E7*100,1)</f>
        <v>-2.5</v>
      </c>
    </row>
    <row r="14" spans="1:9">
      <c r="A14" s="122"/>
      <c r="B14" s="95"/>
      <c r="C14" s="14">
        <v>4.4660000000000002</v>
      </c>
      <c r="D14" s="72">
        <f>ROUND((C14-C7)/C7*100,1)</f>
        <v>-0.8</v>
      </c>
      <c r="E14" s="14">
        <v>1122.9670000000001</v>
      </c>
      <c r="F14" s="72">
        <f>ROUND((E14-E7)/E7*100,1)</f>
        <v>-0.2</v>
      </c>
    </row>
    <row r="15" spans="1:9">
      <c r="A15" s="8" t="s">
        <v>21</v>
      </c>
      <c r="B15" s="101"/>
      <c r="C15" s="73">
        <f>ROUND(AVERAGE(C9:C14),3)</f>
        <v>4.5410000000000004</v>
      </c>
      <c r="D15" s="118"/>
      <c r="E15" s="73">
        <f>ROUND(AVERAGE(E9:E14),3)</f>
        <v>1147.9760000000001</v>
      </c>
      <c r="F15" s="118"/>
    </row>
    <row r="16" spans="1:9">
      <c r="A16" s="8" t="s">
        <v>3</v>
      </c>
      <c r="B16" s="102"/>
      <c r="C16" s="73">
        <f>ROUND(STDEV(C9:C14),3)</f>
        <v>0.29899999999999999</v>
      </c>
      <c r="D16" s="119"/>
      <c r="E16" s="73">
        <f>ROUND(STDEV(E9:E14),3)</f>
        <v>33.298000000000002</v>
      </c>
      <c r="F16" s="119"/>
    </row>
    <row r="17" spans="1:9">
      <c r="A17" s="8" t="s">
        <v>39</v>
      </c>
      <c r="B17" s="102"/>
      <c r="C17" s="72">
        <f>ROUND(C16/C15*100,1)</f>
        <v>6.6</v>
      </c>
      <c r="D17" s="119"/>
      <c r="E17" s="72">
        <f>ROUND(E16/E15*100,1)</f>
        <v>2.9</v>
      </c>
      <c r="F17" s="119"/>
    </row>
    <row r="18" spans="1:9">
      <c r="A18" s="8" t="s">
        <v>40</v>
      </c>
      <c r="B18" s="102"/>
      <c r="C18" s="72">
        <f>ROUND(C15/C7*100,1)</f>
        <v>100.9</v>
      </c>
      <c r="D18" s="119"/>
      <c r="E18" s="72">
        <f>ROUND(E15/E7*100,1)</f>
        <v>102</v>
      </c>
      <c r="F18" s="119"/>
    </row>
    <row r="19" spans="1:9">
      <c r="A19" s="8" t="s">
        <v>4</v>
      </c>
      <c r="B19" s="103"/>
      <c r="C19" s="71">
        <v>6</v>
      </c>
      <c r="D19" s="120"/>
      <c r="E19" s="71">
        <v>6</v>
      </c>
      <c r="F19" s="120"/>
    </row>
    <row r="21" spans="1:9" ht="14">
      <c r="A21" s="3" t="s">
        <v>203</v>
      </c>
      <c r="H21" s="5" t="s">
        <v>50</v>
      </c>
      <c r="I21" s="6">
        <v>45973.729166666664</v>
      </c>
    </row>
    <row r="22" spans="1:9" ht="14">
      <c r="A22" s="123" t="s">
        <v>157</v>
      </c>
      <c r="B22" s="123"/>
      <c r="C22" s="123"/>
      <c r="D22" s="123"/>
      <c r="E22" s="123"/>
      <c r="F22" s="123"/>
      <c r="H22" s="5" t="s">
        <v>158</v>
      </c>
      <c r="I22" s="6">
        <v>45974.40347222222</v>
      </c>
    </row>
    <row r="23" spans="1:9">
      <c r="A23" s="94" t="s">
        <v>159</v>
      </c>
      <c r="B23" s="94" t="s">
        <v>17</v>
      </c>
      <c r="C23" s="8" t="s">
        <v>2</v>
      </c>
      <c r="D23" s="89" t="s">
        <v>78</v>
      </c>
      <c r="E23" s="8" t="s">
        <v>1</v>
      </c>
      <c r="F23" s="89" t="s">
        <v>78</v>
      </c>
      <c r="H23" s="7" t="s">
        <v>49</v>
      </c>
      <c r="I23" s="10">
        <f>(I22-I21)*24</f>
        <v>16.183333333348855</v>
      </c>
    </row>
    <row r="24" spans="1:9">
      <c r="A24" s="121"/>
      <c r="B24" s="121"/>
      <c r="C24" s="11">
        <v>4.5</v>
      </c>
      <c r="D24" s="89"/>
      <c r="E24" s="11">
        <v>1125</v>
      </c>
      <c r="F24" s="89"/>
    </row>
    <row r="25" spans="1:9">
      <c r="A25" s="95"/>
      <c r="B25" s="95"/>
      <c r="C25" s="12" t="s">
        <v>118</v>
      </c>
      <c r="D25" s="89"/>
      <c r="E25" s="12" t="s">
        <v>156</v>
      </c>
      <c r="F25" s="89"/>
    </row>
    <row r="26" spans="1:9">
      <c r="A26" s="122">
        <v>45974</v>
      </c>
      <c r="B26" s="94">
        <v>1</v>
      </c>
      <c r="C26" s="14">
        <v>5.2809999999999997</v>
      </c>
      <c r="D26" s="72">
        <f>ROUND((C26-C24)/C24*100,1)</f>
        <v>17.399999999999999</v>
      </c>
      <c r="E26" s="14">
        <v>1194.3810000000001</v>
      </c>
      <c r="F26" s="72">
        <f>ROUND((E26-E24)/E24*100,1)</f>
        <v>6.2</v>
      </c>
    </row>
    <row r="27" spans="1:9">
      <c r="A27" s="122"/>
      <c r="B27" s="121"/>
      <c r="C27" s="14">
        <v>5.2590000000000003</v>
      </c>
      <c r="D27" s="72">
        <f>ROUND((C27-C24)/C24*100,1)</f>
        <v>16.899999999999999</v>
      </c>
      <c r="E27" s="14">
        <v>1153.213</v>
      </c>
      <c r="F27" s="72">
        <f>ROUND((E27-E24)/E24*100,1)</f>
        <v>2.5</v>
      </c>
    </row>
    <row r="28" spans="1:9">
      <c r="A28" s="122"/>
      <c r="B28" s="121"/>
      <c r="C28" s="14">
        <v>5.1879999999999997</v>
      </c>
      <c r="D28" s="72">
        <f>ROUND((C28-C24)/C24*100,1)</f>
        <v>15.3</v>
      </c>
      <c r="E28" s="14">
        <v>1151.47</v>
      </c>
      <c r="F28" s="72">
        <f>ROUND((E28-E24)/E24*100,1)</f>
        <v>2.4</v>
      </c>
    </row>
    <row r="29" spans="1:9">
      <c r="A29" s="122"/>
      <c r="B29" s="121"/>
      <c r="C29" s="14">
        <v>4.8739999999999997</v>
      </c>
      <c r="D29" s="72">
        <f>ROUND((C29-C24)/C24*100,1)</f>
        <v>8.3000000000000007</v>
      </c>
      <c r="E29" s="14">
        <v>1119.066</v>
      </c>
      <c r="F29" s="72">
        <f>ROUND((E29-E24)/E24*100,1)</f>
        <v>-0.5</v>
      </c>
    </row>
    <row r="30" spans="1:9">
      <c r="A30" s="122"/>
      <c r="B30" s="121"/>
      <c r="C30" s="14">
        <v>4.9829999999999997</v>
      </c>
      <c r="D30" s="72">
        <f>ROUND((C30-C24)/C24*100,1)</f>
        <v>10.7</v>
      </c>
      <c r="E30" s="14">
        <v>1174.5999999999999</v>
      </c>
      <c r="F30" s="72">
        <f>ROUND((E30-E24)/E24*100,1)</f>
        <v>4.4000000000000004</v>
      </c>
    </row>
    <row r="31" spans="1:9">
      <c r="A31" s="122"/>
      <c r="B31" s="95"/>
      <c r="C31" s="14">
        <v>4.8129999999999997</v>
      </c>
      <c r="D31" s="72">
        <f>ROUND((C31-C24)/C24*100,1)</f>
        <v>7</v>
      </c>
      <c r="E31" s="14">
        <v>1089.076</v>
      </c>
      <c r="F31" s="72">
        <f>ROUND((E31-E24)/E24*100,1)</f>
        <v>-3.2</v>
      </c>
    </row>
    <row r="32" spans="1:9">
      <c r="A32" s="8" t="s">
        <v>21</v>
      </c>
      <c r="B32" s="101"/>
      <c r="C32" s="73">
        <f>ROUND(AVERAGE(C26:C31),3)</f>
        <v>5.0659999999999998</v>
      </c>
      <c r="D32" s="118"/>
      <c r="E32" s="73">
        <f>ROUND(AVERAGE(E26:E31),3)</f>
        <v>1146.9680000000001</v>
      </c>
      <c r="F32" s="118"/>
    </row>
    <row r="33" spans="1:6">
      <c r="A33" s="8" t="s">
        <v>3</v>
      </c>
      <c r="B33" s="102"/>
      <c r="C33" s="73">
        <f>ROUND(STDEV(C26:C31),3)</f>
        <v>0.20300000000000001</v>
      </c>
      <c r="D33" s="119"/>
      <c r="E33" s="73">
        <f>ROUND(STDEV(E26:E31),3)</f>
        <v>37.948999999999998</v>
      </c>
      <c r="F33" s="119"/>
    </row>
    <row r="34" spans="1:6">
      <c r="A34" s="8" t="s">
        <v>79</v>
      </c>
      <c r="B34" s="102"/>
      <c r="C34" s="72">
        <f>ROUND(C33/C32*100,1)</f>
        <v>4</v>
      </c>
      <c r="D34" s="119"/>
      <c r="E34" s="72">
        <f>ROUND(E33/E32*100,1)</f>
        <v>3.3</v>
      </c>
      <c r="F34" s="119"/>
    </row>
    <row r="35" spans="1:6">
      <c r="A35" s="8" t="s">
        <v>80</v>
      </c>
      <c r="B35" s="102"/>
      <c r="C35" s="72">
        <f>ROUND(C32/C24*100,1)</f>
        <v>112.6</v>
      </c>
      <c r="D35" s="119"/>
      <c r="E35" s="72">
        <f>ROUND(E32/E24*100,1)</f>
        <v>102</v>
      </c>
      <c r="F35" s="119"/>
    </row>
    <row r="36" spans="1:6">
      <c r="A36" s="8" t="s">
        <v>4</v>
      </c>
      <c r="B36" s="103"/>
      <c r="C36" s="71">
        <v>6</v>
      </c>
      <c r="D36" s="120"/>
      <c r="E36" s="71">
        <v>6</v>
      </c>
      <c r="F36" s="120"/>
    </row>
  </sheetData>
  <mergeCells count="21">
    <mergeCell ref="A22:F22"/>
    <mergeCell ref="A2:C2"/>
    <mergeCell ref="A6:A8"/>
    <mergeCell ref="B6:B8"/>
    <mergeCell ref="D15:D19"/>
    <mergeCell ref="F15:F19"/>
    <mergeCell ref="D6:D8"/>
    <mergeCell ref="F6:F8"/>
    <mergeCell ref="B15:B19"/>
    <mergeCell ref="A9:A14"/>
    <mergeCell ref="B9:B14"/>
    <mergeCell ref="A5:F5"/>
    <mergeCell ref="B32:B36"/>
    <mergeCell ref="D32:D36"/>
    <mergeCell ref="F32:F36"/>
    <mergeCell ref="A23:A25"/>
    <mergeCell ref="B23:B25"/>
    <mergeCell ref="D23:D25"/>
    <mergeCell ref="F23:F25"/>
    <mergeCell ref="A26:A31"/>
    <mergeCell ref="B26:B31"/>
  </mergeCells>
  <phoneticPr fontId="4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  <pageSetUpPr fitToPage="1"/>
  </sheetPr>
  <dimension ref="A3:E64"/>
  <sheetViews>
    <sheetView workbookViewId="0">
      <selection activeCell="C3" sqref="C3"/>
    </sheetView>
  </sheetViews>
  <sheetFormatPr defaultColWidth="9" defaultRowHeight="14"/>
  <cols>
    <col min="1" max="1" width="22.5" style="1" customWidth="1"/>
    <col min="2" max="16384" width="9" style="1"/>
  </cols>
  <sheetData>
    <row r="3" spans="1:5">
      <c r="A3" s="1" t="s">
        <v>48</v>
      </c>
      <c r="B3" s="1" t="s">
        <v>55</v>
      </c>
      <c r="C3" s="2" t="s">
        <v>56</v>
      </c>
      <c r="D3" s="2" t="s">
        <v>57</v>
      </c>
      <c r="E3" s="2"/>
    </row>
    <row r="63" spans="2:2">
      <c r="B63" s="3"/>
    </row>
    <row r="64" spans="2:2">
      <c r="B64" s="3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63:B64"/>
  <sheetViews>
    <sheetView workbookViewId="0">
      <selection activeCell="G30" sqref="G30"/>
    </sheetView>
  </sheetViews>
  <sheetFormatPr defaultColWidth="9" defaultRowHeight="14"/>
  <cols>
    <col min="1" max="16384" width="9" style="1"/>
  </cols>
  <sheetData>
    <row r="63" spans="2:2">
      <c r="B63" s="3"/>
    </row>
    <row r="64" spans="2:2">
      <c r="B64" s="3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4"/>
  <cols>
    <col min="1" max="16384" width="9" style="1"/>
  </cols>
  <sheetData>
    <row r="63" spans="2:2">
      <c r="B63" s="3"/>
    </row>
    <row r="64" spans="2:2">
      <c r="B64" s="3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4"/>
  <cols>
    <col min="1" max="16384" width="9" style="1"/>
  </cols>
  <sheetData>
    <row r="63" spans="2:2">
      <c r="B63" s="3"/>
    </row>
    <row r="64" spans="2:2">
      <c r="B64" s="3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3</vt:i4>
      </vt:variant>
    </vt:vector>
  </HeadingPairs>
  <TitlesOfParts>
    <vt:vector size="20" baseType="lpstr">
      <vt:lpstr>1.1</vt:lpstr>
      <vt:lpstr>2.1标准品</vt:lpstr>
      <vt:lpstr>2.2内标</vt:lpstr>
      <vt:lpstr>2.5试剂</vt:lpstr>
      <vt:lpstr>2.6 空白基质</vt:lpstr>
      <vt:lpstr>2.9标准曲线质控样品配制</vt:lpstr>
      <vt:lpstr>表1_schedule</vt:lpstr>
      <vt:lpstr>表2_SST</vt:lpstr>
      <vt:lpstr>表3_CO</vt:lpstr>
      <vt:lpstr>表7_Regression</vt:lpstr>
      <vt:lpstr>表8_curve</vt:lpstr>
      <vt:lpstr>表9_Inter QC</vt:lpstr>
      <vt:lpstr>表18_ST</vt:lpstr>
      <vt:lpstr>分析天平</vt:lpstr>
      <vt:lpstr>（选择性图谱）空白基质图谱</vt:lpstr>
      <vt:lpstr>（选择性图谱）最低定量限图谱</vt:lpstr>
      <vt:lpstr>标准曲线</vt:lpstr>
      <vt:lpstr>表2_SST!Print_Area</vt:lpstr>
      <vt:lpstr>表7_Regression!Print_Area</vt:lpstr>
      <vt:lpstr>'表9_Inter QC'!Print_Area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张涵</cp:lastModifiedBy>
  <cp:lastPrinted>2019-09-17T03:14:27Z</cp:lastPrinted>
  <dcterms:created xsi:type="dcterms:W3CDTF">2016-03-17T02:40:20Z</dcterms:created>
  <dcterms:modified xsi:type="dcterms:W3CDTF">2025-12-08T07:11:22Z</dcterms:modified>
</cp:coreProperties>
</file>