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MBA\报告\NN25318\NS25318BV01\"/>
    </mc:Choice>
  </mc:AlternateContent>
  <xr:revisionPtr revIDLastSave="0" documentId="13_ncr:1_{B79E71F9-1A4D-4A00-9FE9-030B7D654685}" xr6:coauthVersionLast="47" xr6:coauthVersionMax="47" xr10:uidLastSave="{00000000-0000-0000-0000-000000000000}"/>
  <bookViews>
    <workbookView xWindow="-110" yWindow="-110" windowWidth="19420" windowHeight="10420" tabRatio="852" firstSheet="22" activeTab="29" xr2:uid="{00000000-000D-0000-FFFF-FFFF00000000}"/>
  </bookViews>
  <sheets>
    <sheet name="1.1" sheetId="53" r:id="rId1"/>
    <sheet name="2.1 标准品" sheetId="102" r:id="rId2"/>
    <sheet name="2.2 内标" sheetId="103" r:id="rId3"/>
    <sheet name="2.5 试剂" sheetId="104" r:id="rId4"/>
    <sheet name="2.6 空白基质" sheetId="105" r:id="rId5"/>
    <sheet name="2.9 标准曲线质控样品的配制" sheetId="58" r:id="rId6"/>
    <sheet name="表1_schedule" sheetId="7" r:id="rId7"/>
    <sheet name="表2_系统适用性" sheetId="59" r:id="rId8"/>
    <sheet name="表3_批量样品检测过程的残留" sheetId="60" r:id="rId9"/>
    <sheet name="表4_Selectivity" sheetId="84" r:id="rId10"/>
    <sheet name="表5_特异性" sheetId="85" r:id="rId11"/>
    <sheet name="表6_ME" sheetId="86" r:id="rId12"/>
    <sheet name="表7_Regression" sheetId="61" r:id="rId13"/>
    <sheet name="表8_curve" sheetId="62" r:id="rId14"/>
    <sheet name="表9_Inter QC" sheetId="83" r:id="rId15"/>
    <sheet name="表10 QC (除准确度精密度分析批）" sheetId="96" r:id="rId16"/>
    <sheet name="表11_Recovery" sheetId="88" r:id="rId17"/>
    <sheet name="表13_Dilution" sheetId="89" r:id="rId18"/>
    <sheet name="表14_stock ST" sheetId="97" r:id="rId19"/>
    <sheet name="表15_spike ST" sheetId="98" r:id="rId20"/>
    <sheet name="表16_stock LT" sheetId="99" r:id="rId21"/>
    <sheet name="表17_spike LT" sheetId="100" r:id="rId22"/>
    <sheet name="表18_ST" sheetId="90" r:id="rId23"/>
    <sheet name="表19_FT" sheetId="91" r:id="rId24"/>
    <sheet name="表20_PSS" sheetId="92" r:id="rId25"/>
    <sheet name="表21_LTS" sheetId="101" r:id="rId26"/>
    <sheet name="表22_Blood" sheetId="93" r:id="rId27"/>
    <sheet name="表23_溶血效应" sheetId="94" r:id="rId28"/>
    <sheet name="表24_处理后样品再进样重现性" sheetId="95" r:id="rId29"/>
    <sheet name="表24_内标适用性考察" sheetId="81" r:id="rId30"/>
    <sheet name="天平" sheetId="82" r:id="rId31"/>
  </sheets>
  <definedNames>
    <definedName name="_xlnm.Print_Area" localSheetId="16">表11_Recovery!$A$1:$J$18</definedName>
    <definedName name="_xlnm.Print_Area" localSheetId="23">表19_FT!$A$1:$G$20</definedName>
    <definedName name="_xlnm.Print_Area" localSheetId="7">表2_系统适用性!$A$1:$D$10</definedName>
    <definedName name="_xlnm.Print_Area" localSheetId="28">表24_处理后样品再进样重现性!$A$1:$M$18</definedName>
    <definedName name="_xlnm.Print_Area" localSheetId="8">表3_批量样品检测过程的残留!$A$1:$I$12</definedName>
    <definedName name="_xlnm.Print_Area" localSheetId="11">表6_ME!$A$1:$E$61</definedName>
  </definedNames>
  <calcPr calcId="191029"/>
</workbook>
</file>

<file path=xl/calcChain.xml><?xml version="1.0" encoding="utf-8"?>
<calcChain xmlns="http://schemas.openxmlformats.org/spreadsheetml/2006/main">
  <c r="E15" i="101" l="1"/>
  <c r="E16" i="101" s="1"/>
  <c r="C15" i="101"/>
  <c r="C16" i="101" s="1"/>
  <c r="E14" i="101"/>
  <c r="E18" i="101" s="1"/>
  <c r="C14" i="101"/>
  <c r="C18" i="101" s="1"/>
  <c r="F13" i="101"/>
  <c r="D13" i="101"/>
  <c r="F12" i="101"/>
  <c r="D12" i="101"/>
  <c r="F11" i="101"/>
  <c r="D11" i="101"/>
  <c r="F10" i="101"/>
  <c r="D10" i="101"/>
  <c r="F9" i="101"/>
  <c r="D9" i="101"/>
  <c r="F8" i="101"/>
  <c r="D8" i="101"/>
  <c r="I7" i="101"/>
  <c r="E18" i="100"/>
  <c r="E19" i="100" s="1"/>
  <c r="D18" i="100"/>
  <c r="D19" i="100" s="1"/>
  <c r="C18" i="100"/>
  <c r="C19" i="100" s="1"/>
  <c r="B18" i="100"/>
  <c r="B19" i="100" s="1"/>
  <c r="E17" i="100"/>
  <c r="D20" i="100" s="1"/>
  <c r="D17" i="100"/>
  <c r="C17" i="100"/>
  <c r="B20" i="100" s="1"/>
  <c r="B17" i="100"/>
  <c r="H5" i="100"/>
  <c r="C18" i="99"/>
  <c r="C19" i="99" s="1"/>
  <c r="B18" i="99"/>
  <c r="B19" i="99" s="1"/>
  <c r="C17" i="99"/>
  <c r="B20" i="99" s="1"/>
  <c r="B17" i="99"/>
  <c r="G5" i="99"/>
  <c r="E18" i="98"/>
  <c r="E19" i="98" s="1"/>
  <c r="D18" i="98"/>
  <c r="D19" i="98" s="1"/>
  <c r="C18" i="98"/>
  <c r="C19" i="98" s="1"/>
  <c r="B18" i="98"/>
  <c r="B19" i="98" s="1"/>
  <c r="E17" i="98"/>
  <c r="D20" i="98" s="1"/>
  <c r="D17" i="98"/>
  <c r="C17" i="98"/>
  <c r="B20" i="98" s="1"/>
  <c r="B17" i="98"/>
  <c r="H5" i="98"/>
  <c r="B20" i="97"/>
  <c r="C18" i="97"/>
  <c r="C19" i="97" s="1"/>
  <c r="B18" i="97"/>
  <c r="B19" i="97" s="1"/>
  <c r="C17" i="97"/>
  <c r="B17" i="97"/>
  <c r="G5" i="97"/>
  <c r="C17" i="101" l="1"/>
  <c r="E17" i="101"/>
  <c r="M7" i="95" l="1"/>
  <c r="C13" i="94"/>
  <c r="E12" i="94"/>
  <c r="C12" i="94"/>
  <c r="E11" i="94"/>
  <c r="C11" i="94"/>
  <c r="E10" i="94"/>
  <c r="E13" i="94" s="1"/>
  <c r="C10" i="94"/>
  <c r="F9" i="94"/>
  <c r="D9" i="94"/>
  <c r="F8" i="94"/>
  <c r="D8" i="94"/>
  <c r="F7" i="94"/>
  <c r="D7" i="94"/>
  <c r="G16" i="93"/>
  <c r="G17" i="93" s="1"/>
  <c r="F16" i="93"/>
  <c r="E16" i="93"/>
  <c r="D16" i="93"/>
  <c r="G15" i="93"/>
  <c r="F15" i="93"/>
  <c r="F17" i="93" s="1"/>
  <c r="E15" i="93"/>
  <c r="E17" i="93" s="1"/>
  <c r="D15" i="93"/>
  <c r="D18" i="93" s="1"/>
  <c r="E15" i="92"/>
  <c r="E16" i="92" s="1"/>
  <c r="C15" i="92"/>
  <c r="C16" i="92" s="1"/>
  <c r="E14" i="92"/>
  <c r="E17" i="92" s="1"/>
  <c r="C14" i="92"/>
  <c r="C17" i="92" s="1"/>
  <c r="F13" i="92"/>
  <c r="D13" i="92"/>
  <c r="F12" i="92"/>
  <c r="D12" i="92"/>
  <c r="F11" i="92"/>
  <c r="D11" i="92"/>
  <c r="F10" i="92"/>
  <c r="D10" i="92"/>
  <c r="F9" i="92"/>
  <c r="D9" i="92"/>
  <c r="F8" i="92"/>
  <c r="D8" i="92"/>
  <c r="I7" i="92"/>
  <c r="F17" i="91"/>
  <c r="D17" i="91"/>
  <c r="F16" i="91"/>
  <c r="D16" i="91"/>
  <c r="F15" i="91"/>
  <c r="D15" i="91"/>
  <c r="F14" i="91"/>
  <c r="D14" i="91"/>
  <c r="G13" i="91"/>
  <c r="E13" i="91"/>
  <c r="G12" i="91"/>
  <c r="E12" i="91"/>
  <c r="G11" i="91"/>
  <c r="E11" i="91"/>
  <c r="G10" i="91"/>
  <c r="E10" i="91"/>
  <c r="G9" i="91"/>
  <c r="E9" i="91"/>
  <c r="G8" i="91"/>
  <c r="E8" i="91"/>
  <c r="E15" i="90"/>
  <c r="E16" i="90" s="1"/>
  <c r="C15" i="90"/>
  <c r="C16" i="90" s="1"/>
  <c r="E14" i="90"/>
  <c r="E17" i="90" s="1"/>
  <c r="C14" i="90"/>
  <c r="C17" i="90" s="1"/>
  <c r="F13" i="90"/>
  <c r="D13" i="90"/>
  <c r="F12" i="90"/>
  <c r="D12" i="90"/>
  <c r="F11" i="90"/>
  <c r="D11" i="90"/>
  <c r="F10" i="90"/>
  <c r="D10" i="90"/>
  <c r="F9" i="90"/>
  <c r="D9" i="90"/>
  <c r="F8" i="90"/>
  <c r="D8" i="90"/>
  <c r="I7" i="90"/>
  <c r="C16" i="89"/>
  <c r="C15" i="89"/>
  <c r="C14" i="89"/>
  <c r="C13" i="89"/>
  <c r="D12" i="89"/>
  <c r="D11" i="89"/>
  <c r="D10" i="89"/>
  <c r="D9" i="89"/>
  <c r="D8" i="89"/>
  <c r="D7" i="89"/>
  <c r="I13" i="88"/>
  <c r="J11" i="88" s="1"/>
  <c r="H13" i="88"/>
  <c r="F13" i="88"/>
  <c r="E13" i="88"/>
  <c r="C13" i="88"/>
  <c r="D12" i="88" s="1"/>
  <c r="B13" i="88"/>
  <c r="J12" i="88"/>
  <c r="G12" i="88"/>
  <c r="G11" i="88"/>
  <c r="J10" i="88"/>
  <c r="G10" i="88"/>
  <c r="G9" i="88"/>
  <c r="J8" i="88"/>
  <c r="G8" i="88"/>
  <c r="G14" i="88" s="1"/>
  <c r="J7" i="88"/>
  <c r="G7" i="88"/>
  <c r="G13" i="88" s="1"/>
  <c r="D59" i="86"/>
  <c r="B59" i="86"/>
  <c r="D58" i="86"/>
  <c r="B58" i="86"/>
  <c r="D57" i="86"/>
  <c r="B57" i="86"/>
  <c r="D56" i="86"/>
  <c r="D60" i="86" s="1"/>
  <c r="B56" i="86"/>
  <c r="B60" i="86" s="1"/>
  <c r="E55" i="86"/>
  <c r="C55" i="86"/>
  <c r="E54" i="86"/>
  <c r="C54" i="86"/>
  <c r="E53" i="86"/>
  <c r="C53" i="86"/>
  <c r="D50" i="86"/>
  <c r="B50" i="86"/>
  <c r="D49" i="86"/>
  <c r="B49" i="86"/>
  <c r="D48" i="86"/>
  <c r="B48" i="86"/>
  <c r="D47" i="86"/>
  <c r="D51" i="86" s="1"/>
  <c r="B47" i="86"/>
  <c r="B51" i="86" s="1"/>
  <c r="E46" i="86"/>
  <c r="C46" i="86"/>
  <c r="E45" i="86"/>
  <c r="C45" i="86"/>
  <c r="E44" i="86"/>
  <c r="C44" i="86"/>
  <c r="D41" i="86"/>
  <c r="B41" i="86"/>
  <c r="D40" i="86"/>
  <c r="B40" i="86"/>
  <c r="D39" i="86"/>
  <c r="B39" i="86"/>
  <c r="D38" i="86"/>
  <c r="D42" i="86" s="1"/>
  <c r="B38" i="86"/>
  <c r="B42" i="86" s="1"/>
  <c r="E37" i="86"/>
  <c r="C37" i="86"/>
  <c r="E36" i="86"/>
  <c r="C36" i="86"/>
  <c r="E35" i="86"/>
  <c r="C35" i="86"/>
  <c r="D32" i="86"/>
  <c r="B32" i="86"/>
  <c r="D31" i="86"/>
  <c r="B31" i="86"/>
  <c r="D30" i="86"/>
  <c r="B30" i="86"/>
  <c r="D29" i="86"/>
  <c r="D33" i="86" s="1"/>
  <c r="B29" i="86"/>
  <c r="B33" i="86" s="1"/>
  <c r="E28" i="86"/>
  <c r="C28" i="86"/>
  <c r="E27" i="86"/>
  <c r="C27" i="86"/>
  <c r="E26" i="86"/>
  <c r="C26" i="86"/>
  <c r="D23" i="86"/>
  <c r="B23" i="86"/>
  <c r="D22" i="86"/>
  <c r="B22" i="86"/>
  <c r="D21" i="86"/>
  <c r="B21" i="86"/>
  <c r="D20" i="86"/>
  <c r="D24" i="86" s="1"/>
  <c r="B20" i="86"/>
  <c r="B24" i="86" s="1"/>
  <c r="E19" i="86"/>
  <c r="C19" i="86"/>
  <c r="E18" i="86"/>
  <c r="C18" i="86"/>
  <c r="E17" i="86"/>
  <c r="C17" i="86"/>
  <c r="D13" i="86"/>
  <c r="D12" i="86"/>
  <c r="B12" i="86"/>
  <c r="D11" i="86"/>
  <c r="D15" i="86" s="1"/>
  <c r="B11" i="86"/>
  <c r="B15" i="86" s="1"/>
  <c r="E10" i="86"/>
  <c r="C10" i="86"/>
  <c r="E9" i="86"/>
  <c r="C9" i="86"/>
  <c r="E8" i="86"/>
  <c r="C8" i="86"/>
  <c r="F14" i="85"/>
  <c r="F7" i="85"/>
  <c r="H17" i="84"/>
  <c r="E17" i="84"/>
  <c r="H12" i="84"/>
  <c r="E12" i="84"/>
  <c r="H11" i="84"/>
  <c r="E11" i="84"/>
  <c r="H10" i="84"/>
  <c r="E10" i="84"/>
  <c r="H9" i="84"/>
  <c r="E9" i="84"/>
  <c r="H8" i="84"/>
  <c r="E8" i="84"/>
  <c r="H7" i="84"/>
  <c r="E7" i="84"/>
  <c r="P30" i="83"/>
  <c r="P29" i="83"/>
  <c r="O30" i="83"/>
  <c r="O29" i="83"/>
  <c r="O33" i="83"/>
  <c r="P24" i="83"/>
  <c r="O24" i="83"/>
  <c r="P21" i="83"/>
  <c r="P20" i="83"/>
  <c r="O21" i="83"/>
  <c r="O20" i="83"/>
  <c r="P34" i="83"/>
  <c r="O34" i="83"/>
  <c r="P33" i="83"/>
  <c r="P25" i="83"/>
  <c r="O25" i="83"/>
  <c r="G15" i="88" l="1"/>
  <c r="I12" i="86"/>
  <c r="H12" i="86"/>
  <c r="B14" i="86"/>
  <c r="D14" i="86"/>
  <c r="D7" i="88"/>
  <c r="J9" i="88"/>
  <c r="J13" i="88" s="1"/>
  <c r="F18" i="93"/>
  <c r="D10" i="88"/>
  <c r="B13" i="86"/>
  <c r="I11" i="86" s="1"/>
  <c r="D17" i="93"/>
  <c r="D11" i="88"/>
  <c r="D9" i="88"/>
  <c r="D8" i="88"/>
  <c r="F5" i="60"/>
  <c r="H5" i="60" s="1"/>
  <c r="G5" i="60"/>
  <c r="I5" i="60" s="1"/>
  <c r="F7" i="60"/>
  <c r="H7" i="60" s="1"/>
  <c r="G7" i="60"/>
  <c r="I7" i="60" s="1"/>
  <c r="F9" i="60"/>
  <c r="G9" i="60"/>
  <c r="I10" i="60" s="1"/>
  <c r="H9" i="60"/>
  <c r="H10" i="60"/>
  <c r="F11" i="60"/>
  <c r="H11" i="60" s="1"/>
  <c r="G11" i="60"/>
  <c r="I11" i="60" s="1"/>
  <c r="I12" i="60"/>
  <c r="F13" i="60"/>
  <c r="H13" i="60" s="1"/>
  <c r="G13" i="60"/>
  <c r="I14" i="60" s="1"/>
  <c r="H14" i="60"/>
  <c r="J14" i="88" l="1"/>
  <c r="J15" i="88" s="1"/>
  <c r="D13" i="88"/>
  <c r="B16" i="88" s="1"/>
  <c r="B17" i="88" s="1"/>
  <c r="D14" i="88"/>
  <c r="D15" i="88" s="1"/>
  <c r="I13" i="60"/>
  <c r="I8" i="60"/>
  <c r="H8" i="60"/>
  <c r="H12" i="60"/>
  <c r="I9" i="60"/>
  <c r="I6" i="60"/>
  <c r="H6" i="60"/>
  <c r="F19" i="81" l="1"/>
  <c r="F9" i="81"/>
  <c r="G15" i="60" l="1"/>
  <c r="I16" i="60" s="1"/>
  <c r="F15" i="60"/>
  <c r="H16" i="60" s="1"/>
  <c r="I15" i="60" l="1"/>
  <c r="H15" i="60"/>
  <c r="F6" i="81"/>
  <c r="F16" i="81" l="1"/>
</calcChain>
</file>

<file path=xl/sharedStrings.xml><?xml version="1.0" encoding="utf-8"?>
<sst xmlns="http://schemas.openxmlformats.org/spreadsheetml/2006/main" count="775" uniqueCount="421">
  <si>
    <t>HQC</t>
  </si>
  <si>
    <t>MQC</t>
  </si>
  <si>
    <t>LQC</t>
  </si>
  <si>
    <t>SD</t>
  </si>
  <si>
    <t>n</t>
  </si>
  <si>
    <t>ng/mL</t>
  </si>
  <si>
    <t>表1：批量样品检测情况列表</t>
  </si>
  <si>
    <t>CV（%）</t>
  </si>
  <si>
    <r>
      <rPr>
        <sz val="10.5"/>
        <color theme="1"/>
        <rFont val="宋体"/>
        <family val="3"/>
        <charset val="134"/>
      </rPr>
      <t>是</t>
    </r>
  </si>
  <si>
    <t xml:space="preserve">AB Sciex </t>
  </si>
  <si>
    <t>y = ax + b</t>
    <phoneticPr fontId="4" type="noConversion"/>
  </si>
  <si>
    <t>2.9 标准曲线/质控样品的配制</t>
    <phoneticPr fontId="12" type="noConversion"/>
  </si>
  <si>
    <t>类型</t>
  </si>
  <si>
    <t>配制日期</t>
    <phoneticPr fontId="12" type="noConversion"/>
  </si>
  <si>
    <t>储存条件</t>
  </si>
  <si>
    <t>标准曲线样品</t>
    <phoneticPr fontId="12" type="noConversion"/>
  </si>
  <si>
    <t>现配现用</t>
    <phoneticPr fontId="12" type="noConversion"/>
  </si>
  <si>
    <t>质量控制样品</t>
  </si>
  <si>
    <t>待测物残留率（%）</t>
  </si>
  <si>
    <t>内标残留率（%）</t>
  </si>
  <si>
    <t>表7：标准曲线参数汇总</t>
  </si>
  <si>
    <t>拟合方程：峰面积比= 斜率 ×浓度 + 截距， 权重：1/（浓度×浓度）</t>
  </si>
  <si>
    <t>表8：标准曲线的回算浓度</t>
  </si>
  <si>
    <t>STD1</t>
  </si>
  <si>
    <t>准确度偏差（%）</t>
  </si>
  <si>
    <t>STD2</t>
  </si>
  <si>
    <t>STD3</t>
  </si>
  <si>
    <t>STD4</t>
  </si>
  <si>
    <t>STD5</t>
  </si>
  <si>
    <t>准确度偏差 （%）</t>
  </si>
  <si>
    <t>STD6</t>
  </si>
  <si>
    <t>STD7</t>
  </si>
  <si>
    <t>STD8</t>
  </si>
  <si>
    <r>
      <rPr>
        <sz val="10.5"/>
        <color theme="1"/>
        <rFont val="宋体"/>
        <family val="3"/>
        <charset val="134"/>
      </rP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：本分析批无标曲质控样品</t>
    </r>
    <r>
      <rPr>
        <sz val="10.5"/>
        <color theme="1"/>
        <rFont val="宋体"/>
        <family val="1"/>
        <charset val="134"/>
      </rPr>
      <t>。</t>
    </r>
    <phoneticPr fontId="4" type="noConversion"/>
  </si>
  <si>
    <t>样品体积</t>
    <phoneticPr fontId="4" type="noConversion"/>
  </si>
  <si>
    <r>
      <rPr>
        <sz val="10.5"/>
        <color theme="1"/>
        <rFont val="宋体"/>
        <family val="3"/>
        <charset val="134"/>
      </rPr>
      <t>峰面积比</t>
    </r>
    <phoneticPr fontId="4" type="noConversion"/>
  </si>
  <si>
    <t>同位素内标，内标回收率参考待测物</t>
    <phoneticPr fontId="4" type="noConversion"/>
  </si>
  <si>
    <t>系统适用性，标准曲线及范围，基质样品长期稳定性，内标适用性考察，残留评价</t>
    <phoneticPr fontId="4" type="noConversion"/>
  </si>
  <si>
    <t>表24：内标适用性考察</t>
    <phoneticPr fontId="12" type="noConversion"/>
  </si>
  <si>
    <t>待测物对内标的干扰</t>
    <phoneticPr fontId="12" type="noConversion"/>
  </si>
  <si>
    <t>内标对待测物的干扰</t>
    <phoneticPr fontId="12" type="noConversion"/>
  </si>
  <si>
    <r>
      <rPr>
        <sz val="10.5"/>
        <color theme="1"/>
        <rFont val="宋体"/>
        <family val="3"/>
        <charset val="134"/>
      </rPr>
      <t>平均值</t>
    </r>
    <phoneticPr fontId="4" type="noConversion"/>
  </si>
  <si>
    <t>EQ202003</t>
    <phoneticPr fontId="12" type="noConversion"/>
  </si>
  <si>
    <t>EQSH24091</t>
    <phoneticPr fontId="4" type="noConversion"/>
  </si>
  <si>
    <r>
      <rPr>
        <sz val="10.5"/>
        <color theme="1"/>
        <rFont val="宋体"/>
        <family val="3"/>
        <charset val="134"/>
      </rPr>
      <t>系统适用性，标准曲线及范围，第二批批内准确度和精密度，选择性，基质效应，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残留评价</t>
    </r>
    <phoneticPr fontId="4" type="noConversion"/>
  </si>
  <si>
    <t>系统适用性，全血稳定性</t>
  </si>
  <si>
    <t>系统适用性，回收率</t>
    <phoneticPr fontId="4" type="noConversion"/>
  </si>
  <si>
    <r>
      <rPr>
        <sz val="10.5"/>
        <color theme="1"/>
        <rFont val="宋体"/>
        <family val="3"/>
        <charset val="134"/>
      </rPr>
      <t>系统适用性，标准曲线及范围，处理后样品再进样重现性</t>
    </r>
    <r>
      <rPr>
        <vertAlign val="superscript"/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残留评价</t>
    </r>
    <phoneticPr fontId="4" type="noConversion"/>
  </si>
  <si>
    <r>
      <rPr>
        <sz val="10.5"/>
        <color theme="1"/>
        <rFont val="宋体"/>
        <family val="3"/>
        <charset val="134"/>
      </rPr>
      <t>注1：处理后样品稳定性所使用的样品于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宋体"/>
        <family val="3"/>
        <charset val="134"/>
      </rPr>
      <t>年</t>
    </r>
    <r>
      <rPr>
        <sz val="10.5"/>
        <color theme="1"/>
        <rFont val="Times New Roman"/>
        <family val="1"/>
      </rPr>
      <t>09</t>
    </r>
    <r>
      <rPr>
        <sz val="10.5"/>
        <color theme="1"/>
        <rFont val="宋体"/>
        <family val="3"/>
        <charset val="134"/>
      </rPr>
      <t>月</t>
    </r>
    <r>
      <rPr>
        <sz val="10.5"/>
        <color theme="1"/>
        <rFont val="Times New Roman"/>
        <family val="1"/>
      </rPr>
      <t>02</t>
    </r>
    <r>
      <rPr>
        <sz val="10.5"/>
        <color theme="1"/>
        <rFont val="宋体"/>
        <family val="3"/>
        <charset val="134"/>
      </rPr>
      <t>日第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个分析批中制备。</t>
    </r>
    <phoneticPr fontId="4" type="noConversion"/>
  </si>
  <si>
    <r>
      <rPr>
        <sz val="10.5"/>
        <color theme="1"/>
        <rFont val="宋体"/>
        <family val="3"/>
        <charset val="134"/>
      </rP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：处理后样品再进样重现性所使用的样品于</t>
    </r>
    <r>
      <rPr>
        <sz val="10.5"/>
        <color theme="1"/>
        <rFont val="Times New Roman"/>
        <family val="3"/>
      </rPr>
      <t>2025</t>
    </r>
    <r>
      <rPr>
        <sz val="10.5"/>
        <color theme="1"/>
        <rFont val="宋体"/>
        <family val="3"/>
        <charset val="134"/>
      </rPr>
      <t>年</t>
    </r>
    <r>
      <rPr>
        <sz val="10.5"/>
        <color theme="1"/>
        <rFont val="Times New Roman"/>
        <family val="3"/>
      </rPr>
      <t>09</t>
    </r>
    <r>
      <rPr>
        <sz val="10.5"/>
        <color theme="1"/>
        <rFont val="宋体"/>
        <family val="3"/>
        <charset val="134"/>
      </rPr>
      <t>月</t>
    </r>
    <r>
      <rPr>
        <sz val="10.5"/>
        <color theme="1"/>
        <rFont val="Times New Roman"/>
        <family val="3"/>
      </rPr>
      <t>03</t>
    </r>
    <r>
      <rPr>
        <sz val="10.5"/>
        <color theme="1"/>
        <rFont val="宋体"/>
        <family val="3"/>
        <charset val="134"/>
      </rPr>
      <t>日第</t>
    </r>
    <r>
      <rPr>
        <sz val="10.5"/>
        <color theme="1"/>
        <rFont val="Times New Roman"/>
        <family val="3"/>
      </rPr>
      <t>2</t>
    </r>
    <r>
      <rPr>
        <sz val="10.5"/>
        <color theme="1"/>
        <rFont val="宋体"/>
        <family val="3"/>
        <charset val="134"/>
      </rPr>
      <t>个分析批中制备。</t>
    </r>
    <phoneticPr fontId="4" type="noConversion"/>
  </si>
  <si>
    <t>1*</t>
    <phoneticPr fontId="12" type="noConversion"/>
  </si>
  <si>
    <t>2*</t>
    <phoneticPr fontId="12" type="noConversion"/>
  </si>
  <si>
    <t>3*</t>
    <phoneticPr fontId="12" type="noConversion"/>
  </si>
  <si>
    <t>注释*：残留样品超出接受标准，已对分析批进行残留评估，评估结果是对质控样品和验证样品定量结果影响均小于5%，所以不影响分析批结果。</t>
    <phoneticPr fontId="12" type="noConversion"/>
  </si>
  <si>
    <t>8*</t>
    <phoneticPr fontId="12" type="noConversion"/>
  </si>
  <si>
    <t>NS25318BV01 Only ULOQ 1</t>
  </si>
  <si>
    <t>NS25318BV01 Only ULOQ 2</t>
  </si>
  <si>
    <t>NS25318BV01 Only ULOQ 3</t>
  </si>
  <si>
    <t>NS25318BV01 Only IS 1</t>
  </si>
  <si>
    <t>NS25318BV01 Only IS 2</t>
  </si>
  <si>
    <t>NS25318BV01 Only IS 3</t>
  </si>
  <si>
    <t>序列号：A200878</t>
    <phoneticPr fontId="4" type="noConversion"/>
  </si>
  <si>
    <t>50.0°C</t>
    <phoneticPr fontId="4" type="noConversion"/>
  </si>
  <si>
    <t>SD大鼠血浆</t>
    <phoneticPr fontId="4" type="noConversion"/>
  </si>
  <si>
    <t>30 μL</t>
    <phoneticPr fontId="4" type="noConversion"/>
  </si>
  <si>
    <t>斯贝福（北京）生物技术有限公司/上海益诺思生物技术股份有限公司</t>
    <phoneticPr fontId="4" type="noConversion"/>
  </si>
  <si>
    <t>10 μL</t>
    <phoneticPr fontId="4" type="noConversion"/>
  </si>
  <si>
    <t>内标残留≤0.7%</t>
    <phoneticPr fontId="4" type="noConversion"/>
  </si>
  <si>
    <t>处理后样品再进样重现性</t>
  </si>
  <si>
    <r>
      <t>TRIPLE QUAD</t>
    </r>
    <r>
      <rPr>
        <vertAlign val="superscript"/>
        <sz val="10.5"/>
        <color theme="1"/>
        <rFont val="Times New Roman"/>
        <family val="1"/>
      </rPr>
      <t>TM</t>
    </r>
    <r>
      <rPr>
        <sz val="10.5"/>
        <color theme="1"/>
        <rFont val="Times New Roman"/>
        <family val="1"/>
      </rPr>
      <t xml:space="preserve"> 6500</t>
    </r>
    <r>
      <rPr>
        <vertAlign val="superscript"/>
        <sz val="10.5"/>
        <color theme="1"/>
        <rFont val="Times New Roman"/>
        <family val="1"/>
      </rPr>
      <t>+</t>
    </r>
    <phoneticPr fontId="4" type="noConversion"/>
  </si>
  <si>
    <r>
      <rPr>
        <sz val="10.5"/>
        <color theme="1"/>
        <rFont val="宋体"/>
        <family val="3"/>
        <charset val="134"/>
      </rPr>
      <t>系统适用性，标准曲线及范围，第三批批内准确度和精密度，处理后样品稳定性</t>
    </r>
    <r>
      <rPr>
        <vertAlign val="superscript"/>
        <sz val="10.5"/>
        <color theme="1"/>
        <rFont val="Times New Roman"/>
        <family val="1"/>
      </rPr>
      <t>1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，基质样品冻融稳定性，基质样品短期稳定性，溶血效应，溶血基质选择性，分析批最大进样针数（</t>
    </r>
    <r>
      <rPr>
        <sz val="10.5"/>
        <color theme="1"/>
        <rFont val="Times New Roman"/>
        <family val="3"/>
      </rPr>
      <t>101</t>
    </r>
    <r>
      <rPr>
        <sz val="10.5"/>
        <color theme="1"/>
        <rFont val="微软雅黑"/>
        <family val="3"/>
        <charset val="134"/>
      </rPr>
      <t>针），</t>
    </r>
    <r>
      <rPr>
        <sz val="10.5"/>
        <color theme="1"/>
        <rFont val="宋体"/>
        <family val="3"/>
        <charset val="134"/>
      </rPr>
      <t>残留评价</t>
    </r>
    <phoneticPr fontId="4" type="noConversion"/>
  </si>
  <si>
    <t>系统适用性，待测物溶液稳定性</t>
    <phoneticPr fontId="4" type="noConversion"/>
  </si>
  <si>
    <t>LC-40D x3</t>
    <phoneticPr fontId="4" type="noConversion"/>
  </si>
  <si>
    <r>
      <rPr>
        <sz val="10.5"/>
        <color theme="1"/>
        <rFont val="宋体"/>
        <family val="3"/>
        <charset val="134"/>
      </rPr>
      <t>检测时间</t>
    </r>
  </si>
  <si>
    <r>
      <t xml:space="preserve"> </t>
    </r>
    <r>
      <rPr>
        <sz val="10.5"/>
        <color theme="1"/>
        <rFont val="宋体"/>
        <family val="3"/>
        <charset val="134"/>
      </rPr>
      <t>检测批次</t>
    </r>
  </si>
  <si>
    <r>
      <t xml:space="preserve"> </t>
    </r>
    <r>
      <rPr>
        <sz val="10.5"/>
        <color theme="1"/>
        <rFont val="宋体"/>
        <family val="3"/>
        <charset val="134"/>
      </rPr>
      <t>样品名称</t>
    </r>
  </si>
  <si>
    <r>
      <rPr>
        <sz val="10.5"/>
        <color theme="1"/>
        <rFont val="宋体"/>
        <family val="3"/>
        <charset val="134"/>
      </rPr>
      <t>检测批次编号</t>
    </r>
  </si>
  <si>
    <r>
      <rPr>
        <sz val="10.5"/>
        <color theme="1"/>
        <rFont val="宋体"/>
        <family val="3"/>
        <charset val="134"/>
      </rPr>
      <t>平均值</t>
    </r>
  </si>
  <si>
    <r>
      <rPr>
        <sz val="10.5"/>
        <color theme="1"/>
        <rFont val="宋体"/>
        <family val="3"/>
        <charset val="134"/>
      </rPr>
      <t>待测物</t>
    </r>
  </si>
  <si>
    <r>
      <rPr>
        <sz val="10.5"/>
        <color theme="1"/>
        <rFont val="宋体"/>
        <family val="3"/>
        <charset val="134"/>
      </rPr>
      <t>检测日期</t>
    </r>
  </si>
  <si>
    <r>
      <rPr>
        <sz val="10.5"/>
        <color theme="1"/>
        <rFont val="宋体"/>
        <family val="3"/>
        <charset val="134"/>
      </rPr>
      <t>检测日期</t>
    </r>
    <phoneticPr fontId="4" type="noConversion"/>
  </si>
  <si>
    <r>
      <rPr>
        <sz val="10.5"/>
        <color theme="1"/>
        <rFont val="宋体"/>
        <family val="3"/>
        <charset val="134"/>
      </rPr>
      <t>检测批次编号</t>
    </r>
    <phoneticPr fontId="4" type="noConversion"/>
  </si>
  <si>
    <r>
      <rPr>
        <sz val="10.5"/>
        <color theme="1"/>
        <rFont val="宋体"/>
        <family val="3"/>
        <charset val="134"/>
      </rPr>
      <t>斜率</t>
    </r>
  </si>
  <si>
    <r>
      <rPr>
        <sz val="10.5"/>
        <color theme="1"/>
        <rFont val="宋体"/>
        <family val="3"/>
        <charset val="134"/>
      </rPr>
      <t>截距</t>
    </r>
  </si>
  <si>
    <r>
      <t>R</t>
    </r>
    <r>
      <rPr>
        <vertAlign val="superscript"/>
        <sz val="10.5"/>
        <color theme="1"/>
        <rFont val="Times New Roman"/>
        <family val="1"/>
      </rPr>
      <t>2</t>
    </r>
  </si>
  <si>
    <r>
      <t>LLOQ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ng/mL</t>
    </r>
    <r>
      <rPr>
        <sz val="10.5"/>
        <color theme="1"/>
        <rFont val="宋体"/>
        <family val="3"/>
        <charset val="134"/>
      </rPr>
      <t>）</t>
    </r>
    <phoneticPr fontId="4" type="noConversion"/>
  </si>
  <si>
    <r>
      <t xml:space="preserve">ULOQ
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ng/mL</t>
    </r>
    <r>
      <rPr>
        <sz val="10.5"/>
        <color theme="1"/>
        <rFont val="宋体"/>
        <family val="3"/>
        <charset val="134"/>
      </rPr>
      <t>）</t>
    </r>
    <phoneticPr fontId="4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</si>
  <si>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 xml:space="preserve">3 </t>
    </r>
    <r>
      <rPr>
        <sz val="10.5"/>
        <color theme="1"/>
        <rFont val="宋体"/>
        <family val="3"/>
        <charset val="134"/>
      </rPr>
      <t>：批量样品检测过程的残留</t>
    </r>
    <phoneticPr fontId="12" type="noConversion"/>
  </si>
  <si>
    <r>
      <t>Carryover</t>
    </r>
    <r>
      <rPr>
        <sz val="10.5"/>
        <color theme="1"/>
        <rFont val="宋体"/>
        <family val="3"/>
        <charset val="134"/>
      </rPr>
      <t>样品中待测物残留峰面积</t>
    </r>
    <phoneticPr fontId="4" type="noConversion"/>
  </si>
  <si>
    <r>
      <t>Carryover</t>
    </r>
    <r>
      <rPr>
        <sz val="10.5"/>
        <color theme="1"/>
        <rFont val="宋体"/>
        <family val="3"/>
        <charset val="134"/>
      </rPr>
      <t>样品中内标残留峰面积</t>
    </r>
    <phoneticPr fontId="4" type="noConversion"/>
  </si>
  <si>
    <r>
      <t xml:space="preserve">LLOQ </t>
    </r>
    <r>
      <rPr>
        <sz val="10.5"/>
        <color theme="1"/>
        <rFont val="宋体"/>
        <family val="3"/>
        <charset val="134"/>
      </rPr>
      <t>标曲样品待测物峰面积</t>
    </r>
    <phoneticPr fontId="4" type="noConversion"/>
  </si>
  <si>
    <r>
      <t>LLOQ</t>
    </r>
    <r>
      <rPr>
        <sz val="10.5"/>
        <color theme="1"/>
        <rFont val="宋体"/>
        <family val="3"/>
        <charset val="134"/>
      </rPr>
      <t>标曲样品内标峰面积</t>
    </r>
    <phoneticPr fontId="4" type="noConversion"/>
  </si>
  <si>
    <r>
      <rPr>
        <sz val="10.5"/>
        <color theme="1"/>
        <rFont val="宋体"/>
        <family val="3"/>
        <charset val="134"/>
      </rPr>
      <t>符合接受标准的</t>
    </r>
    <r>
      <rPr>
        <sz val="10.5"/>
        <color theme="1"/>
        <rFont val="Times New Roman"/>
        <family val="1"/>
      </rPr>
      <t xml:space="preserve">LLOQ </t>
    </r>
    <r>
      <rPr>
        <sz val="10.5"/>
        <color theme="1"/>
        <rFont val="宋体"/>
        <family val="3"/>
        <charset val="134"/>
      </rPr>
      <t>标曲样品待测物峰面积均值</t>
    </r>
    <phoneticPr fontId="4" type="noConversion"/>
  </si>
  <si>
    <r>
      <rPr>
        <sz val="10.5"/>
        <color theme="1"/>
        <rFont val="宋体"/>
        <family val="3"/>
        <charset val="134"/>
      </rPr>
      <t>符合接受标准的</t>
    </r>
    <r>
      <rPr>
        <sz val="10.5"/>
        <color theme="1"/>
        <rFont val="Times New Roman"/>
        <family val="1"/>
      </rPr>
      <t xml:space="preserve">LLOQ </t>
    </r>
    <r>
      <rPr>
        <sz val="10.5"/>
        <color theme="1"/>
        <rFont val="宋体"/>
        <family val="3"/>
        <charset val="134"/>
      </rPr>
      <t>标曲样品内标峰面积均值</t>
    </r>
    <phoneticPr fontId="4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</si>
  <si>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 xml:space="preserve">2 </t>
    </r>
    <r>
      <rPr>
        <sz val="10.5"/>
        <color theme="1"/>
        <rFont val="宋体"/>
        <family val="3"/>
        <charset val="134"/>
      </rPr>
      <t>：系统适用性</t>
    </r>
    <phoneticPr fontId="12" type="noConversion"/>
  </si>
  <si>
    <r>
      <rPr>
        <sz val="10.5"/>
        <color theme="1"/>
        <rFont val="宋体"/>
        <family val="3"/>
        <charset val="134"/>
      </rPr>
      <t>待测物保留时间</t>
    </r>
    <phoneticPr fontId="4" type="noConversion"/>
  </si>
  <si>
    <r>
      <rPr>
        <sz val="10.5"/>
        <color theme="1"/>
        <rFont val="宋体"/>
        <family val="3"/>
        <charset val="134"/>
      </rPr>
      <t>内标保留时间</t>
    </r>
  </si>
  <si>
    <r>
      <rPr>
        <sz val="10.5"/>
        <color theme="1"/>
        <rFont val="宋体"/>
        <family val="3"/>
        <charset val="134"/>
      </rPr>
      <t>检测内容</t>
    </r>
  </si>
  <si>
    <r>
      <rPr>
        <sz val="10.5"/>
        <color theme="1"/>
        <rFont val="宋体"/>
        <family val="3"/>
        <charset val="134"/>
      </rPr>
      <t>提取日期</t>
    </r>
    <phoneticPr fontId="4" type="noConversion"/>
  </si>
  <si>
    <r>
      <rPr>
        <sz val="10.5"/>
        <color theme="1"/>
        <rFont val="宋体"/>
        <family val="3"/>
        <charset val="134"/>
      </rPr>
      <t>分析批是否接受</t>
    </r>
    <phoneticPr fontId="4" type="noConversion"/>
  </si>
  <si>
    <r>
      <rPr>
        <sz val="10.5"/>
        <color theme="1"/>
        <rFont val="宋体"/>
        <family val="3"/>
        <charset val="134"/>
      </rPr>
      <t>设备编号</t>
    </r>
    <phoneticPr fontId="4" type="noConversion"/>
  </si>
  <si>
    <r>
      <t>系统适用性，标准曲线及范围，第一批批内准确度和精密度，特异性，稀释可靠性，稳定性样品T</t>
    </r>
    <r>
      <rPr>
        <vertAlign val="subscript"/>
        <sz val="10.5"/>
        <color theme="1"/>
        <rFont val="宋体"/>
        <family val="3"/>
        <charset val="134"/>
      </rPr>
      <t>0</t>
    </r>
    <r>
      <rPr>
        <sz val="10.5"/>
        <color theme="1"/>
        <rFont val="宋体"/>
        <family val="3"/>
        <charset val="134"/>
      </rPr>
      <t>，残留评价</t>
    </r>
    <phoneticPr fontId="4" type="noConversion"/>
  </si>
  <si>
    <r>
      <t>不适用</t>
    </r>
    <r>
      <rPr>
        <vertAlign val="superscript"/>
        <sz val="10.5"/>
        <color theme="1"/>
        <rFont val="宋体"/>
        <family val="3"/>
        <charset val="134"/>
      </rPr>
      <t>2</t>
    </r>
    <phoneticPr fontId="4" type="noConversion"/>
  </si>
  <si>
    <r>
      <rPr>
        <sz val="10.5"/>
        <color theme="1"/>
        <rFont val="宋体"/>
        <family val="3"/>
        <charset val="134"/>
      </rPr>
      <t>备注：</t>
    </r>
  </si>
  <si>
    <r>
      <t xml:space="preserve">1.1 </t>
    </r>
    <r>
      <rPr>
        <sz val="10.5"/>
        <color theme="1"/>
        <rFont val="宋体"/>
        <family val="3"/>
        <charset val="134"/>
      </rPr>
      <t>检测方法概述</t>
    </r>
  </si>
  <si>
    <r>
      <rPr>
        <sz val="10.5"/>
        <color theme="1"/>
        <rFont val="宋体"/>
        <family val="3"/>
        <charset val="134"/>
      </rPr>
      <t>内标</t>
    </r>
  </si>
  <si>
    <r>
      <rPr>
        <sz val="10.5"/>
        <color theme="1"/>
        <rFont val="宋体"/>
        <family val="3"/>
        <charset val="134"/>
      </rPr>
      <t>分析方法</t>
    </r>
  </si>
  <si>
    <r>
      <rPr>
        <sz val="10.5"/>
        <color theme="1"/>
        <rFont val="宋体"/>
        <family val="3"/>
        <charset val="134"/>
      </rPr>
      <t>设备名称</t>
    </r>
  </si>
  <si>
    <r>
      <rPr>
        <sz val="10.5"/>
        <color theme="1"/>
        <rFont val="宋体"/>
        <family val="3"/>
        <charset val="134"/>
      </rPr>
      <t>制造商</t>
    </r>
  </si>
  <si>
    <r>
      <rPr>
        <sz val="10.5"/>
        <color theme="1"/>
        <rFont val="宋体"/>
        <family val="3"/>
        <charset val="134"/>
      </rPr>
      <t>型号</t>
    </r>
  </si>
  <si>
    <r>
      <rPr>
        <sz val="10.5"/>
        <color theme="1"/>
        <rFont val="宋体"/>
        <family val="3"/>
        <charset val="134"/>
      </rPr>
      <t>高效液相色谱</t>
    </r>
  </si>
  <si>
    <r>
      <rPr>
        <sz val="10.5"/>
        <color theme="1"/>
        <rFont val="宋体"/>
        <family val="3"/>
        <charset val="134"/>
      </rPr>
      <t>离子源</t>
    </r>
  </si>
  <si>
    <r>
      <t>Turbo-V</t>
    </r>
    <r>
      <rPr>
        <sz val="10.5"/>
        <color theme="1"/>
        <rFont val="宋体"/>
        <family val="3"/>
        <charset val="134"/>
      </rPr>
      <t>电喷雾离子源</t>
    </r>
    <phoneticPr fontId="12" type="noConversion"/>
  </si>
  <si>
    <r>
      <rPr>
        <sz val="10.5"/>
        <color theme="1"/>
        <rFont val="宋体"/>
        <family val="3"/>
        <charset val="134"/>
      </rPr>
      <t>检测器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串联质谱</t>
    </r>
  </si>
  <si>
    <r>
      <rPr>
        <sz val="10.5"/>
        <color theme="1"/>
        <rFont val="宋体"/>
        <family val="3"/>
        <charset val="134"/>
      </rPr>
      <t>数据采集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管理软件</t>
    </r>
    <phoneticPr fontId="4" type="noConversion"/>
  </si>
  <si>
    <r>
      <t>Analyst</t>
    </r>
    <r>
      <rPr>
        <sz val="10.5"/>
        <color theme="1"/>
        <rFont val="宋体"/>
        <family val="3"/>
        <charset val="134"/>
      </rPr>
      <t>数据采集软件（版本</t>
    </r>
    <r>
      <rPr>
        <sz val="10.5"/>
        <color theme="1"/>
        <rFont val="Times New Roman"/>
        <family val="1"/>
      </rPr>
      <t>1.7.3</t>
    </r>
    <r>
      <rPr>
        <sz val="10.5"/>
        <color theme="1"/>
        <rFont val="宋体"/>
        <family val="3"/>
        <charset val="134"/>
      </rPr>
      <t>），</t>
    </r>
    <r>
      <rPr>
        <sz val="10.5"/>
        <color theme="1"/>
        <rFont val="Times New Roman"/>
        <family val="1"/>
      </rPr>
      <t>Watson LIMS</t>
    </r>
    <r>
      <rPr>
        <sz val="10.5"/>
        <color theme="1"/>
        <rFont val="宋体"/>
        <family val="3"/>
        <charset val="134"/>
      </rPr>
      <t>（版本</t>
    </r>
    <r>
      <rPr>
        <sz val="10.5"/>
        <color theme="1"/>
        <rFont val="Times New Roman"/>
        <family val="1"/>
      </rPr>
      <t>7.4.2</t>
    </r>
    <r>
      <rPr>
        <sz val="10.5"/>
        <color theme="1"/>
        <rFont val="宋体"/>
        <family val="3"/>
        <charset val="134"/>
      </rPr>
      <t>）</t>
    </r>
    <phoneticPr fontId="4" type="noConversion"/>
  </si>
  <si>
    <r>
      <rPr>
        <sz val="10.5"/>
        <color theme="1"/>
        <rFont val="宋体"/>
        <family val="3"/>
        <charset val="134"/>
      </rPr>
      <t>离子化方式</t>
    </r>
    <phoneticPr fontId="12" type="noConversion"/>
  </si>
  <si>
    <r>
      <rPr>
        <sz val="10.5"/>
        <color theme="1"/>
        <rFont val="宋体"/>
        <family val="3"/>
        <charset val="134"/>
      </rPr>
      <t>电喷雾离子化正离子模式</t>
    </r>
    <phoneticPr fontId="4" type="noConversion"/>
  </si>
  <si>
    <r>
      <rPr>
        <sz val="10.5"/>
        <color theme="1"/>
        <rFont val="宋体"/>
        <family val="3"/>
        <charset val="134"/>
      </rPr>
      <t>扫描方式</t>
    </r>
  </si>
  <si>
    <r>
      <rPr>
        <sz val="10.5"/>
        <color theme="1"/>
        <rFont val="宋体"/>
        <family val="3"/>
        <charset val="134"/>
      </rPr>
      <t>多反应监测</t>
    </r>
  </si>
  <si>
    <r>
      <rPr>
        <sz val="10.5"/>
        <color theme="1"/>
        <rFont val="宋体"/>
        <family val="3"/>
        <charset val="134"/>
      </rPr>
      <t>色谱柱型号及所用序列号</t>
    </r>
    <phoneticPr fontId="4" type="noConversion"/>
  </si>
  <si>
    <r>
      <rPr>
        <sz val="10.5"/>
        <color theme="1"/>
        <rFont val="宋体"/>
        <family val="3"/>
        <charset val="134"/>
      </rPr>
      <t>型号：</t>
    </r>
    <r>
      <rPr>
        <sz val="10.5"/>
        <color theme="1"/>
        <rFont val="Times New Roman"/>
        <family val="1"/>
      </rPr>
      <t>ACE Excel 2 AQ 100 × 2.1 mm</t>
    </r>
    <phoneticPr fontId="4" type="noConversion"/>
  </si>
  <si>
    <r>
      <rPr>
        <sz val="10.5"/>
        <color theme="1"/>
        <rFont val="宋体"/>
        <family val="3"/>
        <charset val="134"/>
      </rPr>
      <t>流动相及流速</t>
    </r>
  </si>
  <si>
    <r>
      <rPr>
        <sz val="10.5"/>
        <color theme="1"/>
        <rFont val="宋体"/>
        <family val="3"/>
        <charset val="134"/>
      </rPr>
      <t>流动相</t>
    </r>
    <r>
      <rPr>
        <sz val="10.5"/>
        <color theme="1"/>
        <rFont val="Times New Roman"/>
        <family val="1"/>
      </rPr>
      <t>A</t>
    </r>
    <r>
      <rPr>
        <sz val="10.5"/>
        <color theme="1"/>
        <rFont val="宋体"/>
        <family val="3"/>
        <charset val="134"/>
      </rPr>
      <t>：含</t>
    </r>
    <r>
      <rPr>
        <sz val="10.5"/>
        <color theme="1"/>
        <rFont val="Times New Roman"/>
        <family val="3"/>
      </rPr>
      <t>0.3%</t>
    </r>
    <r>
      <rPr>
        <sz val="10.5"/>
        <color theme="1"/>
        <rFont val="宋体"/>
        <family val="3"/>
        <charset val="134"/>
      </rPr>
      <t>甲酸的水溶液</t>
    </r>
    <phoneticPr fontId="4" type="noConversion"/>
  </si>
  <si>
    <r>
      <rPr>
        <sz val="10.5"/>
        <color theme="1"/>
        <rFont val="宋体"/>
        <family val="3"/>
        <charset val="134"/>
      </rPr>
      <t>流动相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宋体"/>
        <family val="3"/>
        <charset val="134"/>
      </rPr>
      <t>：含</t>
    </r>
    <r>
      <rPr>
        <sz val="10.5"/>
        <color theme="1"/>
        <rFont val="Times New Roman"/>
        <family val="3"/>
      </rPr>
      <t>0.3%</t>
    </r>
    <r>
      <rPr>
        <sz val="10.5"/>
        <color theme="1"/>
        <rFont val="宋体"/>
        <family val="3"/>
        <charset val="134"/>
      </rPr>
      <t>甲酸的乙腈溶液</t>
    </r>
    <phoneticPr fontId="4" type="noConversion"/>
  </si>
  <si>
    <r>
      <rPr>
        <sz val="10.5"/>
        <color theme="1"/>
        <rFont val="宋体"/>
        <family val="3"/>
        <charset val="134"/>
      </rPr>
      <t>流速：</t>
    </r>
    <r>
      <rPr>
        <sz val="10.5"/>
        <color theme="1"/>
        <rFont val="Times New Roman"/>
        <family val="1"/>
      </rPr>
      <t>0.50 mL/min</t>
    </r>
    <phoneticPr fontId="4" type="noConversion"/>
  </si>
  <si>
    <r>
      <rPr>
        <sz val="10.5"/>
        <color theme="1"/>
        <rFont val="宋体"/>
        <family val="3"/>
        <charset val="134"/>
      </rPr>
      <t>柱温</t>
    </r>
  </si>
  <si>
    <r>
      <rPr>
        <sz val="10.5"/>
        <color theme="1"/>
        <rFont val="宋体"/>
        <family val="3"/>
        <charset val="134"/>
      </rPr>
      <t>样品的生物基质</t>
    </r>
  </si>
  <si>
    <r>
      <rPr>
        <sz val="10.5"/>
        <color theme="1"/>
        <rFont val="宋体"/>
        <family val="3"/>
        <charset val="134"/>
      </rPr>
      <t>抗凝剂</t>
    </r>
  </si>
  <si>
    <r>
      <t>EDTA-K</t>
    </r>
    <r>
      <rPr>
        <vertAlign val="subscript"/>
        <sz val="10.5"/>
        <color theme="1"/>
        <rFont val="Times New Roman"/>
        <family val="1"/>
      </rPr>
      <t>2</t>
    </r>
    <phoneticPr fontId="4" type="noConversion"/>
  </si>
  <si>
    <r>
      <rPr>
        <sz val="10.5"/>
        <color theme="1"/>
        <rFont val="宋体"/>
        <family val="3"/>
        <charset val="134"/>
      </rPr>
      <t>生物基质来源</t>
    </r>
    <phoneticPr fontId="12" type="noConversion"/>
  </si>
  <si>
    <r>
      <rPr>
        <sz val="10.5"/>
        <color theme="1"/>
        <rFont val="宋体"/>
        <family val="3"/>
        <charset val="134"/>
      </rPr>
      <t>样品预处理方法</t>
    </r>
  </si>
  <si>
    <r>
      <rPr>
        <sz val="10.5"/>
        <color theme="1"/>
        <rFont val="宋体"/>
        <family val="3"/>
        <charset val="134"/>
      </rPr>
      <t>进样量</t>
    </r>
  </si>
  <si>
    <r>
      <rPr>
        <sz val="10.5"/>
        <color theme="1"/>
        <rFont val="宋体"/>
        <family val="3"/>
        <charset val="134"/>
      </rPr>
      <t>定量指标</t>
    </r>
  </si>
  <si>
    <r>
      <rPr>
        <sz val="10.5"/>
        <color theme="1"/>
        <rFont val="宋体"/>
        <family val="3"/>
        <charset val="134"/>
      </rPr>
      <t>回归方程</t>
    </r>
  </si>
  <si>
    <r>
      <rPr>
        <sz val="10.5"/>
        <color theme="1"/>
        <rFont val="宋体"/>
        <family val="3"/>
        <charset val="134"/>
      </rPr>
      <t>权重系数</t>
    </r>
  </si>
  <si>
    <r>
      <t>1/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x*x</t>
    </r>
    <r>
      <rPr>
        <sz val="10.5"/>
        <color theme="1"/>
        <rFont val="宋体"/>
        <family val="3"/>
        <charset val="134"/>
      </rPr>
      <t>）</t>
    </r>
  </si>
  <si>
    <r>
      <rPr>
        <sz val="10.5"/>
        <color theme="1"/>
        <rFont val="宋体"/>
        <family val="3"/>
        <charset val="134"/>
      </rPr>
      <t>线性范围</t>
    </r>
  </si>
  <si>
    <r>
      <rPr>
        <sz val="10.5"/>
        <color theme="1"/>
        <rFont val="宋体"/>
        <family val="3"/>
        <charset val="134"/>
      </rPr>
      <t>最低定量限（</t>
    </r>
    <r>
      <rPr>
        <sz val="10.5"/>
        <color theme="1"/>
        <rFont val="Times New Roman"/>
        <family val="1"/>
      </rPr>
      <t>LLOQ</t>
    </r>
    <r>
      <rPr>
        <sz val="10.5"/>
        <color theme="1"/>
        <rFont val="宋体"/>
        <family val="3"/>
        <charset val="134"/>
      </rPr>
      <t>）</t>
    </r>
  </si>
  <si>
    <r>
      <rPr>
        <sz val="10.5"/>
        <color theme="1"/>
        <rFont val="宋体"/>
        <family val="3"/>
        <charset val="134"/>
      </rPr>
      <t>最低质控浓度（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）</t>
    </r>
  </si>
  <si>
    <r>
      <rPr>
        <sz val="10.5"/>
        <color theme="1"/>
        <rFont val="宋体"/>
        <family val="3"/>
        <charset val="134"/>
      </rPr>
      <t>质控浓度（</t>
    </r>
    <r>
      <rPr>
        <sz val="10.5"/>
        <color theme="1"/>
        <rFont val="Times New Roman"/>
        <family val="1"/>
      </rPr>
      <t>QC</t>
    </r>
    <r>
      <rPr>
        <sz val="10.5"/>
        <color theme="1"/>
        <rFont val="宋体"/>
        <family val="3"/>
        <charset val="134"/>
      </rPr>
      <t>）</t>
    </r>
  </si>
  <si>
    <r>
      <rPr>
        <sz val="10.5"/>
        <color theme="1"/>
        <rFont val="宋体"/>
        <family val="3"/>
        <charset val="134"/>
      </rPr>
      <t>系统适用性</t>
    </r>
    <phoneticPr fontId="4" type="noConversion"/>
  </si>
  <si>
    <r>
      <rPr>
        <sz val="10.5"/>
        <color theme="1"/>
        <rFont val="宋体"/>
        <family val="3"/>
        <charset val="134"/>
      </rPr>
      <t>待测物残留</t>
    </r>
    <phoneticPr fontId="4" type="noConversion"/>
  </si>
  <si>
    <r>
      <rPr>
        <sz val="10.5"/>
        <color theme="1"/>
        <rFont val="宋体"/>
        <family val="3"/>
        <charset val="134"/>
      </rPr>
      <t>内标残留</t>
    </r>
    <r>
      <rPr>
        <sz val="10.5"/>
        <rFont val="Times New Roman"/>
        <family val="1"/>
      </rPr>
      <t/>
    </r>
    <phoneticPr fontId="4" type="noConversion"/>
  </si>
  <si>
    <r>
      <rPr>
        <sz val="10.5"/>
        <color theme="1"/>
        <rFont val="宋体"/>
        <family val="3"/>
        <charset val="134"/>
      </rPr>
      <t>选择性</t>
    </r>
    <phoneticPr fontId="4" type="noConversion"/>
  </si>
  <si>
    <r>
      <rPr>
        <sz val="10.5"/>
        <color theme="1"/>
        <rFont val="宋体"/>
        <family val="3"/>
        <charset val="134"/>
      </rPr>
      <t>特异性</t>
    </r>
    <phoneticPr fontId="4" type="noConversion"/>
  </si>
  <si>
    <r>
      <rPr>
        <sz val="10.5"/>
        <color theme="1"/>
        <rFont val="宋体"/>
        <family val="3"/>
        <charset val="134"/>
      </rPr>
      <t>待测物与内标间干扰符合接受标准</t>
    </r>
    <phoneticPr fontId="4" type="noConversion"/>
  </si>
  <si>
    <r>
      <rPr>
        <sz val="10.5"/>
        <color theme="1"/>
        <rFont val="宋体"/>
        <family val="3"/>
        <charset val="134"/>
      </rPr>
      <t>基质效应</t>
    </r>
    <phoneticPr fontId="4" type="noConversion"/>
  </si>
  <si>
    <r>
      <rPr>
        <sz val="10.5"/>
        <color theme="1"/>
        <rFont val="宋体"/>
        <family val="3"/>
        <charset val="134"/>
      </rPr>
      <t>基质效应符合接受标准</t>
    </r>
    <phoneticPr fontId="4" type="noConversion"/>
  </si>
  <si>
    <r>
      <rPr>
        <sz val="10.5"/>
        <color theme="1"/>
        <rFont val="宋体"/>
        <family val="3"/>
        <charset val="134"/>
      </rPr>
      <t>准确度和精密度</t>
    </r>
    <phoneticPr fontId="4" type="noConversion"/>
  </si>
  <si>
    <r>
      <rPr>
        <sz val="10.5"/>
        <color theme="1"/>
        <rFont val="宋体"/>
        <family val="3"/>
        <charset val="134"/>
      </rPr>
      <t>准确度（与理论浓度的偏差）（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宋体"/>
        <family val="3"/>
        <charset val="134"/>
      </rPr>
      <t>）范围</t>
    </r>
    <phoneticPr fontId="4" type="noConversion"/>
  </si>
  <si>
    <r>
      <rPr>
        <sz val="10.5"/>
        <color theme="1"/>
        <rFont val="宋体"/>
        <family val="3"/>
        <charset val="134"/>
      </rPr>
      <t>精密度最大值（</t>
    </r>
    <r>
      <rPr>
        <sz val="10.5"/>
        <color theme="1"/>
        <rFont val="Times New Roman"/>
        <family val="1"/>
      </rPr>
      <t>%CV</t>
    </r>
    <r>
      <rPr>
        <sz val="10.5"/>
        <color theme="1"/>
        <rFont val="宋体"/>
        <family val="3"/>
        <charset val="134"/>
      </rPr>
      <t>）</t>
    </r>
    <phoneticPr fontId="4" type="noConversion"/>
  </si>
  <si>
    <r>
      <rPr>
        <sz val="10.5"/>
        <color theme="1"/>
        <rFont val="宋体"/>
        <family val="3"/>
        <charset val="134"/>
      </rPr>
      <t>批内准确度和精密度（除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以外的所有浓度质控）</t>
    </r>
  </si>
  <si>
    <r>
      <rPr>
        <sz val="10.5"/>
        <color theme="1"/>
        <rFont val="宋体"/>
        <family val="3"/>
        <charset val="134"/>
      </rPr>
      <t>批内准确度和精密度（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）</t>
    </r>
  </si>
  <si>
    <r>
      <rPr>
        <sz val="10.5"/>
        <color theme="1"/>
        <rFont val="宋体"/>
        <family val="3"/>
        <charset val="134"/>
      </rPr>
      <t>批间准确度和精密度（除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以外的所有浓度质控）</t>
    </r>
  </si>
  <si>
    <r>
      <rPr>
        <sz val="10.5"/>
        <color theme="1"/>
        <rFont val="宋体"/>
        <family val="3"/>
        <charset val="134"/>
      </rPr>
      <t>批间准确度和精密度（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）</t>
    </r>
  </si>
  <si>
    <r>
      <rPr>
        <sz val="10.5"/>
        <color theme="1"/>
        <rFont val="宋体"/>
        <family val="3"/>
        <charset val="134"/>
      </rPr>
      <t>待测物回收率</t>
    </r>
    <r>
      <rPr>
        <sz val="10.5"/>
        <rFont val="Times New Roman"/>
        <family val="1"/>
      </rPr>
      <t/>
    </r>
    <phoneticPr fontId="4" type="noConversion"/>
  </si>
  <si>
    <r>
      <rPr>
        <sz val="10.5"/>
        <color theme="1"/>
        <rFont val="宋体"/>
        <family val="3"/>
        <charset val="134"/>
      </rPr>
      <t>内标回收率</t>
    </r>
    <r>
      <rPr>
        <sz val="10.5"/>
        <rFont val="Times New Roman"/>
        <family val="1"/>
      </rPr>
      <t/>
    </r>
    <phoneticPr fontId="4" type="noConversion"/>
  </si>
  <si>
    <r>
      <rPr>
        <sz val="10.5"/>
        <color theme="1"/>
        <rFont val="宋体"/>
        <family val="3"/>
        <charset val="134"/>
      </rPr>
      <t>稀释倍数</t>
    </r>
    <phoneticPr fontId="4" type="noConversion"/>
  </si>
  <si>
    <r>
      <rPr>
        <sz val="10.5"/>
        <color theme="1"/>
        <rFont val="宋体"/>
        <family val="3"/>
        <charset val="134"/>
      </rPr>
      <t>储备液短期稳定性</t>
    </r>
    <phoneticPr fontId="4" type="noConversion"/>
  </si>
  <si>
    <r>
      <rPr>
        <sz val="10.5"/>
        <color theme="1"/>
        <rFont val="宋体"/>
        <family val="3"/>
        <charset val="134"/>
      </rPr>
      <t>工作液短期稳定性</t>
    </r>
    <phoneticPr fontId="4" type="noConversion"/>
  </si>
  <si>
    <r>
      <rPr>
        <sz val="10.5"/>
        <color theme="1"/>
        <rFont val="宋体"/>
        <family val="3"/>
        <charset val="134"/>
      </rPr>
      <t>储备液长期稳定性</t>
    </r>
    <phoneticPr fontId="4" type="noConversion"/>
  </si>
  <si>
    <r>
      <rPr>
        <sz val="10.5"/>
        <color theme="1"/>
        <rFont val="宋体"/>
        <family val="3"/>
        <charset val="134"/>
      </rPr>
      <t>工作液长期稳定性</t>
    </r>
    <phoneticPr fontId="4" type="noConversion"/>
  </si>
  <si>
    <r>
      <rPr>
        <sz val="10.5"/>
        <color theme="1"/>
        <rFont val="宋体"/>
        <family val="3"/>
        <charset val="134"/>
      </rPr>
      <t>生物样品前处理过程中的短期稳定性</t>
    </r>
    <phoneticPr fontId="4" type="noConversion"/>
  </si>
  <si>
    <r>
      <rPr>
        <sz val="10.5"/>
        <color theme="1"/>
        <rFont val="宋体"/>
        <family val="3"/>
        <charset val="134"/>
      </rPr>
      <t>冻融稳定性</t>
    </r>
    <r>
      <rPr>
        <sz val="10.5"/>
        <rFont val="Times New Roman"/>
        <family val="1"/>
      </rPr>
      <t/>
    </r>
    <phoneticPr fontId="4" type="noConversion"/>
  </si>
  <si>
    <r>
      <rPr>
        <sz val="10.5"/>
        <color theme="1"/>
        <rFont val="宋体"/>
        <family val="3"/>
        <charset val="134"/>
      </rPr>
      <t>处理后样品的稳定性</t>
    </r>
    <r>
      <rPr>
        <sz val="10.5"/>
        <color theme="1"/>
        <rFont val="Times New Roman"/>
        <family val="1"/>
      </rPr>
      <t xml:space="preserve"> </t>
    </r>
    <phoneticPr fontId="4" type="noConversion"/>
  </si>
  <si>
    <r>
      <rPr>
        <sz val="10.5"/>
        <color theme="1"/>
        <rFont val="宋体"/>
        <family val="3"/>
        <charset val="134"/>
      </rPr>
      <t>生物基质中待测物的长期稳定性</t>
    </r>
    <phoneticPr fontId="4" type="noConversion"/>
  </si>
  <si>
    <r>
      <rPr>
        <sz val="10.5"/>
        <color theme="1"/>
        <rFont val="宋体"/>
        <family val="3"/>
        <charset val="134"/>
      </rPr>
      <t>全血稳定性</t>
    </r>
    <r>
      <rPr>
        <sz val="10.5"/>
        <rFont val="Times New Roman"/>
        <family val="1"/>
      </rPr>
      <t/>
    </r>
    <phoneticPr fontId="4" type="noConversion"/>
  </si>
  <si>
    <r>
      <rPr>
        <sz val="10.5"/>
        <color theme="1"/>
        <rFont val="宋体"/>
        <family val="3"/>
        <charset val="134"/>
      </rPr>
      <t>溶血效应</t>
    </r>
    <r>
      <rPr>
        <sz val="10.5"/>
        <rFont val="Times New Roman"/>
        <family val="1"/>
      </rPr>
      <t/>
    </r>
    <phoneticPr fontId="4" type="noConversion"/>
  </si>
  <si>
    <r>
      <rPr>
        <sz val="10.5"/>
        <color theme="1"/>
        <rFont val="宋体"/>
        <family val="3"/>
        <charset val="134"/>
      </rPr>
      <t>最大分析批进样针数</t>
    </r>
  </si>
  <si>
    <t>固相萃取</t>
    <phoneticPr fontId="4" type="noConversion"/>
  </si>
  <si>
    <r>
      <rPr>
        <sz val="10.5"/>
        <color theme="1"/>
        <rFont val="宋体"/>
        <family val="3"/>
        <charset val="134"/>
      </rPr>
      <t>系统适用性，标准曲线及范围，批内准确度和精密度，分析批最大进样针数（</t>
    </r>
    <r>
      <rPr>
        <sz val="10.5"/>
        <color theme="1"/>
        <rFont val="Times New Roman"/>
        <family val="3"/>
      </rPr>
      <t>118</t>
    </r>
    <r>
      <rPr>
        <sz val="10.5"/>
        <color theme="1"/>
        <rFont val="微软雅黑"/>
        <family val="3"/>
        <charset val="134"/>
      </rPr>
      <t>针），</t>
    </r>
    <r>
      <rPr>
        <sz val="10.5"/>
        <color theme="1"/>
        <rFont val="宋体"/>
        <family val="3"/>
        <charset val="134"/>
      </rPr>
      <t>残留评价</t>
    </r>
    <phoneticPr fontId="4" type="noConversion"/>
  </si>
  <si>
    <t>除分析批1,2,3,8外待测物残留≤18.3%，对分析批1,2,3,8进行残留评估，评估结果是对质控样品和验证样品定量结果影响均小于5%。</t>
    <phoneticPr fontId="4" type="noConversion"/>
  </si>
  <si>
    <r>
      <rPr>
        <sz val="10.5"/>
        <color theme="1"/>
        <rFont val="宋体"/>
        <family val="3"/>
        <charset val="134"/>
      </rPr>
      <t>至少</t>
    </r>
    <r>
      <rPr>
        <sz val="10.5"/>
        <color theme="1"/>
        <rFont val="Times New Roman"/>
        <family val="1"/>
      </rPr>
      <t>118</t>
    </r>
    <r>
      <rPr>
        <sz val="10.5"/>
        <color theme="1"/>
        <rFont val="宋体"/>
        <family val="3"/>
        <charset val="134"/>
      </rPr>
      <t>针</t>
    </r>
    <phoneticPr fontId="4" type="noConversion"/>
  </si>
  <si>
    <t>表9：批内/批间样品检测的精密度和准确度</t>
  </si>
  <si>
    <r>
      <rPr>
        <sz val="10.5"/>
        <rFont val="宋体"/>
        <family val="3"/>
        <charset val="134"/>
      </rPr>
      <t>检测时间</t>
    </r>
  </si>
  <si>
    <r>
      <rPr>
        <sz val="10.5"/>
        <rFont val="宋体"/>
        <family val="3"/>
        <charset val="134"/>
      </rPr>
      <t>运行批次编号</t>
    </r>
  </si>
  <si>
    <t>LLOQ</t>
  </si>
  <si>
    <r>
      <rPr>
        <sz val="10.5"/>
        <rFont val="宋体"/>
        <family val="3"/>
        <charset val="134"/>
      </rPr>
      <t>准确度偏差</t>
    </r>
    <r>
      <rPr>
        <sz val="10.5"/>
        <rFont val="Times New Roman"/>
        <family val="1"/>
      </rPr>
      <t>%</t>
    </r>
  </si>
  <si>
    <t>GMQC</t>
    <phoneticPr fontId="4" type="noConversion"/>
  </si>
  <si>
    <t>#2.566</t>
    <phoneticPr fontId="12" type="noConversion"/>
  </si>
  <si>
    <r>
      <rPr>
        <sz val="10.5"/>
        <rFont val="宋体"/>
        <family val="3"/>
        <charset val="134"/>
      </rPr>
      <t>批内均值</t>
    </r>
  </si>
  <si>
    <r>
      <rPr>
        <sz val="10.5"/>
        <rFont val="宋体"/>
        <family val="3"/>
        <charset val="134"/>
      </rPr>
      <t>批内</t>
    </r>
    <r>
      <rPr>
        <sz val="10.5"/>
        <rFont val="Times New Roman"/>
        <family val="1"/>
      </rPr>
      <t>SD</t>
    </r>
  </si>
  <si>
    <r>
      <rPr>
        <sz val="10.5"/>
        <rFont val="宋体"/>
        <family val="3"/>
        <charset val="134"/>
      </rPr>
      <t>批内</t>
    </r>
    <r>
      <rPr>
        <sz val="10.5"/>
        <rFont val="Times New Roman"/>
        <family val="1"/>
      </rPr>
      <t>%CV</t>
    </r>
  </si>
  <si>
    <r>
      <rPr>
        <sz val="10.5"/>
        <rFont val="宋体"/>
        <family val="3"/>
        <charset val="134"/>
      </rPr>
      <t>批内准确度偏差</t>
    </r>
    <r>
      <rPr>
        <sz val="10.5"/>
        <rFont val="Times New Roman"/>
        <family val="1"/>
      </rPr>
      <t>%</t>
    </r>
  </si>
  <si>
    <r>
      <rPr>
        <sz val="10.5"/>
        <color theme="1"/>
        <rFont val="宋体"/>
        <family val="3"/>
        <charset val="134"/>
      </rPr>
      <t>除</t>
    </r>
    <r>
      <rPr>
        <sz val="10.5"/>
        <color theme="1"/>
        <rFont val="Times New Roman"/>
        <family val="1"/>
      </rPr>
      <t>LLOQ</t>
    </r>
    <r>
      <rPr>
        <sz val="10.5"/>
        <color theme="1"/>
        <rFont val="宋体"/>
        <family val="3"/>
        <charset val="134"/>
      </rPr>
      <t>外</t>
    </r>
    <phoneticPr fontId="4" type="noConversion"/>
  </si>
  <si>
    <t>批内</t>
    <phoneticPr fontId="4" type="noConversion"/>
  </si>
  <si>
    <t>Max</t>
    <phoneticPr fontId="4" type="noConversion"/>
  </si>
  <si>
    <t>Min</t>
    <phoneticPr fontId="4" type="noConversion"/>
  </si>
  <si>
    <t>%Bias</t>
    <phoneticPr fontId="4" type="noConversion"/>
  </si>
  <si>
    <t>%CV</t>
    <phoneticPr fontId="4" type="noConversion"/>
  </si>
  <si>
    <t>批间</t>
    <phoneticPr fontId="4" type="noConversion"/>
  </si>
  <si>
    <t>LLOQ</t>
    <phoneticPr fontId="4" type="noConversion"/>
  </si>
  <si>
    <t>#0.125</t>
  </si>
  <si>
    <t>#2.613</t>
    <phoneticPr fontId="12" type="noConversion"/>
  </si>
  <si>
    <t>#0.121</t>
  </si>
  <si>
    <t>#43.449</t>
    <phoneticPr fontId="12" type="noConversion"/>
  </si>
  <si>
    <r>
      <rPr>
        <sz val="10.5"/>
        <rFont val="宋体"/>
        <family val="3"/>
        <charset val="134"/>
      </rPr>
      <t>平均实测浓度</t>
    </r>
  </si>
  <si>
    <r>
      <rPr>
        <sz val="10.5"/>
        <rFont val="宋体"/>
        <family val="3"/>
        <charset val="134"/>
      </rPr>
      <t>批间</t>
    </r>
    <r>
      <rPr>
        <sz val="10.5"/>
        <rFont val="Times New Roman"/>
        <family val="1"/>
      </rPr>
      <t>SD</t>
    </r>
  </si>
  <si>
    <r>
      <rPr>
        <sz val="10.5"/>
        <rFont val="宋体"/>
        <family val="3"/>
        <charset val="134"/>
      </rPr>
      <t>批间</t>
    </r>
    <r>
      <rPr>
        <sz val="10.5"/>
        <rFont val="Times New Roman"/>
        <family val="1"/>
      </rPr>
      <t>%CV</t>
    </r>
  </si>
  <si>
    <r>
      <rPr>
        <sz val="10.5"/>
        <rFont val="宋体"/>
        <family val="3"/>
        <charset val="134"/>
      </rPr>
      <t>批间准确度偏差</t>
    </r>
    <r>
      <rPr>
        <sz val="10.5"/>
        <rFont val="Times New Roman"/>
        <family val="1"/>
      </rPr>
      <t>%</t>
    </r>
  </si>
  <si>
    <t>注#：不满足接受标准，但仍参与统计计算。</t>
    <phoneticPr fontId="12" type="noConversion"/>
  </si>
  <si>
    <t>表4：选择性考察</t>
  </si>
  <si>
    <t>检测批次编号：2</t>
    <phoneticPr fontId="4" type="noConversion"/>
  </si>
  <si>
    <r>
      <rPr>
        <sz val="10.5"/>
        <rFont val="宋体"/>
        <family val="3"/>
        <charset val="134"/>
      </rPr>
      <t>序号</t>
    </r>
  </si>
  <si>
    <r>
      <rPr>
        <sz val="10.5"/>
        <rFont val="宋体"/>
        <family val="3"/>
        <charset val="134"/>
      </rPr>
      <t>不同来源基质的编号</t>
    </r>
  </si>
  <si>
    <r>
      <rPr>
        <sz val="10.5"/>
        <rFont val="宋体"/>
        <family val="3"/>
        <charset val="134"/>
      </rPr>
      <t>待测物响应值</t>
    </r>
    <phoneticPr fontId="4" type="noConversion"/>
  </si>
  <si>
    <r>
      <rPr>
        <sz val="10.5"/>
        <rFont val="宋体"/>
        <family val="3"/>
        <charset val="134"/>
      </rPr>
      <t>内标响应值</t>
    </r>
  </si>
  <si>
    <r>
      <rPr>
        <sz val="10.5"/>
        <rFont val="宋体"/>
        <family val="3"/>
        <charset val="134"/>
      </rPr>
      <t>空白基质</t>
    </r>
  </si>
  <si>
    <t>干扰 (%）</t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</si>
  <si>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1</t>
    </r>
    <phoneticPr fontId="4" type="noConversion"/>
  </si>
  <si>
    <t>KN-BM-25-533 2025082701-003</t>
    <phoneticPr fontId="4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</si>
  <si>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2</t>
    </r>
    <r>
      <rPr>
        <sz val="11"/>
        <color theme="1"/>
        <rFont val="DengXian"/>
        <family val="2"/>
        <charset val="134"/>
        <scheme val="minor"/>
      </rPr>
      <t/>
    </r>
  </si>
  <si>
    <t>KN-BM-25-533 2025082701-006</t>
    <phoneticPr fontId="4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</si>
  <si>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3</t>
    </r>
    <r>
      <rPr>
        <sz val="11"/>
        <color theme="1"/>
        <rFont val="DengXian"/>
        <family val="2"/>
        <charset val="134"/>
        <scheme val="minor"/>
      </rPr>
      <t/>
    </r>
  </si>
  <si>
    <t>KN-BM-25-533 2025082701-007</t>
    <phoneticPr fontId="4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</si>
  <si>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4</t>
    </r>
    <r>
      <rPr>
        <sz val="11"/>
        <color theme="1"/>
        <rFont val="DengXian"/>
        <family val="2"/>
        <charset val="134"/>
        <scheme val="minor"/>
      </rPr>
      <t/>
    </r>
  </si>
  <si>
    <t>KN-BM-25-533 2025082702-001</t>
    <phoneticPr fontId="4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</si>
  <si>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5</t>
    </r>
    <r>
      <rPr>
        <sz val="11"/>
        <color theme="1"/>
        <rFont val="DengXian"/>
        <family val="2"/>
        <charset val="134"/>
        <scheme val="minor"/>
      </rPr>
      <t/>
    </r>
  </si>
  <si>
    <t>KN-BM-25-533 2025082702-002</t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</si>
  <si>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6</t>
    </r>
    <r>
      <rPr>
        <sz val="11"/>
        <color theme="1"/>
        <rFont val="DengXian"/>
        <family val="2"/>
        <charset val="134"/>
        <scheme val="minor"/>
      </rPr>
      <t/>
    </r>
  </si>
  <si>
    <t>KN-BM-25-533 2025082702-003</t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</si>
  <si>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3</t>
    </r>
    <phoneticPr fontId="4" type="noConversion"/>
  </si>
  <si>
    <t>干扰（%）</t>
  </si>
  <si>
    <t>溶血</t>
    <phoneticPr fontId="4" type="noConversion"/>
  </si>
  <si>
    <t>NA</t>
    <phoneticPr fontId="4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</si>
  <si>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：待测物与内标间的干扰</t>
    </r>
    <phoneticPr fontId="4" type="noConversion"/>
  </si>
  <si>
    <r>
      <rPr>
        <sz val="10.5"/>
        <rFont val="宋体"/>
        <family val="3"/>
        <charset val="134"/>
      </rPr>
      <t>检测日期</t>
    </r>
    <phoneticPr fontId="4" type="noConversion"/>
  </si>
  <si>
    <r>
      <t xml:space="preserve"> </t>
    </r>
    <r>
      <rPr>
        <sz val="10.5"/>
        <rFont val="宋体"/>
        <family val="3"/>
        <charset val="134"/>
      </rPr>
      <t>检测批次编号</t>
    </r>
    <phoneticPr fontId="4" type="noConversion"/>
  </si>
  <si>
    <r>
      <t xml:space="preserve"> </t>
    </r>
    <r>
      <rPr>
        <sz val="10.5"/>
        <rFont val="宋体"/>
        <family val="3"/>
        <charset val="134"/>
      </rPr>
      <t>样品名称</t>
    </r>
  </si>
  <si>
    <t>Only ULOQ 1</t>
    <phoneticPr fontId="4" type="noConversion"/>
  </si>
  <si>
    <t>Only ULOQ 2</t>
  </si>
  <si>
    <t>Only ULOQ 3</t>
  </si>
  <si>
    <t>Only IS 1</t>
    <phoneticPr fontId="4" type="noConversion"/>
  </si>
  <si>
    <t>Only IS 2</t>
  </si>
  <si>
    <t>Only IS 3</t>
  </si>
  <si>
    <t>表6：基质效应试验</t>
    <phoneticPr fontId="4" type="noConversion"/>
  </si>
  <si>
    <r>
      <rPr>
        <sz val="10.5"/>
        <color theme="1"/>
        <rFont val="宋体"/>
        <family val="3"/>
        <charset val="134"/>
      </rPr>
      <t>检测批次编号：</t>
    </r>
    <r>
      <rPr>
        <sz val="10.5"/>
        <color theme="1"/>
        <rFont val="Times New Roman"/>
        <family val="1"/>
      </rPr>
      <t>2</t>
    </r>
    <phoneticPr fontId="12" type="noConversion"/>
  </si>
  <si>
    <r>
      <rPr>
        <sz val="10.5"/>
        <color theme="1"/>
        <rFont val="宋体"/>
        <family val="3"/>
        <charset val="134"/>
      </rPr>
      <t>日期：</t>
    </r>
    <r>
      <rPr>
        <sz val="10.5"/>
        <color theme="1"/>
        <rFont val="Times New Roman"/>
        <family val="1"/>
      </rPr>
      <t>2025/09/03</t>
    </r>
    <phoneticPr fontId="12" type="noConversion"/>
  </si>
  <si>
    <r>
      <rPr>
        <sz val="10.5"/>
        <color theme="1"/>
        <rFont val="宋体"/>
        <family val="3"/>
        <charset val="134"/>
      </rPr>
      <t>生物基质批号</t>
    </r>
  </si>
  <si>
    <t xml:space="preserve"> LQC</t>
  </si>
  <si>
    <r>
      <rPr>
        <sz val="10.5"/>
        <color theme="1"/>
        <rFont val="宋体"/>
        <family val="3"/>
        <charset val="134"/>
      </rPr>
      <t>准确度偏差</t>
    </r>
    <r>
      <rPr>
        <sz val="10.5"/>
        <color theme="1"/>
        <rFont val="Times New Roman"/>
        <family val="1"/>
      </rPr>
      <t>%</t>
    </r>
  </si>
  <si>
    <t>ng/mL</t>
    <phoneticPr fontId="12" type="noConversion"/>
  </si>
  <si>
    <t>KN-BM-25-533 2025082701-003</t>
  </si>
  <si>
    <t>Min</t>
    <phoneticPr fontId="12" type="noConversion"/>
  </si>
  <si>
    <t>Max</t>
    <phoneticPr fontId="12" type="noConversion"/>
  </si>
  <si>
    <r>
      <rPr>
        <sz val="10.5"/>
        <rFont val="宋体"/>
        <family val="3"/>
        <charset val="134"/>
      </rPr>
      <t>平均值</t>
    </r>
  </si>
  <si>
    <t>%CV</t>
  </si>
  <si>
    <r>
      <rPr>
        <sz val="10.5"/>
        <rFont val="宋体"/>
        <family val="3"/>
        <charset val="134"/>
      </rPr>
      <t>准确度</t>
    </r>
    <r>
      <rPr>
        <sz val="10.5"/>
        <rFont val="Times New Roman"/>
        <family val="1"/>
      </rPr>
      <t>%</t>
    </r>
  </si>
  <si>
    <t>KN-BM-25-533 2025082701-006</t>
  </si>
  <si>
    <t>KN-BM-25-533 2025082701-007</t>
  </si>
  <si>
    <t>KN-BM-25-533 2025082702-001</t>
  </si>
  <si>
    <t>KN-BM-25-533 2025082702-002</t>
    <phoneticPr fontId="12" type="noConversion"/>
  </si>
  <si>
    <t>KN-BM-25-533 2025082702-003</t>
    <phoneticPr fontId="12" type="noConversion"/>
  </si>
  <si>
    <t>表11：待测物提取回收率：以待测物与内标的峰面积比计</t>
    <phoneticPr fontId="4" type="noConversion"/>
  </si>
  <si>
    <r>
      <rPr>
        <sz val="10.5"/>
        <color theme="1"/>
        <rFont val="宋体"/>
        <family val="3"/>
        <charset val="134"/>
      </rPr>
      <t>检测批次编号：</t>
    </r>
    <r>
      <rPr>
        <sz val="10.5"/>
        <color theme="1"/>
        <rFont val="Times New Roman"/>
        <family val="1"/>
      </rPr>
      <t>5</t>
    </r>
    <phoneticPr fontId="12" type="noConversion"/>
  </si>
  <si>
    <t>提取后峰面积比</t>
    <phoneticPr fontId="12" type="noConversion"/>
  </si>
  <si>
    <r>
      <rPr>
        <sz val="10.5"/>
        <rFont val="宋体"/>
        <family val="3"/>
        <charset val="134"/>
      </rPr>
      <t>未提取的峰面积比</t>
    </r>
  </si>
  <si>
    <t>提取回收率（%）</t>
  </si>
  <si>
    <r>
      <rPr>
        <sz val="10.5"/>
        <rFont val="宋体"/>
        <family val="3"/>
        <charset val="134"/>
      </rPr>
      <t>提取后峰面积比</t>
    </r>
  </si>
  <si>
    <r>
      <rPr>
        <sz val="10.5"/>
        <color indexed="8"/>
        <rFont val="宋体"/>
        <family val="3"/>
        <charset val="134"/>
      </rPr>
      <t>提取后峰面积比</t>
    </r>
    <phoneticPr fontId="4" type="noConversion"/>
  </si>
  <si>
    <r>
      <rPr>
        <sz val="10.5"/>
        <color indexed="8"/>
        <rFont val="宋体"/>
        <family val="3"/>
        <charset val="134"/>
      </rPr>
      <t>未提取的峰面积比</t>
    </r>
    <r>
      <rPr>
        <sz val="10.5"/>
        <color indexed="8"/>
        <rFont val="Times New Roman"/>
        <family val="1"/>
      </rPr>
      <t xml:space="preserve"> </t>
    </r>
  </si>
  <si>
    <r>
      <rPr>
        <sz val="10.5"/>
        <color indexed="8"/>
        <rFont val="宋体"/>
        <family val="3"/>
        <charset val="134"/>
      </rPr>
      <t>平均值</t>
    </r>
    <phoneticPr fontId="4" type="noConversion"/>
  </si>
  <si>
    <r>
      <rPr>
        <sz val="10.5"/>
        <rFont val="宋体"/>
        <family val="3"/>
        <charset val="134"/>
      </rPr>
      <t>总体回收率</t>
    </r>
    <r>
      <rPr>
        <sz val="10.5"/>
        <rFont val="Times New Roman"/>
        <family val="1"/>
      </rPr>
      <t>%</t>
    </r>
  </si>
  <si>
    <r>
      <rPr>
        <sz val="10.5"/>
        <rFont val="宋体"/>
        <family val="3"/>
        <charset val="134"/>
      </rPr>
      <t>总体变异</t>
    </r>
    <r>
      <rPr>
        <sz val="10.5"/>
        <rFont val="Times New Roman"/>
        <family val="1"/>
      </rPr>
      <t>%CV</t>
    </r>
    <phoneticPr fontId="12" type="noConversion"/>
  </si>
  <si>
    <t>表13：稀释可靠性</t>
  </si>
  <si>
    <r>
      <t>DQC</t>
    </r>
    <r>
      <rPr>
        <sz val="10.5"/>
        <color theme="1"/>
        <rFont val="宋体"/>
        <family val="3"/>
        <charset val="134"/>
      </rPr>
      <t>（稀释倍数</t>
    </r>
    <r>
      <rPr>
        <sz val="10.5"/>
        <color theme="1"/>
        <rFont val="Times New Roman"/>
        <family val="1"/>
      </rPr>
      <t>20</t>
    </r>
    <r>
      <rPr>
        <sz val="10.5"/>
        <color theme="1"/>
        <rFont val="宋体"/>
        <family val="3"/>
        <charset val="134"/>
      </rPr>
      <t>倍</t>
    </r>
    <r>
      <rPr>
        <sz val="10.5"/>
        <color theme="1"/>
        <rFont val="Times New Roman"/>
        <family val="1"/>
      </rPr>
      <t>)</t>
    </r>
    <phoneticPr fontId="4" type="noConversion"/>
  </si>
  <si>
    <t>准确度（%）</t>
  </si>
  <si>
    <t xml:space="preserve">表18：生物样品前处理过程中的短期稳定性 </t>
  </si>
  <si>
    <t>试验条件：</t>
    <phoneticPr fontId="4" type="noConversion"/>
  </si>
  <si>
    <t>在冰水浴白光下放置16小时的短期稳定性</t>
    <phoneticPr fontId="4" type="noConversion"/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</si>
  <si>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</si>
  <si>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样品开始放置时间：</t>
    </r>
    <phoneticPr fontId="4" type="noConversion"/>
  </si>
  <si>
    <r>
      <rPr>
        <sz val="10.5"/>
        <rFont val="宋体"/>
        <family val="3"/>
        <charset val="134"/>
      </rPr>
      <t>样品结束放置时间：</t>
    </r>
    <phoneticPr fontId="4" type="noConversion"/>
  </si>
  <si>
    <r>
      <rPr>
        <sz val="10.5"/>
        <rFont val="宋体"/>
        <family val="3"/>
        <charset val="134"/>
      </rPr>
      <t>放置时间：</t>
    </r>
    <phoneticPr fontId="4" type="noConversion"/>
  </si>
  <si>
    <t>表19：冻融稳定性</t>
  </si>
  <si>
    <r>
      <rPr>
        <sz val="10.5"/>
        <color theme="1"/>
        <rFont val="宋体"/>
        <family val="3"/>
        <charset val="134"/>
      </rPr>
      <t>试验条件：在超低温冷冻冰箱（</t>
    </r>
    <r>
      <rPr>
        <sz val="10.5"/>
        <color theme="1"/>
        <rFont val="Times New Roman"/>
        <family val="3"/>
        <charset val="134"/>
      </rPr>
      <t>-70~-90 °C</t>
    </r>
    <r>
      <rPr>
        <sz val="10.5"/>
        <color theme="1"/>
        <rFont val="宋体"/>
        <family val="3"/>
        <charset val="134"/>
      </rPr>
      <t>）冻存至少</t>
    </r>
    <r>
      <rPr>
        <sz val="10.5"/>
        <color theme="1"/>
        <rFont val="Times New Roman"/>
        <family val="3"/>
        <charset val="134"/>
      </rPr>
      <t>12</t>
    </r>
    <r>
      <rPr>
        <sz val="10.5"/>
        <color theme="1"/>
        <rFont val="宋体"/>
        <family val="3"/>
        <charset val="134"/>
      </rPr>
      <t>小时，在冰水浴白光条件下融化。</t>
    </r>
    <phoneticPr fontId="4" type="noConversion"/>
  </si>
  <si>
    <r>
      <rPr>
        <sz val="10.5"/>
        <color theme="1"/>
        <rFont val="宋体"/>
        <family val="3"/>
        <charset val="134"/>
      </rPr>
      <t>冻融循环次数</t>
    </r>
  </si>
  <si>
    <t>4次</t>
    <phoneticPr fontId="4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</si>
  <si>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20</t>
    </r>
    <r>
      <rPr>
        <sz val="10.5"/>
        <color theme="1"/>
        <rFont val="宋体"/>
        <family val="3"/>
        <charset val="134"/>
      </rPr>
      <t>：制备后样品的稳定性</t>
    </r>
  </si>
  <si>
    <r>
      <rPr>
        <sz val="10.5"/>
        <rFont val="宋体"/>
        <family val="3"/>
        <charset val="134"/>
      </rPr>
      <t>试验条件：在自动进样器（5</t>
    </r>
    <r>
      <rPr>
        <sz val="10.5"/>
        <rFont val="Times New Roman"/>
        <family val="1"/>
      </rPr>
      <t>°C</t>
    </r>
    <r>
      <rPr>
        <sz val="10.5"/>
        <rFont val="宋体"/>
        <family val="3"/>
        <charset val="134"/>
      </rPr>
      <t>）中放置78小时后的稳定性</t>
    </r>
    <phoneticPr fontId="4" type="noConversion"/>
  </si>
  <si>
    <t>样品处理完成时间：</t>
    <phoneticPr fontId="4" type="noConversion"/>
  </si>
  <si>
    <t>该样品第一针进样时间：</t>
    <phoneticPr fontId="4" type="noConversion"/>
  </si>
  <si>
    <t xml:space="preserve"> </t>
    <phoneticPr fontId="4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</si>
  <si>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22</t>
    </r>
    <r>
      <rPr>
        <sz val="10.5"/>
        <color theme="1"/>
        <rFont val="宋体"/>
        <family val="3"/>
        <charset val="134"/>
      </rPr>
      <t>：样品离心分离前基质中待测物稳定性</t>
    </r>
  </si>
  <si>
    <r>
      <rPr>
        <sz val="10.5"/>
        <rFont val="宋体"/>
        <family val="3"/>
        <charset val="134"/>
      </rPr>
      <t>试验条件：全血样品在冰水浴白光中放置</t>
    </r>
    <r>
      <rPr>
        <sz val="10.5"/>
        <rFont val="Times New Roman"/>
        <family val="1"/>
      </rPr>
      <t>1.5</t>
    </r>
    <r>
      <rPr>
        <sz val="10.5"/>
        <rFont val="宋体"/>
        <family val="3"/>
        <charset val="134"/>
      </rPr>
      <t>小时后的稳定性</t>
    </r>
    <phoneticPr fontId="4" type="noConversion"/>
  </si>
  <si>
    <r>
      <rPr>
        <sz val="10.5"/>
        <rFont val="宋体"/>
        <family val="3"/>
        <charset val="134"/>
      </rPr>
      <t>样品编号</t>
    </r>
  </si>
  <si>
    <r>
      <rPr>
        <sz val="10.5"/>
        <rFont val="宋体"/>
        <family val="3"/>
        <charset val="134"/>
      </rPr>
      <t>浓度</t>
    </r>
    <phoneticPr fontId="4" type="noConversion"/>
  </si>
  <si>
    <t>ng/mL</t>
    <phoneticPr fontId="4" type="noConversion"/>
  </si>
  <si>
    <r>
      <rPr>
        <sz val="10.5"/>
        <rFont val="宋体"/>
        <family val="3"/>
        <charset val="134"/>
      </rPr>
      <t>待测物与内标的峰面积比</t>
    </r>
    <phoneticPr fontId="4" type="noConversion"/>
  </si>
  <si>
    <r>
      <t>T</t>
    </r>
    <r>
      <rPr>
        <vertAlign val="subscript"/>
        <sz val="10.5"/>
        <rFont val="Times New Roman"/>
        <family val="1"/>
      </rPr>
      <t>1.5h</t>
    </r>
    <phoneticPr fontId="4" type="noConversion"/>
  </si>
  <si>
    <r>
      <t>T</t>
    </r>
    <r>
      <rPr>
        <vertAlign val="subscript"/>
        <sz val="10.5"/>
        <rFont val="Times New Roman"/>
        <family val="1"/>
      </rPr>
      <t>0</t>
    </r>
  </si>
  <si>
    <t>差异（%）</t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</si>
  <si>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23</t>
    </r>
    <r>
      <rPr>
        <sz val="10.5"/>
        <color theme="1"/>
        <rFont val="宋体"/>
        <family val="3"/>
        <charset val="134"/>
      </rPr>
      <t>：溶血效应</t>
    </r>
    <phoneticPr fontId="4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</si>
  <si>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23</t>
    </r>
    <r>
      <rPr>
        <sz val="10.5"/>
        <color theme="1"/>
        <rFont val="宋体"/>
        <family val="3"/>
        <charset val="134"/>
      </rPr>
      <t>：处理后样品再进样重现性</t>
    </r>
    <phoneticPr fontId="4" type="noConversion"/>
  </si>
  <si>
    <r>
      <rPr>
        <sz val="10.5"/>
        <rFont val="宋体"/>
        <family val="3"/>
        <charset val="134"/>
      </rPr>
      <t>试验条件：在自动进样器（</t>
    </r>
    <r>
      <rPr>
        <sz val="10.5"/>
        <rFont val="Times New Roman"/>
        <family val="1"/>
      </rPr>
      <t>5°C</t>
    </r>
    <r>
      <rPr>
        <sz val="10.5"/>
        <rFont val="宋体"/>
        <family val="3"/>
        <charset val="134"/>
      </rPr>
      <t>）中放置</t>
    </r>
    <r>
      <rPr>
        <sz val="10.5"/>
        <rFont val="Times New Roman"/>
        <family val="1"/>
      </rPr>
      <t>65</t>
    </r>
    <r>
      <rPr>
        <sz val="10.5"/>
        <rFont val="宋体"/>
        <family val="3"/>
        <charset val="134"/>
      </rPr>
      <t>小时后再进样</t>
    </r>
    <phoneticPr fontId="4" type="noConversion"/>
  </si>
  <si>
    <t>该分析批第一针进样时间：</t>
    <phoneticPr fontId="4" type="noConversion"/>
  </si>
  <si>
    <t>再进样分析批第一针进样时间：</t>
    <phoneticPr fontId="4" type="noConversion"/>
  </si>
  <si>
    <t>放置时间：</t>
    <phoneticPr fontId="4" type="noConversion"/>
  </si>
  <si>
    <t>平均值</t>
    <phoneticPr fontId="4" type="noConversion"/>
  </si>
  <si>
    <t>SD</t>
    <phoneticPr fontId="4" type="noConversion"/>
  </si>
  <si>
    <t>表10：质控样品浓度数据汇总（除准确度精密度分析批外）</t>
  </si>
  <si>
    <t>GMQC</t>
    <phoneticPr fontId="12" type="noConversion"/>
  </si>
  <si>
    <t/>
  </si>
  <si>
    <t>表14：储备液短期稳定性</t>
  </si>
  <si>
    <r>
      <rPr>
        <sz val="10.5"/>
        <color theme="1"/>
        <rFont val="宋体"/>
        <family val="3"/>
        <charset val="134"/>
      </rPr>
      <t>储备液开始放置时间：</t>
    </r>
  </si>
  <si>
    <t>检测批次编号：7</t>
    <phoneticPr fontId="12" type="noConversion"/>
  </si>
  <si>
    <r>
      <rPr>
        <sz val="10.5"/>
        <color theme="1"/>
        <rFont val="宋体"/>
        <family val="3"/>
        <charset val="134"/>
      </rPr>
      <t>储备液放置结束时间：</t>
    </r>
  </si>
  <si>
    <r>
      <rPr>
        <sz val="10.5"/>
        <color theme="1"/>
        <rFont val="宋体"/>
        <family val="3"/>
        <charset val="134"/>
      </rPr>
      <t>放置时间：</t>
    </r>
  </si>
  <si>
    <r>
      <rPr>
        <sz val="10.5"/>
        <color theme="1"/>
        <rFont val="宋体"/>
        <family val="3"/>
        <charset val="134"/>
      </rPr>
      <t>储存条件：室温白光</t>
    </r>
    <r>
      <rPr>
        <sz val="10.5"/>
        <color theme="1"/>
        <rFont val="Times New Roman"/>
        <family val="1"/>
      </rPr>
      <t>22</t>
    </r>
    <r>
      <rPr>
        <sz val="10.5"/>
        <color theme="1"/>
        <rFont val="宋体"/>
        <family val="3"/>
        <charset val="134"/>
      </rPr>
      <t>小时</t>
    </r>
    <phoneticPr fontId="12" type="noConversion"/>
  </si>
  <si>
    <t>理论浓度（单位）</t>
  </si>
  <si>
    <t>mg/mL</t>
    <phoneticPr fontId="4" type="noConversion"/>
  </si>
  <si>
    <r>
      <rPr>
        <sz val="10.5"/>
        <color theme="1"/>
        <rFont val="宋体"/>
        <family val="3"/>
        <charset val="134"/>
      </rPr>
      <t>检测峰面积比</t>
    </r>
  </si>
  <si>
    <r>
      <rPr>
        <sz val="10.5"/>
        <color theme="1"/>
        <rFont val="宋体"/>
        <family val="3"/>
        <charset val="134"/>
      </rPr>
      <t>参比样品</t>
    </r>
    <phoneticPr fontId="4" type="noConversion"/>
  </si>
  <si>
    <r>
      <rPr>
        <sz val="10.5"/>
        <color theme="1"/>
        <rFont val="宋体"/>
        <family val="3"/>
        <charset val="134"/>
      </rPr>
      <t>稳定性考察样品</t>
    </r>
  </si>
  <si>
    <t>差异 （%）</t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</si>
  <si>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15</t>
    </r>
    <r>
      <rPr>
        <sz val="10.5"/>
        <color theme="1"/>
        <rFont val="宋体"/>
        <family val="3"/>
        <charset val="134"/>
      </rPr>
      <t>：工作液短期稳定性（</t>
    </r>
    <r>
      <rPr>
        <sz val="10.5"/>
        <color theme="1"/>
        <rFont val="Times New Roman"/>
        <family val="1"/>
      </rPr>
      <t>ULOQ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LLOQ</t>
    </r>
    <r>
      <rPr>
        <sz val="10.5"/>
        <color theme="1"/>
        <rFont val="宋体"/>
        <family val="3"/>
        <charset val="134"/>
      </rPr>
      <t>工作液稳定性）</t>
    </r>
    <phoneticPr fontId="12" type="noConversion"/>
  </si>
  <si>
    <r>
      <rPr>
        <sz val="10.5"/>
        <color theme="1"/>
        <rFont val="宋体"/>
        <family val="3"/>
        <charset val="134"/>
      </rPr>
      <t>工作液开始放置时间：</t>
    </r>
  </si>
  <si>
    <r>
      <rPr>
        <sz val="10.5"/>
        <color theme="1"/>
        <rFont val="宋体"/>
        <family val="3"/>
        <charset val="134"/>
      </rPr>
      <t>工作液放置结束时间：</t>
    </r>
  </si>
  <si>
    <t>ULOQ</t>
    <phoneticPr fontId="12" type="noConversion"/>
  </si>
  <si>
    <t>注释*：工作液来自项目NS25318BV01。</t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</si>
  <si>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16</t>
    </r>
    <r>
      <rPr>
        <sz val="10.5"/>
        <color theme="1"/>
        <rFont val="宋体"/>
        <family val="3"/>
        <charset val="134"/>
      </rPr>
      <t>：储备液长期稳定性</t>
    </r>
    <phoneticPr fontId="12" type="noConversion"/>
  </si>
  <si>
    <r>
      <rPr>
        <sz val="10.5"/>
        <color theme="1"/>
        <rFont val="宋体"/>
        <family val="3"/>
        <charset val="134"/>
      </rPr>
      <t>长期稳定性样品配置日期：</t>
    </r>
  </si>
  <si>
    <r>
      <rPr>
        <sz val="10.5"/>
        <color theme="1"/>
        <rFont val="宋体"/>
        <family val="3"/>
        <charset val="134"/>
      </rPr>
      <t>长期稳定性样品处理日期：</t>
    </r>
  </si>
  <si>
    <t>长期稳定性样品放置时间（天）：</t>
  </si>
  <si>
    <r>
      <rPr>
        <sz val="10.5"/>
        <color theme="1"/>
        <rFont val="宋体"/>
        <family val="3"/>
        <charset val="134"/>
      </rPr>
      <t>储存条件：</t>
    </r>
    <r>
      <rPr>
        <sz val="10.5"/>
        <color theme="1"/>
        <rFont val="Times New Roman"/>
        <family val="3"/>
      </rPr>
      <t>-70~-90 °C</t>
    </r>
    <r>
      <rPr>
        <sz val="10.5"/>
        <color theme="1"/>
        <rFont val="宋体"/>
        <family val="3"/>
        <charset val="134"/>
      </rPr>
      <t>下</t>
    </r>
    <r>
      <rPr>
        <sz val="10.5"/>
        <color theme="1"/>
        <rFont val="Times New Roman"/>
        <family val="3"/>
      </rPr>
      <t>88</t>
    </r>
    <r>
      <rPr>
        <sz val="10.5"/>
        <color theme="1"/>
        <rFont val="宋体"/>
        <family val="3"/>
        <charset val="134"/>
      </rPr>
      <t>天</t>
    </r>
    <phoneticPr fontId="12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</si>
  <si>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17</t>
    </r>
    <r>
      <rPr>
        <sz val="10.5"/>
        <color theme="1"/>
        <rFont val="宋体"/>
        <family val="3"/>
        <charset val="134"/>
      </rPr>
      <t>：工作液长期稳定性（</t>
    </r>
    <r>
      <rPr>
        <sz val="10.5"/>
        <color theme="1"/>
        <rFont val="Times New Roman"/>
        <family val="1"/>
      </rPr>
      <t>ULOQ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LLOQ</t>
    </r>
    <r>
      <rPr>
        <sz val="10.5"/>
        <color theme="1"/>
        <rFont val="宋体"/>
        <family val="3"/>
        <charset val="134"/>
      </rPr>
      <t>工作液稳定性）</t>
    </r>
    <phoneticPr fontId="12" type="noConversion"/>
  </si>
  <si>
    <r>
      <rPr>
        <sz val="10.5"/>
        <color theme="1"/>
        <rFont val="宋体"/>
        <family val="3"/>
        <charset val="134"/>
      </rPr>
      <t>储存条件：</t>
    </r>
    <r>
      <rPr>
        <sz val="10.5"/>
        <color theme="1"/>
        <rFont val="Times New Roman"/>
        <family val="1"/>
      </rPr>
      <t>-70~-90 °C</t>
    </r>
    <r>
      <rPr>
        <sz val="10.5"/>
        <color theme="1"/>
        <rFont val="宋体"/>
        <family val="3"/>
        <charset val="134"/>
      </rPr>
      <t>下</t>
    </r>
    <r>
      <rPr>
        <sz val="10.5"/>
        <color theme="1"/>
        <rFont val="Times New Roman"/>
        <family val="1"/>
      </rPr>
      <t>88</t>
    </r>
    <r>
      <rPr>
        <sz val="10.5"/>
        <color theme="1"/>
        <rFont val="宋体"/>
        <family val="3"/>
        <charset val="134"/>
      </rPr>
      <t>天</t>
    </r>
    <phoneticPr fontId="12" type="noConversion"/>
  </si>
  <si>
    <r>
      <rPr>
        <sz val="10.5"/>
        <color theme="1"/>
        <rFont val="宋体"/>
        <family val="3"/>
        <charset val="134"/>
      </rPr>
      <t>储存条件：</t>
    </r>
    <r>
      <rPr>
        <sz val="10.5"/>
        <color theme="1"/>
        <rFont val="Times New Roman"/>
        <family val="1"/>
      </rPr>
      <t>-70~-90 °C</t>
    </r>
    <r>
      <rPr>
        <sz val="10.5"/>
        <color theme="1"/>
        <rFont val="宋体"/>
        <family val="3"/>
        <charset val="134"/>
      </rPr>
      <t>下</t>
    </r>
    <r>
      <rPr>
        <sz val="10.5"/>
        <color theme="1"/>
        <rFont val="Times New Roman"/>
        <family val="1"/>
      </rPr>
      <t>88</t>
    </r>
    <r>
      <rPr>
        <sz val="10.5"/>
        <color theme="1"/>
        <rFont val="宋体"/>
        <family val="1"/>
        <charset val="134"/>
      </rPr>
      <t>天</t>
    </r>
    <phoneticPr fontId="12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</si>
  <si>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21</t>
    </r>
    <r>
      <rPr>
        <sz val="10.5"/>
        <color theme="1"/>
        <rFont val="宋体"/>
        <family val="3"/>
        <charset val="134"/>
      </rPr>
      <t>：生物基质中待测物的长期稳定性</t>
    </r>
    <phoneticPr fontId="12" type="noConversion"/>
  </si>
  <si>
    <r>
      <rPr>
        <sz val="10.5"/>
        <color theme="1"/>
        <rFont val="宋体"/>
        <family val="3"/>
        <charset val="134"/>
      </rPr>
      <t>试验条件：</t>
    </r>
    <r>
      <rPr>
        <sz val="10.5"/>
        <color theme="1"/>
        <rFont val="Times New Roman"/>
        <family val="1"/>
      </rPr>
      <t>-70~-90°C</t>
    </r>
    <r>
      <rPr>
        <sz val="10.5"/>
        <color theme="1"/>
        <rFont val="宋体"/>
        <family val="3"/>
        <charset val="134"/>
      </rPr>
      <t>条件下</t>
    </r>
    <r>
      <rPr>
        <sz val="10.5"/>
        <color theme="1"/>
        <rFont val="Times New Roman"/>
        <family val="1"/>
      </rPr>
      <t>95</t>
    </r>
    <r>
      <rPr>
        <sz val="10.5"/>
        <color theme="1"/>
        <rFont val="宋体"/>
        <family val="3"/>
        <charset val="134"/>
      </rPr>
      <t>天</t>
    </r>
    <phoneticPr fontId="12" type="noConversion"/>
  </si>
  <si>
    <t>LQC</t>
    <phoneticPr fontId="12" type="noConversion"/>
  </si>
  <si>
    <r>
      <rPr>
        <sz val="10.5"/>
        <color theme="1"/>
        <rFont val="宋体"/>
        <family val="3"/>
        <charset val="134"/>
      </rPr>
      <t>准确度</t>
    </r>
    <r>
      <rPr>
        <sz val="10.5"/>
        <color theme="1"/>
        <rFont val="Times New Roman"/>
        <family val="1"/>
      </rPr>
      <t>%</t>
    </r>
  </si>
  <si>
    <r>
      <t>5.1.1.</t>
    </r>
    <r>
      <rPr>
        <sz val="10.5"/>
        <color theme="1"/>
        <rFont val="宋体"/>
        <family val="3"/>
        <charset val="134"/>
      </rPr>
      <t>标准品</t>
    </r>
    <phoneticPr fontId="12" type="noConversion"/>
  </si>
  <si>
    <r>
      <rPr>
        <sz val="10.5"/>
        <color theme="1"/>
        <rFont val="宋体"/>
        <family val="3"/>
        <charset val="134"/>
      </rPr>
      <t>化合物名称</t>
    </r>
    <r>
      <rPr>
        <sz val="10.5"/>
        <color theme="1"/>
        <rFont val="Times New Roman"/>
        <family val="1"/>
      </rPr>
      <t> </t>
    </r>
  </si>
  <si>
    <r>
      <rPr>
        <sz val="10.5"/>
        <color theme="1"/>
        <rFont val="宋体"/>
        <family val="1"/>
        <charset val="134"/>
      </rPr>
      <t>阿巴帕肽（</t>
    </r>
    <r>
      <rPr>
        <sz val="10.5"/>
        <color theme="1"/>
        <rFont val="Times New Roman"/>
        <family val="1"/>
      </rPr>
      <t>Abaloparatide</t>
    </r>
    <r>
      <rPr>
        <sz val="10.5"/>
        <color theme="1"/>
        <rFont val="宋体"/>
        <family val="1"/>
        <charset val="134"/>
      </rPr>
      <t>）</t>
    </r>
    <phoneticPr fontId="12" type="noConversion"/>
  </si>
  <si>
    <r>
      <rPr>
        <sz val="10.5"/>
        <color theme="1"/>
        <rFont val="宋体"/>
        <family val="3"/>
        <charset val="134"/>
      </rPr>
      <t>化合物代码</t>
    </r>
  </si>
  <si>
    <r>
      <rPr>
        <sz val="10.5"/>
        <color theme="1"/>
        <rFont val="宋体"/>
        <family val="3"/>
        <charset val="134"/>
      </rPr>
      <t>标准品登记号</t>
    </r>
  </si>
  <si>
    <t>KN-RS-25-0358</t>
    <phoneticPr fontId="12" type="noConversion"/>
  </si>
  <si>
    <r>
      <rPr>
        <sz val="10.5"/>
        <color theme="1"/>
        <rFont val="宋体"/>
        <family val="3"/>
        <charset val="134"/>
      </rPr>
      <t>批号</t>
    </r>
  </si>
  <si>
    <t>F1423M01s</t>
  </si>
  <si>
    <t>湿含量</t>
    <phoneticPr fontId="12" type="noConversion"/>
  </si>
  <si>
    <r>
      <rPr>
        <sz val="10.5"/>
        <color theme="1"/>
        <rFont val="宋体"/>
        <family val="3"/>
        <charset val="134"/>
      </rPr>
      <t>保存条件</t>
    </r>
    <phoneticPr fontId="4" type="noConversion"/>
  </si>
  <si>
    <t>避光，密封，-25 ~ -15ºC保存</t>
  </si>
  <si>
    <t>有效期至</t>
    <phoneticPr fontId="4" type="noConversion"/>
  </si>
  <si>
    <r>
      <rPr>
        <sz val="10.5"/>
        <color theme="1"/>
        <rFont val="宋体"/>
        <family val="3"/>
        <charset val="134"/>
      </rPr>
      <t>来源</t>
    </r>
  </si>
  <si>
    <t>齐鲁制药有限公司</t>
  </si>
  <si>
    <r>
      <t>5.1.2.</t>
    </r>
    <r>
      <rPr>
        <sz val="10.5"/>
        <color theme="1"/>
        <rFont val="宋体"/>
        <family val="2"/>
      </rPr>
      <t>内标</t>
    </r>
    <phoneticPr fontId="12" type="noConversion"/>
  </si>
  <si>
    <t>KN-RS-25-0359</t>
    <phoneticPr fontId="12" type="noConversion"/>
  </si>
  <si>
    <t>EW47253-1-P1</t>
  </si>
  <si>
    <t>纯度</t>
    <phoneticPr fontId="12" type="noConversion"/>
  </si>
  <si>
    <t>96.01%*</t>
    <phoneticPr fontId="12" type="noConversion"/>
  </si>
  <si>
    <r>
      <t>-25 ~ -15ºC</t>
    </r>
    <r>
      <rPr>
        <sz val="10.5"/>
        <color theme="1"/>
        <rFont val="宋体"/>
        <family val="3"/>
        <charset val="134"/>
      </rPr>
      <t>，避光，干燥</t>
    </r>
    <phoneticPr fontId="12" type="noConversion"/>
  </si>
  <si>
    <t>武汉药明康德新药开发有限公司</t>
    <phoneticPr fontId="12" type="noConversion"/>
  </si>
  <si>
    <r>
      <t>注释</t>
    </r>
    <r>
      <rPr>
        <i/>
        <sz val="12"/>
        <color theme="1"/>
        <rFont val="Times New Roman"/>
        <family val="1"/>
      </rPr>
      <t>*</t>
    </r>
    <r>
      <rPr>
        <i/>
        <sz val="12"/>
        <color theme="1"/>
        <rFont val="宋体"/>
        <family val="3"/>
        <charset val="134"/>
      </rPr>
      <t>：主成分含量</t>
    </r>
    <r>
      <rPr>
        <i/>
        <sz val="12"/>
        <color theme="1"/>
        <rFont val="Times New Roman"/>
        <family val="1"/>
      </rPr>
      <t xml:space="preserve"> = HPLC</t>
    </r>
    <r>
      <rPr>
        <i/>
        <sz val="12"/>
        <color theme="1"/>
        <rFont val="宋体"/>
        <family val="3"/>
        <charset val="134"/>
      </rPr>
      <t>纯度</t>
    </r>
    <r>
      <rPr>
        <i/>
        <sz val="12"/>
        <color theme="1"/>
        <rFont val="Times New Roman"/>
        <family val="1"/>
      </rPr>
      <t>% ×</t>
    </r>
    <r>
      <rPr>
        <i/>
        <sz val="12"/>
        <color theme="1"/>
        <rFont val="宋体"/>
        <family val="3"/>
        <charset val="134"/>
      </rPr>
      <t>盐系数</t>
    </r>
    <r>
      <rPr>
        <i/>
        <sz val="12"/>
        <color theme="1"/>
        <rFont val="Times New Roman"/>
        <family val="1"/>
      </rPr>
      <t xml:space="preserve"> = 96.01%×3981.5/4095.5=93.3%</t>
    </r>
  </si>
  <si>
    <r>
      <t>5.1.3.</t>
    </r>
    <r>
      <rPr>
        <sz val="11"/>
        <color theme="1"/>
        <rFont val="宋体"/>
        <family val="2"/>
      </rPr>
      <t>试剂</t>
    </r>
    <phoneticPr fontId="12" type="noConversion"/>
  </si>
  <si>
    <r>
      <rPr>
        <b/>
        <sz val="10.5"/>
        <color theme="1"/>
        <rFont val="DengXian"/>
        <family val="2"/>
      </rPr>
      <t>试剂</t>
    </r>
  </si>
  <si>
    <r>
      <rPr>
        <b/>
        <sz val="10.5"/>
        <color theme="1"/>
        <rFont val="DengXian"/>
        <family val="2"/>
      </rPr>
      <t>供应商</t>
    </r>
  </si>
  <si>
    <t>级别</t>
  </si>
  <si>
    <r>
      <rPr>
        <sz val="10.5"/>
        <color theme="1"/>
        <rFont val="DengXian"/>
        <family val="2"/>
      </rPr>
      <t>乙腈</t>
    </r>
  </si>
  <si>
    <t>上海安谱实验科技股份有限公司</t>
  </si>
  <si>
    <t>液相色谱纯</t>
  </si>
  <si>
    <r>
      <rPr>
        <sz val="10.5"/>
        <color theme="1"/>
        <rFont val="DengXian"/>
        <family val="2"/>
      </rPr>
      <t>甲醇</t>
    </r>
  </si>
  <si>
    <r>
      <rPr>
        <sz val="10.5"/>
        <color theme="1"/>
        <rFont val="DengXian"/>
        <family val="2"/>
      </rPr>
      <t>异丙醇</t>
    </r>
    <r>
      <rPr>
        <sz val="10.5"/>
        <color theme="1"/>
        <rFont val="Times New Roman"/>
        <family val="1"/>
      </rPr>
      <t xml:space="preserve"> </t>
    </r>
  </si>
  <si>
    <t>二甲基亚砜</t>
    <phoneticPr fontId="12" type="noConversion"/>
  </si>
  <si>
    <r>
      <rPr>
        <sz val="10.5"/>
        <color theme="1"/>
        <rFont val="DengXian"/>
        <family val="2"/>
      </rPr>
      <t>甲酸</t>
    </r>
    <r>
      <rPr>
        <sz val="10.5"/>
        <color theme="1"/>
        <rFont val="Times New Roman"/>
        <family val="1"/>
      </rPr>
      <t xml:space="preserve"> </t>
    </r>
  </si>
  <si>
    <t>氨水</t>
    <phoneticPr fontId="12" type="noConversion"/>
  </si>
  <si>
    <t>上海阿拉丁生化科技股份有限公司</t>
    <phoneticPr fontId="12" type="noConversion"/>
  </si>
  <si>
    <r>
      <t xml:space="preserve">2.6 </t>
    </r>
    <r>
      <rPr>
        <sz val="11"/>
        <color theme="1"/>
        <rFont val="宋体"/>
        <family val="3"/>
        <charset val="134"/>
      </rPr>
      <t>空白基质</t>
    </r>
    <phoneticPr fontId="12" type="noConversion"/>
  </si>
  <si>
    <t>基质</t>
  </si>
  <si>
    <t>供应商</t>
  </si>
  <si>
    <t>益诺思登记号</t>
  </si>
  <si>
    <t>接收日期</t>
  </si>
  <si>
    <r>
      <t>SD</t>
    </r>
    <r>
      <rPr>
        <sz val="10.5"/>
        <color theme="1"/>
        <rFont val="宋体"/>
        <family val="3"/>
        <charset val="134"/>
      </rPr>
      <t>大鼠</t>
    </r>
    <r>
      <rPr>
        <sz val="10.5"/>
        <color theme="1"/>
        <rFont val="Times New Roman"/>
        <family val="1"/>
      </rPr>
      <t>EDTA-K</t>
    </r>
    <r>
      <rPr>
        <vertAlign val="subscript"/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血浆</t>
    </r>
    <phoneticPr fontId="12" type="noConversion"/>
  </si>
  <si>
    <t>斯贝福（北京）生物技术有限公司</t>
    <phoneticPr fontId="12" type="noConversion"/>
  </si>
  <si>
    <t>KN-BM-25-699</t>
    <phoneticPr fontId="12" type="noConversion"/>
  </si>
  <si>
    <t>KN-BM-25-533</t>
    <phoneticPr fontId="12" type="noConversion"/>
  </si>
  <si>
    <r>
      <t>SD</t>
    </r>
    <r>
      <rPr>
        <sz val="10.5"/>
        <color theme="1"/>
        <rFont val="宋体"/>
        <family val="3"/>
        <charset val="134"/>
      </rPr>
      <t>大鼠</t>
    </r>
    <r>
      <rPr>
        <sz val="10.5"/>
        <color theme="1"/>
        <rFont val="Times New Roman"/>
        <family val="1"/>
      </rPr>
      <t>EDTA-K</t>
    </r>
    <r>
      <rPr>
        <vertAlign val="subscript"/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全血</t>
    </r>
    <phoneticPr fontId="12" type="noConversion"/>
  </si>
  <si>
    <t>上海益诺思生物技术股份有限公司</t>
    <phoneticPr fontId="12" type="noConversion"/>
  </si>
  <si>
    <t>KN-BM-25-541</t>
    <phoneticPr fontId="12" type="noConversion"/>
  </si>
  <si>
    <t>阿巴帕肽</t>
  </si>
  <si>
    <t>阿巴帕肽：0.100 ng/mL</t>
  </si>
  <si>
    <t>阿巴帕肽：0.300 ng/mL；2.200 ng/mL；15.000 ng/mL；37.500 ng/mL</t>
  </si>
  <si>
    <t>阿巴帕肽：待测物保留时间CV≤ 0.4%；内标保留时间CV≤ 0.4%；面积比CV≤8.0%</t>
  </si>
  <si>
    <t>阿巴帕肽：0.2~11.2</t>
  </si>
  <si>
    <t>阿巴帕肽：8.4</t>
  </si>
  <si>
    <t>阿巴帕肽：-2.0~15.0</t>
  </si>
  <si>
    <t>阿巴帕肽：8.7</t>
  </si>
  <si>
    <t>阿巴帕肽：2.8~6.8</t>
  </si>
  <si>
    <t>阿巴帕肽：6.1</t>
  </si>
  <si>
    <t>阿巴帕肽：4.0</t>
  </si>
  <si>
    <t>阿巴帕肽：9.6</t>
  </si>
  <si>
    <t>阿巴帕肽浓度为0.300 ng/mL时，平均回收率为65.1%，CV为4.5%；                             
阿巴帕肽浓度为15.000 ng/mL时，平均回收率为65.5%，CV为4.7%；
阿巴帕肽浓度为37.500 ng/mL时，平均回收率为62.8%，CV为6.8%；总体CV为2.3%。</t>
  </si>
  <si>
    <t>阿巴帕肽：500.000 ng/mL稀释20倍；</t>
  </si>
  <si>
    <t>阿巴帕肽：冰水浴白光下至少稳定16小时</t>
  </si>
  <si>
    <t>阿巴帕肽：至少4次-70~-90 °C/冰水浴白光冷冻解冻稳定</t>
  </si>
  <si>
    <t>阿巴帕肽：在自动进样器（5 °C）条件下可稳定保存至少78小时</t>
  </si>
  <si>
    <t>阿巴帕肽：-70 ~ -90 °C下放置可稳定至少95天</t>
  </si>
  <si>
    <t>阿巴帕肽：全血样品在冰水浴白光放置至少稳定1.5小时</t>
  </si>
  <si>
    <t>阿巴帕肽：2%溶血符合接受标准</t>
  </si>
  <si>
    <t>符合接受标准的定量下限阿巴帕肽峰面积（均）值</t>
  </si>
  <si>
    <t>待测物阿巴帕肽对内标的干扰</t>
  </si>
  <si>
    <t>内标对待测物阿巴帕肽的干扰</t>
  </si>
  <si>
    <t>待测物阿巴帕肽保留时间处的峰面积</t>
  </si>
  <si>
    <t>符合接受标准的定量下限阿巴帕肽峰面积均值</t>
  </si>
  <si>
    <t>干扰占阿巴帕肽
的百分比％</t>
  </si>
  <si>
    <r>
      <t>NS25318-BA-001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LC-MS/MS</t>
    </r>
    <r>
      <rPr>
        <sz val="10.5"/>
        <color theme="1"/>
        <rFont val="宋体"/>
        <family val="3"/>
        <charset val="134"/>
      </rPr>
      <t>方法测定</t>
    </r>
    <r>
      <rPr>
        <sz val="10.5"/>
        <color theme="1"/>
        <rFont val="Times New Roman"/>
        <family val="1"/>
      </rPr>
      <t>SD</t>
    </r>
    <r>
      <rPr>
        <sz val="10.5"/>
        <color theme="1"/>
        <rFont val="宋体"/>
        <family val="3"/>
        <charset val="134"/>
      </rPr>
      <t>大鼠</t>
    </r>
    <r>
      <rPr>
        <sz val="10.5"/>
        <color theme="1"/>
        <rFont val="Times New Roman"/>
        <family val="1"/>
      </rPr>
      <t>EDTA-K2</t>
    </r>
    <r>
      <rPr>
        <sz val="10.5"/>
        <color theme="1"/>
        <rFont val="宋体"/>
        <family val="3"/>
        <charset val="134"/>
      </rPr>
      <t>血浆样品中阿巴帕肽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Times New Roman"/>
        <family val="3"/>
      </rPr>
      <t>RENS25318</t>
    </r>
    <r>
      <rPr>
        <sz val="10.5"/>
        <color theme="1"/>
        <rFont val="Times New Roman"/>
        <family val="1"/>
      </rPr>
      <t>)</t>
    </r>
    <r>
      <rPr>
        <sz val="10.5"/>
        <color theme="1"/>
        <rFont val="宋体"/>
        <family val="3"/>
        <charset val="134"/>
      </rPr>
      <t>的浓度</t>
    </r>
    <phoneticPr fontId="4" type="noConversion"/>
  </si>
  <si>
    <t>Isotope Abaloparatide</t>
  </si>
  <si>
    <t>阿巴帕肽：阿巴帕肽峰面积与内标Isotope Abaloparatide峰面积比</t>
  </si>
  <si>
    <t>空白血浆中内源性组份对阿巴帕肽和内标Isotope Abaloparatide 的干扰符合接受标准</t>
  </si>
  <si>
    <t>阿巴帕肽：室温白光条件下放置可稳定至少22小时；
Isotope Abaloparatide：同位素内标，仅考察适用性</t>
  </si>
  <si>
    <t>阿巴帕肽：-70 ~ -90 °C下放置可稳定至少88天；
Isotope Abaloparatide：同位素内标，仅考察适用性</t>
  </si>
  <si>
    <t>Isotope Abaloparatide三氟乙酸盐</t>
  </si>
  <si>
    <t>符合接受标准的标曲样品定量下限的内标Isotope Abaloparatide的平均峰面积值</t>
  </si>
  <si>
    <t>内标Isotope Abaloparatide保留时间处的峰面积</t>
  </si>
  <si>
    <t>干扰占Isotope Abaloparatide
的百分比％</t>
  </si>
  <si>
    <t>内标Isotope Abaloparatide 保留时间处的峰面积</t>
  </si>
  <si>
    <t>Shimadzu</t>
    <phoneticPr fontId="4" type="noConversion"/>
  </si>
  <si>
    <r>
      <rPr>
        <sz val="10.5"/>
        <color theme="1"/>
        <rFont val="宋体"/>
        <family val="3"/>
        <charset val="134"/>
      </rPr>
      <t>阿巴帕肽：</t>
    </r>
    <r>
      <rPr>
        <sz val="10.5"/>
        <color theme="1"/>
        <rFont val="Times New Roman"/>
        <family val="1"/>
      </rPr>
      <t>0.100~50.000 ng/mL</t>
    </r>
    <phoneticPr fontId="4" type="noConversion"/>
  </si>
  <si>
    <r>
      <t>Isotope Abaloparatide</t>
    </r>
    <r>
      <rPr>
        <sz val="12"/>
        <color theme="1"/>
        <rFont val="宋体"/>
        <family val="3"/>
        <charset val="134"/>
      </rPr>
      <t>（阿巴帕肽同位素内标）</t>
    </r>
    <phoneticPr fontId="12" type="noConversion"/>
  </si>
  <si>
    <t>阿巴帕肽：在自动进样器（5°C）中放置65小时后再进样结果可重现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</si>
</sst>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 &quot;¥&quot;* #,##0.00_ ;_ &quot;¥&quot;* \-#,##0.00_ ;_ &quot;¥&quot;* &quot;-&quot;??_ ;_ @_ "/>
    <numFmt numFmtId="176" formatCode="0.0"/>
    <numFmt numFmtId="177" formatCode="0.0_ "/>
    <numFmt numFmtId="178" formatCode="0.000"/>
    <numFmt numFmtId="179" formatCode="0_ "/>
    <numFmt numFmtId="180" formatCode="yyyy/mm/dd"/>
    <numFmt numFmtId="181" formatCode="0.000_ "/>
    <numFmt numFmtId="182" formatCode="\'\-0"/>
    <numFmt numFmtId="183" formatCode="0.0000_ "/>
    <numFmt numFmtId="184" formatCode="0;_愀"/>
    <numFmt numFmtId="185" formatCode="0.0;_愀"/>
    <numFmt numFmtId="186" formatCode="0.000000_ "/>
    <numFmt numFmtId="187" formatCode="0.000000"/>
    <numFmt numFmtId="188" formatCode="0.00000"/>
    <numFmt numFmtId="189" formatCode="0.0000"/>
    <numFmt numFmtId="190" formatCode="0_);[Red]\(0\)"/>
    <numFmt numFmtId="191" formatCode="yyyy/mm/dd\ hh:mm"/>
    <numFmt numFmtId="192" formatCode="0.00;[Red]0.00"/>
    <numFmt numFmtId="193" formatCode="000000"/>
    <numFmt numFmtId="194" formatCode="yyyy/m/d\ h:mm;@"/>
    <numFmt numFmtId="195" formatCode="#,##0.000_ "/>
    <numFmt numFmtId="196" formatCode="0;[Red]0"/>
    <numFmt numFmtId="197" formatCode="0.0%"/>
  </numFmts>
  <fonts count="72">
    <font>
      <sz val="11"/>
      <color theme="1"/>
      <name val="DengXian"/>
      <family val="2"/>
      <scheme val="minor"/>
    </font>
    <font>
      <sz val="11"/>
      <color theme="1"/>
      <name val="DengXian"/>
      <family val="2"/>
      <charset val="134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DengXian"/>
      <family val="2"/>
    </font>
    <font>
      <sz val="11"/>
      <color rgb="FF9C0006"/>
      <name val="Calibri"/>
      <family val="2"/>
    </font>
    <font>
      <sz val="12"/>
      <color rgb="FF9C0006"/>
      <name val="DengXian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0.5"/>
      <name val="Times New Roman"/>
      <family val="1"/>
    </font>
    <font>
      <sz val="12"/>
      <name val="宋体"/>
      <family val="3"/>
      <charset val="134"/>
    </font>
    <font>
      <sz val="9"/>
      <name val="DengXian"/>
      <family val="3"/>
      <charset val="134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1"/>
      <color rgb="FF9C0006"/>
      <name val="DengXian"/>
      <family val="2"/>
      <scheme val="minor"/>
    </font>
    <font>
      <vertAlign val="superscript"/>
      <sz val="10.5"/>
      <color theme="1"/>
      <name val="Times New Roman"/>
      <family val="1"/>
    </font>
    <font>
      <sz val="10.5"/>
      <color theme="1"/>
      <name val="宋体"/>
      <family val="1"/>
      <charset val="134"/>
    </font>
    <font>
      <sz val="10.5"/>
      <color theme="1"/>
      <name val="DengXian"/>
      <family val="2"/>
    </font>
    <font>
      <sz val="12"/>
      <color theme="1"/>
      <name val="宋体"/>
      <family val="3"/>
      <charset val="134"/>
    </font>
    <font>
      <sz val="11"/>
      <color rgb="FF9C0006"/>
      <name val="DengXian"/>
      <family val="3"/>
      <charset val="134"/>
      <scheme val="minor"/>
    </font>
    <font>
      <sz val="11"/>
      <color rgb="FF006100"/>
      <name val="DengXian"/>
      <family val="3"/>
      <charset val="134"/>
      <scheme val="minor"/>
    </font>
    <font>
      <sz val="11"/>
      <color theme="1"/>
      <name val="DengXian"/>
      <family val="3"/>
      <charset val="134"/>
      <scheme val="minor"/>
    </font>
    <font>
      <sz val="12"/>
      <color theme="1"/>
      <name val="Times New Roman"/>
      <family val="1"/>
    </font>
    <font>
      <sz val="10.5"/>
      <color theme="1"/>
      <name val="Times New Roman"/>
      <family val="3"/>
      <charset val="134"/>
    </font>
    <font>
      <vertAlign val="superscript"/>
      <sz val="10.5"/>
      <color theme="1"/>
      <name val="宋体"/>
      <family val="3"/>
      <charset val="134"/>
    </font>
    <font>
      <sz val="11"/>
      <color rgb="FF9C0006"/>
      <name val="DengXian"/>
      <family val="2"/>
      <charset val="134"/>
      <scheme val="minor"/>
    </font>
    <font>
      <sz val="10.5"/>
      <color theme="1"/>
      <name val="Times New Roman"/>
      <family val="3"/>
    </font>
    <font>
      <sz val="10.5"/>
      <color theme="1"/>
      <name val="微软雅黑"/>
      <family val="3"/>
      <charset val="134"/>
    </font>
    <font>
      <i/>
      <sz val="12"/>
      <color theme="1"/>
      <name val="DengXian"/>
      <family val="3"/>
      <charset val="134"/>
      <scheme val="minor"/>
    </font>
    <font>
      <sz val="10"/>
      <color theme="1"/>
      <name val="Times New Roman"/>
      <family val="1"/>
    </font>
    <font>
      <vertAlign val="subscript"/>
      <sz val="10.5"/>
      <color theme="1"/>
      <name val="宋体"/>
      <family val="3"/>
      <charset val="134"/>
    </font>
    <font>
      <vertAlign val="subscript"/>
      <sz val="10.5"/>
      <color theme="1"/>
      <name val="Times New Roman"/>
      <family val="1"/>
    </font>
    <font>
      <sz val="10.5"/>
      <color theme="1"/>
      <name val="DengXian"/>
      <charset val="134"/>
      <scheme val="minor"/>
    </font>
    <font>
      <sz val="10.5"/>
      <color theme="1"/>
      <name val="DengXian"/>
      <family val="1"/>
      <charset val="134"/>
    </font>
    <font>
      <sz val="10.5"/>
      <name val="宋体"/>
      <family val="3"/>
      <charset val="134"/>
    </font>
    <font>
      <sz val="10.5"/>
      <name val="Times New Roman"/>
      <family val="3"/>
      <charset val="134"/>
    </font>
    <font>
      <sz val="11"/>
      <name val="Times New Roman"/>
      <family val="1"/>
    </font>
    <font>
      <sz val="10.5"/>
      <color rgb="FFFF0000"/>
      <name val="Times New Roman"/>
      <family val="1"/>
    </font>
    <font>
      <sz val="10.5"/>
      <name val="Times New Roman"/>
      <family val="3"/>
    </font>
    <font>
      <sz val="10.5"/>
      <color indexed="8"/>
      <name val="宋体"/>
      <family val="3"/>
      <charset val="134"/>
    </font>
    <font>
      <sz val="10.5"/>
      <color indexed="8"/>
      <name val="Times New Roman"/>
      <family val="1"/>
    </font>
    <font>
      <sz val="11"/>
      <name val="DengXian"/>
      <family val="2"/>
      <scheme val="minor"/>
    </font>
    <font>
      <sz val="10"/>
      <color rgb="FFFF0000"/>
      <name val="Times New Roman"/>
      <family val="1"/>
    </font>
    <font>
      <vertAlign val="subscript"/>
      <sz val="10.5"/>
      <name val="Times New Roman"/>
      <family val="1"/>
    </font>
    <font>
      <sz val="10.5"/>
      <color theme="1"/>
      <name val="Times New Roman"/>
      <family val="1"/>
      <charset val="134"/>
    </font>
    <font>
      <sz val="10.5"/>
      <color theme="1"/>
      <name val="宋体"/>
      <family val="2"/>
    </font>
    <font>
      <i/>
      <sz val="12"/>
      <color theme="1"/>
      <name val="宋体"/>
      <family val="3"/>
      <charset val="134"/>
    </font>
    <font>
      <i/>
      <sz val="12"/>
      <color theme="1"/>
      <name val="Times New Roman"/>
      <family val="1"/>
    </font>
    <font>
      <sz val="11"/>
      <color theme="1"/>
      <name val="宋体"/>
      <family val="2"/>
    </font>
    <font>
      <b/>
      <sz val="10.5"/>
      <color theme="1"/>
      <name val="Times New Roman"/>
      <family val="1"/>
    </font>
    <font>
      <b/>
      <sz val="10.5"/>
      <color theme="1"/>
      <name val="DengXian"/>
      <family val="2"/>
    </font>
    <font>
      <sz val="11"/>
      <color theme="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30">
    <xf numFmtId="0" fontId="0" fillId="0" borderId="0"/>
    <xf numFmtId="0" fontId="5" fillId="2" borderId="0" applyNumberFormat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11" fillId="0" borderId="0"/>
    <xf numFmtId="0" fontId="3" fillId="0" borderId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5" fillId="2" borderId="0" applyNumberFormat="0" applyBorder="0" applyAlignment="0" applyProtection="0"/>
    <xf numFmtId="0" fontId="11" fillId="0" borderId="0"/>
    <xf numFmtId="0" fontId="16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7" fillId="5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6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8" fillId="7" borderId="0" applyNumberFormat="0" applyBorder="0" applyAlignment="0" applyProtection="0"/>
    <xf numFmtId="0" fontId="18" fillId="11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7" borderId="0" applyNumberFormat="0" applyBorder="0" applyAlignment="0" applyProtection="0"/>
    <xf numFmtId="0" fontId="18" fillId="4" borderId="0" applyNumberFormat="0" applyBorder="0" applyAlignment="0" applyProtection="0"/>
    <xf numFmtId="0" fontId="18" fillId="8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9" fillId="2" borderId="0" applyNumberFormat="0" applyBorder="0" applyAlignment="0" applyProtection="0"/>
    <xf numFmtId="0" fontId="20" fillId="30" borderId="14" applyNumberFormat="0" applyAlignment="0" applyProtection="0"/>
    <xf numFmtId="0" fontId="21" fillId="31" borderId="17" applyNumberFormat="0" applyAlignment="0" applyProtection="0"/>
    <xf numFmtId="0" fontId="22" fillId="0" borderId="0" applyNumberFormat="0" applyFill="0" applyBorder="0" applyAlignment="0" applyProtection="0"/>
    <xf numFmtId="0" fontId="23" fillId="3" borderId="0" applyNumberFormat="0" applyBorder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6" fillId="0" borderId="13" applyNumberFormat="0" applyFill="0" applyAlignment="0" applyProtection="0"/>
    <xf numFmtId="0" fontId="26" fillId="0" borderId="0" applyNumberFormat="0" applyFill="0" applyBorder="0" applyAlignment="0" applyProtection="0"/>
    <xf numFmtId="0" fontId="27" fillId="29" borderId="14" applyNumberFormat="0" applyAlignment="0" applyProtection="0"/>
    <xf numFmtId="0" fontId="28" fillId="0" borderId="16" applyNumberFormat="0" applyFill="0" applyAlignment="0" applyProtection="0"/>
    <xf numFmtId="0" fontId="29" fillId="28" borderId="0" applyNumberFormat="0" applyBorder="0" applyAlignment="0" applyProtection="0"/>
    <xf numFmtId="0" fontId="17" fillId="32" borderId="18" applyNumberFormat="0" applyFont="0" applyAlignment="0" applyProtection="0"/>
    <xf numFmtId="0" fontId="30" fillId="30" borderId="15" applyNumberFormat="0" applyAlignment="0" applyProtection="0"/>
    <xf numFmtId="0" fontId="31" fillId="0" borderId="0" applyNumberFormat="0" applyFill="0" applyBorder="0" applyAlignment="0" applyProtection="0"/>
    <xf numFmtId="0" fontId="32" fillId="0" borderId="19" applyNumberFormat="0" applyFill="0" applyAlignment="0" applyProtection="0"/>
    <xf numFmtId="0" fontId="33" fillId="0" borderId="0" applyNumberFormat="0" applyFill="0" applyBorder="0" applyAlignment="0" applyProtection="0"/>
    <xf numFmtId="0" fontId="34" fillId="2" borderId="0" applyNumberFormat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/>
    <xf numFmtId="0" fontId="13" fillId="0" borderId="0"/>
    <xf numFmtId="0" fontId="13" fillId="5" borderId="0" applyNumberFormat="0" applyBorder="0" applyAlignment="0" applyProtection="0"/>
    <xf numFmtId="0" fontId="13" fillId="9" borderId="0" applyNumberFormat="0" applyBorder="0" applyAlignment="0" applyProtection="0"/>
    <xf numFmtId="0" fontId="13" fillId="13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13" fillId="25" borderId="0" applyNumberFormat="0" applyBorder="0" applyAlignment="0" applyProtection="0"/>
    <xf numFmtId="0" fontId="13" fillId="6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4" fillId="7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4" borderId="0" applyNumberFormat="0" applyBorder="0" applyAlignment="0" applyProtection="0"/>
    <xf numFmtId="0" fontId="14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14" fillId="24" borderId="0" applyNumberFormat="0" applyBorder="0" applyAlignment="0" applyProtection="0"/>
    <xf numFmtId="0" fontId="16" fillId="3" borderId="0" applyNumberFormat="0" applyBorder="0" applyAlignment="0" applyProtection="0"/>
    <xf numFmtId="0" fontId="13" fillId="32" borderId="18" applyNumberFormat="0" applyFont="0" applyAlignment="0" applyProtection="0"/>
    <xf numFmtId="9" fontId="11" fillId="0" borderId="0" applyFont="0" applyFill="0" applyBorder="0" applyAlignment="0" applyProtection="0"/>
    <xf numFmtId="0" fontId="39" fillId="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13" fillId="0" borderId="0"/>
    <xf numFmtId="0" fontId="1" fillId="0" borderId="0">
      <alignment vertical="center"/>
    </xf>
    <xf numFmtId="0" fontId="3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19" fillId="2" borderId="0" applyNumberFormat="0" applyBorder="0" applyAlignment="0" applyProtection="0"/>
    <xf numFmtId="0" fontId="45" fillId="2" borderId="0" applyNumberFormat="0" applyBorder="0" applyAlignment="0" applyProtection="0">
      <alignment vertical="center"/>
    </xf>
    <xf numFmtId="0" fontId="1" fillId="0" borderId="0">
      <alignment vertical="center"/>
    </xf>
    <xf numFmtId="44" fontId="13" fillId="0" borderId="0" applyFont="0" applyFill="0" applyBorder="0" applyAlignment="0" applyProtection="0">
      <alignment vertical="center"/>
    </xf>
    <xf numFmtId="0" fontId="13" fillId="0" borderId="0"/>
  </cellStyleXfs>
  <cellXfs count="308">
    <xf numFmtId="0" fontId="0" fillId="0" borderId="0" xfId="0"/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 wrapText="1"/>
    </xf>
    <xf numFmtId="181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0" fontId="8" fillId="0" borderId="1" xfId="0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1" xfId="0" applyFont="1" applyBorder="1" applyAlignment="1">
      <alignment horizontal="center" vertical="center" wrapText="1"/>
    </xf>
    <xf numFmtId="180" fontId="42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42" fillId="0" borderId="0" xfId="0" applyFont="1"/>
    <xf numFmtId="0" fontId="8" fillId="0" borderId="1" xfId="0" applyFont="1" applyBorder="1"/>
    <xf numFmtId="0" fontId="8" fillId="0" borderId="0" xfId="0" applyFont="1" applyAlignment="1">
      <alignment horizontal="left" vertical="center"/>
    </xf>
    <xf numFmtId="0" fontId="8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126" applyFont="1" applyFill="1" applyBorder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8" fillId="0" borderId="1" xfId="125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0" xfId="126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80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77" fontId="8" fillId="0" borderId="0" xfId="0" applyNumberFormat="1" applyFont="1" applyAlignment="1">
      <alignment horizontal="left" vertical="center"/>
    </xf>
    <xf numFmtId="181" fontId="8" fillId="0" borderId="2" xfId="0" applyNumberFormat="1" applyFont="1" applyBorder="1" applyAlignment="1">
      <alignment horizontal="center" vertical="center" wrapText="1"/>
    </xf>
    <xf numFmtId="181" fontId="8" fillId="0" borderId="0" xfId="0" applyNumberFormat="1" applyFont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89" fontId="8" fillId="0" borderId="1" xfId="0" applyNumberFormat="1" applyFont="1" applyBorder="1" applyAlignment="1">
      <alignment horizontal="center" vertical="center"/>
    </xf>
    <xf numFmtId="186" fontId="8" fillId="0" borderId="1" xfId="0" applyNumberFormat="1" applyFont="1" applyBorder="1" applyAlignment="1">
      <alignment horizontal="center" vertical="center"/>
    </xf>
    <xf numFmtId="183" fontId="8" fillId="0" borderId="1" xfId="0" applyNumberFormat="1" applyFont="1" applyBorder="1" applyAlignment="1">
      <alignment horizontal="center" vertical="center"/>
    </xf>
    <xf numFmtId="181" fontId="8" fillId="0" borderId="1" xfId="0" applyNumberFormat="1" applyFont="1" applyBorder="1" applyAlignment="1">
      <alignment horizontal="center" vertical="center"/>
    </xf>
    <xf numFmtId="187" fontId="8" fillId="0" borderId="1" xfId="0" applyNumberFormat="1" applyFont="1" applyBorder="1" applyAlignment="1">
      <alignment horizontal="center" vertical="center"/>
    </xf>
    <xf numFmtId="188" fontId="8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justify"/>
    </xf>
    <xf numFmtId="0" fontId="49" fillId="0" borderId="1" xfId="0" applyFont="1" applyBorder="1" applyAlignment="1">
      <alignment horizontal="center" vertical="center"/>
    </xf>
    <xf numFmtId="14" fontId="8" fillId="0" borderId="0" xfId="0" applyNumberFormat="1" applyFont="1"/>
    <xf numFmtId="0" fontId="8" fillId="0" borderId="6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79" applyFont="1" applyBorder="1" applyAlignment="1">
      <alignment horizontal="justify" vertical="center" wrapText="1"/>
    </xf>
    <xf numFmtId="1" fontId="10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179" fontId="8" fillId="0" borderId="1" xfId="0" applyNumberFormat="1" applyFont="1" applyBorder="1" applyAlignment="1">
      <alignment horizontal="center" vertical="center" wrapText="1"/>
    </xf>
    <xf numFmtId="185" fontId="8" fillId="0" borderId="1" xfId="0" applyNumberFormat="1" applyFont="1" applyBorder="1" applyAlignment="1">
      <alignment horizontal="center" vertical="center" wrapText="1"/>
    </xf>
    <xf numFmtId="0" fontId="36" fillId="0" borderId="0" xfId="0" applyFont="1"/>
    <xf numFmtId="0" fontId="48" fillId="0" borderId="0" xfId="127" applyFont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 wrapText="1"/>
    </xf>
    <xf numFmtId="0" fontId="4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178" fontId="10" fillId="0" borderId="2" xfId="0" applyNumberFormat="1" applyFont="1" applyBorder="1" applyAlignment="1">
      <alignment horizontal="center" vertical="center" wrapText="1"/>
    </xf>
    <xf numFmtId="181" fontId="10" fillId="0" borderId="2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81" fontId="10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8" fillId="0" borderId="1" xfId="0" quotePrefix="1" applyFont="1" applyBorder="1" applyAlignment="1">
      <alignment horizontal="left" vertical="center" wrapText="1"/>
    </xf>
    <xf numFmtId="177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5" fillId="0" borderId="1" xfId="0" applyFont="1" applyBorder="1" applyAlignment="1">
      <alignment horizontal="center" vertical="center" wrapText="1"/>
    </xf>
    <xf numFmtId="49" fontId="56" fillId="0" borderId="1" xfId="0" applyNumberFormat="1" applyFont="1" applyBorder="1" applyAlignment="1">
      <alignment horizontal="center" vertical="center" wrapText="1"/>
    </xf>
    <xf numFmtId="190" fontId="10" fillId="0" borderId="1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184" fontId="10" fillId="0" borderId="0" xfId="0" applyNumberFormat="1" applyFont="1" applyAlignment="1">
      <alignment horizontal="center" vertical="center"/>
    </xf>
    <xf numFmtId="0" fontId="10" fillId="0" borderId="0" xfId="3" applyFont="1"/>
    <xf numFmtId="0" fontId="57" fillId="0" borderId="0" xfId="3" applyFont="1" applyAlignment="1">
      <alignment horizontal="center"/>
    </xf>
    <xf numFmtId="0" fontId="55" fillId="0" borderId="0" xfId="3" applyFont="1"/>
    <xf numFmtId="0" fontId="1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8" fillId="0" borderId="1" xfId="121" applyFont="1" applyFill="1" applyBorder="1" applyAlignment="1">
      <alignment horizontal="center" vertical="center"/>
    </xf>
    <xf numFmtId="184" fontId="10" fillId="0" borderId="0" xfId="0" applyNumberFormat="1" applyFont="1" applyAlignment="1">
      <alignment horizontal="center" vertical="center" wrapText="1"/>
    </xf>
    <xf numFmtId="0" fontId="10" fillId="0" borderId="0" xfId="121" applyFont="1" applyFill="1" applyBorder="1" applyAlignment="1">
      <alignment horizontal="center" vertical="center" wrapText="1"/>
    </xf>
    <xf numFmtId="0" fontId="10" fillId="0" borderId="0" xfId="121" applyFont="1" applyFill="1" applyBorder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3" applyFont="1" applyAlignment="1">
      <alignment horizontal="center"/>
    </xf>
    <xf numFmtId="0" fontId="10" fillId="0" borderId="0" xfId="0" applyFont="1" applyAlignment="1">
      <alignment vertical="center"/>
    </xf>
    <xf numFmtId="178" fontId="8" fillId="0" borderId="2" xfId="0" applyNumberFormat="1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176" fontId="8" fillId="0" borderId="1" xfId="0" applyNumberFormat="1" applyFont="1" applyBorder="1" applyAlignment="1">
      <alignment vertical="center"/>
    </xf>
    <xf numFmtId="181" fontId="8" fillId="0" borderId="0" xfId="0" applyNumberFormat="1" applyFont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1" xfId="129" applyFont="1" applyBorder="1" applyAlignment="1">
      <alignment horizontal="center" vertical="center" wrapText="1"/>
    </xf>
    <xf numFmtId="0" fontId="54" fillId="0" borderId="1" xfId="129" applyFont="1" applyBorder="1" applyAlignment="1">
      <alignment horizontal="center" vertical="center" wrapText="1"/>
    </xf>
    <xf numFmtId="0" fontId="10" fillId="0" borderId="1" xfId="129" applyFont="1" applyBorder="1" applyAlignment="1">
      <alignment horizontal="center" vertical="center" wrapText="1"/>
    </xf>
    <xf numFmtId="187" fontId="60" fillId="0" borderId="1" xfId="0" applyNumberFormat="1" applyFont="1" applyBorder="1" applyAlignment="1">
      <alignment horizontal="center" vertical="center"/>
    </xf>
    <xf numFmtId="176" fontId="60" fillId="0" borderId="1" xfId="129" applyNumberFormat="1" applyFont="1" applyBorder="1" applyAlignment="1">
      <alignment horizontal="center" vertical="center"/>
    </xf>
    <xf numFmtId="187" fontId="8" fillId="0" borderId="1" xfId="129" applyNumberFormat="1" applyFont="1" applyBorder="1" applyAlignment="1">
      <alignment horizontal="center" vertical="center" wrapText="1"/>
    </xf>
    <xf numFmtId="176" fontId="8" fillId="0" borderId="1" xfId="129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60" fillId="0" borderId="0" xfId="0" applyFont="1" applyAlignment="1">
      <alignment horizontal="left" vertical="center"/>
    </xf>
    <xf numFmtId="0" fontId="60" fillId="0" borderId="0" xfId="0" applyFont="1" applyAlignment="1">
      <alignment horizontal="right" vertical="center"/>
    </xf>
    <xf numFmtId="178" fontId="8" fillId="0" borderId="1" xfId="0" applyNumberFormat="1" applyFont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7" fillId="0" borderId="0" xfId="0" applyFont="1"/>
    <xf numFmtId="0" fontId="10" fillId="0" borderId="0" xfId="0" applyFont="1" applyAlignment="1">
      <alignment horizontal="right" vertical="center"/>
    </xf>
    <xf numFmtId="191" fontId="10" fillId="0" borderId="0" xfId="0" applyNumberFormat="1" applyFont="1" applyAlignment="1">
      <alignment horizontal="left" vertical="center"/>
    </xf>
    <xf numFmtId="192" fontId="10" fillId="0" borderId="0" xfId="0" applyNumberFormat="1" applyFont="1" applyAlignment="1">
      <alignment horizontal="left"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horizontal="right" vertical="center"/>
    </xf>
    <xf numFmtId="181" fontId="10" fillId="0" borderId="4" xfId="0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87" fontId="10" fillId="0" borderId="1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left"/>
    </xf>
    <xf numFmtId="194" fontId="8" fillId="0" borderId="0" xfId="0" applyNumberFormat="1" applyFont="1" applyAlignment="1">
      <alignment horizontal="left" vertical="center"/>
    </xf>
    <xf numFmtId="22" fontId="10" fillId="0" borderId="0" xfId="0" applyNumberFormat="1" applyFont="1"/>
    <xf numFmtId="192" fontId="8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vertical="center"/>
    </xf>
    <xf numFmtId="177" fontId="9" fillId="0" borderId="0" xfId="0" applyNumberFormat="1" applyFont="1"/>
    <xf numFmtId="180" fontId="8" fillId="0" borderId="0" xfId="0" applyNumberFormat="1" applyFont="1" applyAlignment="1">
      <alignment horizontal="left" vertical="center"/>
    </xf>
    <xf numFmtId="176" fontId="8" fillId="0" borderId="1" xfId="0" applyNumberFormat="1" applyFont="1" applyBorder="1" applyAlignment="1">
      <alignment horizontal="center" vertical="center"/>
    </xf>
    <xf numFmtId="195" fontId="8" fillId="0" borderId="1" xfId="128" applyNumberFormat="1" applyFont="1" applyFill="1" applyBorder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191" fontId="8" fillId="0" borderId="0" xfId="0" applyNumberFormat="1" applyFont="1" applyAlignment="1">
      <alignment horizontal="left" vertical="center"/>
    </xf>
    <xf numFmtId="186" fontId="8" fillId="0" borderId="1" xfId="0" applyNumberFormat="1" applyFont="1" applyBorder="1" applyAlignment="1">
      <alignment horizontal="center" vertical="center" wrapText="1"/>
    </xf>
    <xf numFmtId="186" fontId="0" fillId="0" borderId="0" xfId="0" applyNumberFormat="1"/>
    <xf numFmtId="186" fontId="8" fillId="0" borderId="0" xfId="0" applyNumberFormat="1" applyFont="1" applyAlignment="1">
      <alignment horizontal="center" vertical="center" wrapText="1"/>
    </xf>
    <xf numFmtId="186" fontId="8" fillId="0" borderId="1" xfId="2" applyNumberFormat="1" applyFont="1" applyBorder="1" applyAlignment="1">
      <alignment horizontal="center" vertical="center" wrapText="1"/>
    </xf>
    <xf numFmtId="177" fontId="8" fillId="0" borderId="1" xfId="2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43" fillId="0" borderId="0" xfId="0" applyFont="1"/>
    <xf numFmtId="0" fontId="36" fillId="0" borderId="0" xfId="0" applyFont="1" applyAlignment="1">
      <alignment horizontal="left"/>
    </xf>
    <xf numFmtId="177" fontId="8" fillId="0" borderId="0" xfId="0" applyNumberFormat="1" applyFont="1" applyAlignment="1">
      <alignment horizontal="center"/>
    </xf>
    <xf numFmtId="196" fontId="8" fillId="0" borderId="0" xfId="0" applyNumberFormat="1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3" fillId="0" borderId="4" xfId="0" applyFont="1" applyBorder="1" applyAlignment="1">
      <alignment horizontal="left" vertical="center" wrapText="1"/>
    </xf>
    <xf numFmtId="0" fontId="43" fillId="0" borderId="6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justify" vertical="center" wrapText="1"/>
    </xf>
    <xf numFmtId="0" fontId="8" fillId="0" borderId="6" xfId="0" applyFont="1" applyBorder="1" applyAlignment="1">
      <alignment horizontal="justify" vertical="center" wrapText="1"/>
    </xf>
    <xf numFmtId="0" fontId="52" fillId="0" borderId="4" xfId="0" applyFont="1" applyBorder="1" applyAlignment="1">
      <alignment horizontal="left" vertical="center" wrapText="1"/>
    </xf>
    <xf numFmtId="0" fontId="52" fillId="0" borderId="6" xfId="0" applyFont="1" applyBorder="1" applyAlignment="1">
      <alignment horizontal="left" vertical="center" wrapText="1"/>
    </xf>
    <xf numFmtId="10" fontId="53" fillId="0" borderId="4" xfId="0" applyNumberFormat="1" applyFont="1" applyBorder="1" applyAlignment="1">
      <alignment horizontal="left" vertical="center" wrapText="1"/>
    </xf>
    <xf numFmtId="10" fontId="53" fillId="0" borderId="6" xfId="0" applyNumberFormat="1" applyFont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left" vertical="center" wrapText="1"/>
    </xf>
    <xf numFmtId="49" fontId="8" fillId="0" borderId="6" xfId="0" applyNumberFormat="1" applyFont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182" fontId="3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4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84" fontId="8" fillId="0" borderId="2" xfId="0" applyNumberFormat="1" applyFont="1" applyBorder="1" applyAlignment="1">
      <alignment horizontal="center" vertical="center" wrapText="1"/>
    </xf>
    <xf numFmtId="184" fontId="8" fillId="0" borderId="3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55" fillId="0" borderId="4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54" fillId="0" borderId="4" xfId="0" applyFont="1" applyBorder="1" applyAlignment="1">
      <alignment horizontal="left" vertical="center" wrapText="1"/>
    </xf>
    <xf numFmtId="180" fontId="10" fillId="0" borderId="1" xfId="0" applyNumberFormat="1" applyFont="1" applyBorder="1" applyAlignment="1">
      <alignment horizontal="center" vertical="center" wrapText="1"/>
    </xf>
    <xf numFmtId="177" fontId="10" fillId="0" borderId="2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177" fontId="10" fillId="0" borderId="3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 wrapText="1"/>
    </xf>
    <xf numFmtId="179" fontId="10" fillId="0" borderId="1" xfId="0" applyNumberFormat="1" applyFont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80" fontId="8" fillId="0" borderId="1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80" fontId="8" fillId="0" borderId="2" xfId="0" applyNumberFormat="1" applyFont="1" applyBorder="1" applyAlignment="1">
      <alignment horizontal="center" vertical="center"/>
    </xf>
    <xf numFmtId="180" fontId="8" fillId="0" borderId="3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 wrapText="1"/>
    </xf>
    <xf numFmtId="177" fontId="8" fillId="0" borderId="8" xfId="0" applyNumberFormat="1" applyFont="1" applyBorder="1" applyAlignment="1">
      <alignment horizontal="center" vertical="center" wrapText="1"/>
    </xf>
    <xf numFmtId="177" fontId="8" fillId="0" borderId="9" xfId="0" applyNumberFormat="1" applyFont="1" applyBorder="1" applyAlignment="1">
      <alignment horizontal="center" vertical="center" wrapText="1"/>
    </xf>
    <xf numFmtId="177" fontId="8" fillId="0" borderId="10" xfId="0" applyNumberFormat="1" applyFont="1" applyBorder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77" fontId="10" fillId="0" borderId="2" xfId="0" applyNumberFormat="1" applyFont="1" applyBorder="1" applyAlignment="1">
      <alignment horizontal="center" vertical="center" wrapText="1"/>
    </xf>
    <xf numFmtId="177" fontId="10" fillId="0" borderId="7" xfId="0" applyNumberFormat="1" applyFont="1" applyBorder="1" applyAlignment="1">
      <alignment horizontal="center" vertical="center" wrapText="1"/>
    </xf>
    <xf numFmtId="177" fontId="10" fillId="0" borderId="3" xfId="0" applyNumberFormat="1" applyFont="1" applyBorder="1" applyAlignment="1">
      <alignment horizontal="center" vertical="center" wrapText="1"/>
    </xf>
    <xf numFmtId="180" fontId="10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 wrapText="1"/>
    </xf>
    <xf numFmtId="177" fontId="10" fillId="0" borderId="9" xfId="0" applyNumberFormat="1" applyFont="1" applyBorder="1" applyAlignment="1">
      <alignment horizontal="center" vertical="center" wrapText="1"/>
    </xf>
    <xf numFmtId="177" fontId="10" fillId="0" borderId="10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180" fontId="49" fillId="0" borderId="2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180" fontId="49" fillId="0" borderId="2" xfId="0" applyNumberFormat="1" applyFont="1" applyBorder="1" applyAlignment="1">
      <alignment horizontal="center" vertical="center"/>
    </xf>
    <xf numFmtId="180" fontId="49" fillId="0" borderId="3" xfId="0" applyNumberFormat="1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43" fillId="0" borderId="4" xfId="129" applyFont="1" applyBorder="1" applyAlignment="1">
      <alignment horizontal="left" vertical="center" wrapText="1"/>
    </xf>
    <xf numFmtId="0" fontId="8" fillId="0" borderId="20" xfId="129" applyFont="1" applyBorder="1" applyAlignment="1">
      <alignment horizontal="left" vertical="center" wrapText="1"/>
    </xf>
    <xf numFmtId="0" fontId="8" fillId="0" borderId="6" xfId="129" applyFont="1" applyBorder="1" applyAlignment="1">
      <alignment horizontal="left" vertical="center" wrapText="1"/>
    </xf>
    <xf numFmtId="0" fontId="8" fillId="0" borderId="5" xfId="129" applyFont="1" applyBorder="1" applyAlignment="1">
      <alignment horizontal="center" vertical="center" wrapText="1"/>
    </xf>
    <xf numFmtId="0" fontId="8" fillId="0" borderId="1" xfId="129" applyFont="1" applyBorder="1" applyAlignment="1">
      <alignment horizontal="center" vertical="center" wrapText="1"/>
    </xf>
    <xf numFmtId="0" fontId="8" fillId="0" borderId="4" xfId="129" applyFont="1" applyBorder="1" applyAlignment="1">
      <alignment horizontal="center" vertical="center" wrapText="1"/>
    </xf>
    <xf numFmtId="0" fontId="8" fillId="0" borderId="20" xfId="129" applyFont="1" applyBorder="1" applyAlignment="1">
      <alignment horizontal="center" vertical="center" wrapText="1"/>
    </xf>
    <xf numFmtId="0" fontId="8" fillId="0" borderId="6" xfId="129" applyFont="1" applyBorder="1" applyAlignment="1">
      <alignment horizontal="center" vertical="center" wrapText="1"/>
    </xf>
    <xf numFmtId="187" fontId="8" fillId="0" borderId="22" xfId="129" applyNumberFormat="1" applyFont="1" applyBorder="1" applyAlignment="1">
      <alignment horizontal="center" vertical="center" wrapText="1"/>
    </xf>
    <xf numFmtId="187" fontId="8" fillId="0" borderId="23" xfId="129" applyNumberFormat="1" applyFont="1" applyBorder="1" applyAlignment="1">
      <alignment horizontal="center" vertical="center" wrapText="1"/>
    </xf>
    <xf numFmtId="187" fontId="8" fillId="0" borderId="24" xfId="129" applyNumberFormat="1" applyFont="1" applyBorder="1" applyAlignment="1">
      <alignment horizontal="center" vertical="center" wrapText="1"/>
    </xf>
    <xf numFmtId="187" fontId="8" fillId="0" borderId="25" xfId="129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43" fillId="0" borderId="4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62" fillId="0" borderId="0" xfId="0" applyFont="1" applyAlignment="1">
      <alignment horizontal="left" vertical="center" wrapText="1"/>
    </xf>
    <xf numFmtId="193" fontId="7" fillId="0" borderId="2" xfId="0" applyNumberFormat="1" applyFont="1" applyBorder="1" applyAlignment="1" applyProtection="1">
      <alignment horizontal="center" vertical="center" wrapText="1"/>
      <protection locked="0"/>
    </xf>
    <xf numFmtId="193" fontId="8" fillId="0" borderId="7" xfId="0" applyNumberFormat="1" applyFont="1" applyBorder="1" applyAlignment="1" applyProtection="1">
      <alignment horizontal="center" vertical="center" wrapText="1"/>
      <protection locked="0"/>
    </xf>
    <xf numFmtId="193" fontId="8" fillId="0" borderId="3" xfId="0" applyNumberFormat="1" applyFont="1" applyBorder="1" applyAlignment="1" applyProtection="1">
      <alignment horizontal="center" vertical="center" wrapText="1"/>
      <protection locked="0"/>
    </xf>
    <xf numFmtId="0" fontId="57" fillId="0" borderId="0" xfId="0" applyFont="1" applyAlignment="1">
      <alignment horizontal="left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center"/>
    </xf>
    <xf numFmtId="176" fontId="10" fillId="0" borderId="6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43" fillId="0" borderId="0" xfId="0" applyFont="1" applyAlignment="1">
      <alignment horizontal="left"/>
    </xf>
    <xf numFmtId="180" fontId="10" fillId="0" borderId="2" xfId="0" applyNumberFormat="1" applyFont="1" applyBorder="1" applyAlignment="1">
      <alignment horizontal="center" vertical="center"/>
    </xf>
    <xf numFmtId="180" fontId="10" fillId="0" borderId="7" xfId="0" applyNumberFormat="1" applyFont="1" applyBorder="1" applyAlignment="1">
      <alignment horizontal="center" vertical="center"/>
    </xf>
    <xf numFmtId="180" fontId="10" fillId="0" borderId="3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80" fontId="8" fillId="0" borderId="2" xfId="0" applyNumberFormat="1" applyFont="1" applyBorder="1" applyAlignment="1">
      <alignment horizontal="center" vertical="center" wrapText="1"/>
    </xf>
    <xf numFmtId="180" fontId="8" fillId="0" borderId="7" xfId="0" applyNumberFormat="1" applyFont="1" applyBorder="1" applyAlignment="1">
      <alignment horizontal="center" vertical="center" wrapText="1"/>
    </xf>
    <xf numFmtId="180" fontId="8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justify" vertical="center" wrapText="1"/>
    </xf>
    <xf numFmtId="0" fontId="6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197" fontId="8" fillId="0" borderId="1" xfId="0" applyNumberFormat="1" applyFont="1" applyBorder="1" applyAlignment="1">
      <alignment horizontal="justify" vertical="center" wrapText="1"/>
    </xf>
    <xf numFmtId="180" fontId="8" fillId="0" borderId="1" xfId="0" applyNumberFormat="1" applyFont="1" applyBorder="1" applyAlignment="1">
      <alignment horizontal="justify" vertical="center" wrapText="1"/>
    </xf>
    <xf numFmtId="0" fontId="9" fillId="0" borderId="0" xfId="0" applyFont="1" applyAlignment="1">
      <alignment vertical="center"/>
    </xf>
    <xf numFmtId="0" fontId="42" fillId="0" borderId="1" xfId="0" applyFont="1" applyBorder="1"/>
    <xf numFmtId="49" fontId="8" fillId="0" borderId="1" xfId="0" applyNumberFormat="1" applyFont="1" applyBorder="1" applyAlignment="1">
      <alignment horizontal="justify" vertical="center" wrapText="1"/>
    </xf>
    <xf numFmtId="0" fontId="66" fillId="0" borderId="0" xfId="0" applyFont="1" applyAlignment="1">
      <alignment vertical="center"/>
    </xf>
    <xf numFmtId="0" fontId="69" fillId="0" borderId="1" xfId="0" applyFont="1" applyBorder="1" applyAlignment="1">
      <alignment horizontal="left" vertical="center" wrapText="1"/>
    </xf>
    <xf numFmtId="0" fontId="70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71" fillId="0" borderId="0" xfId="0" applyFont="1"/>
    <xf numFmtId="0" fontId="7" fillId="0" borderId="1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justify" vertical="center" wrapText="1"/>
    </xf>
    <xf numFmtId="0" fontId="8" fillId="0" borderId="28" xfId="0" applyFont="1" applyBorder="1"/>
    <xf numFmtId="0" fontId="55" fillId="0" borderId="29" xfId="0" applyFont="1" applyBorder="1" applyAlignment="1">
      <alignment vertical="center"/>
    </xf>
  </cellXfs>
  <cellStyles count="130">
    <cellStyle name="20% - Accent1" xfId="34" xr:uid="{00000000-0005-0000-0000-000000000000}"/>
    <cellStyle name="20% - Accent1 2" xfId="80" xr:uid="{33F1493C-5CF4-47F7-9023-E12BC9C98A3C}"/>
    <cellStyle name="20% - Accent2" xfId="35" xr:uid="{00000000-0005-0000-0000-000001000000}"/>
    <cellStyle name="20% - Accent2 2" xfId="81" xr:uid="{CF84EDE0-E0A0-4454-8A1A-D2FF8C724539}"/>
    <cellStyle name="20% - Accent3" xfId="36" xr:uid="{00000000-0005-0000-0000-000002000000}"/>
    <cellStyle name="20% - Accent3 2" xfId="82" xr:uid="{F1DD5FD0-8723-4828-98A3-38475F862AAA}"/>
    <cellStyle name="20% - Accent4" xfId="37" xr:uid="{00000000-0005-0000-0000-000003000000}"/>
    <cellStyle name="20% - Accent4 2" xfId="83" xr:uid="{998B56E7-297C-4C47-B098-B9CF1F4A39AD}"/>
    <cellStyle name="20% - Accent5" xfId="38" xr:uid="{00000000-0005-0000-0000-000004000000}"/>
    <cellStyle name="20% - Accent5 2" xfId="84" xr:uid="{2DFCC382-B402-4A2A-A8B7-31EC6A87ACD7}"/>
    <cellStyle name="20% - Accent6" xfId="39" xr:uid="{00000000-0005-0000-0000-000005000000}"/>
    <cellStyle name="20% - Accent6 2" xfId="85" xr:uid="{D2E04634-D820-4A5E-9084-3325529E83F1}"/>
    <cellStyle name="20% - 强调文字颜色 1" xfId="7" xr:uid="{00000000-0005-0000-0000-000006000000}"/>
    <cellStyle name="20% - 强调文字颜色 2" xfId="8" xr:uid="{00000000-0005-0000-0000-000007000000}"/>
    <cellStyle name="20% - 强调文字颜色 3" xfId="9" xr:uid="{00000000-0005-0000-0000-000008000000}"/>
    <cellStyle name="20% - 强调文字颜色 4" xfId="10" xr:uid="{00000000-0005-0000-0000-000009000000}"/>
    <cellStyle name="20% - 强调文字颜色 5" xfId="11" xr:uid="{00000000-0005-0000-0000-00000A000000}"/>
    <cellStyle name="20% - 强调文字颜色 6" xfId="12" xr:uid="{00000000-0005-0000-0000-00000B000000}"/>
    <cellStyle name="40% - Accent1" xfId="40" xr:uid="{00000000-0005-0000-0000-00000C000000}"/>
    <cellStyle name="40% - Accent1 2" xfId="86" xr:uid="{19E452B6-3775-4DE1-B29C-7064871AE751}"/>
    <cellStyle name="40% - Accent2" xfId="41" xr:uid="{00000000-0005-0000-0000-00000D000000}"/>
    <cellStyle name="40% - Accent2 2" xfId="87" xr:uid="{D9407625-3714-43F1-8C4B-53495B2E0FB7}"/>
    <cellStyle name="40% - Accent3" xfId="42" xr:uid="{00000000-0005-0000-0000-00000E000000}"/>
    <cellStyle name="40% - Accent3 2" xfId="88" xr:uid="{B0F9D263-124B-46DF-A294-B46A9DBBD114}"/>
    <cellStyle name="40% - Accent4" xfId="43" xr:uid="{00000000-0005-0000-0000-00000F000000}"/>
    <cellStyle name="40% - Accent4 2" xfId="89" xr:uid="{8AE72576-ACBF-4A20-9F26-C946E7C3DC00}"/>
    <cellStyle name="40% - Accent5" xfId="44" xr:uid="{00000000-0005-0000-0000-000010000000}"/>
    <cellStyle name="40% - Accent5 2" xfId="90" xr:uid="{F1369E33-579B-4CDB-93D7-DD1B77CCE66D}"/>
    <cellStyle name="40% - Accent6" xfId="45" xr:uid="{00000000-0005-0000-0000-000011000000}"/>
    <cellStyle name="40% - Accent6 2" xfId="91" xr:uid="{43A716AE-6C9E-4C1E-A3F1-9E9AD06EA8BD}"/>
    <cellStyle name="40% - 强调文字颜色 1" xfId="13" xr:uid="{00000000-0005-0000-0000-000012000000}"/>
    <cellStyle name="40% - 强调文字颜色 2" xfId="14" xr:uid="{00000000-0005-0000-0000-000013000000}"/>
    <cellStyle name="40% - 强调文字颜色 3" xfId="15" xr:uid="{00000000-0005-0000-0000-000014000000}"/>
    <cellStyle name="40% - 强调文字颜色 4" xfId="16" xr:uid="{00000000-0005-0000-0000-000015000000}"/>
    <cellStyle name="40% - 强调文字颜色 5" xfId="17" xr:uid="{00000000-0005-0000-0000-000016000000}"/>
    <cellStyle name="40% - 强调文字颜色 6" xfId="18" xr:uid="{00000000-0005-0000-0000-000017000000}"/>
    <cellStyle name="60% - Accent1" xfId="46" xr:uid="{00000000-0005-0000-0000-000018000000}"/>
    <cellStyle name="60% - Accent1 2" xfId="92" xr:uid="{4C69368C-0FF4-4554-B03B-81B870986803}"/>
    <cellStyle name="60% - Accent2" xfId="47" xr:uid="{00000000-0005-0000-0000-000019000000}"/>
    <cellStyle name="60% - Accent2 2" xfId="93" xr:uid="{1EDE5DC3-6618-484F-8102-02123CDF0B26}"/>
    <cellStyle name="60% - Accent3" xfId="48" xr:uid="{00000000-0005-0000-0000-00001A000000}"/>
    <cellStyle name="60% - Accent3 2" xfId="94" xr:uid="{972A9F16-5D44-40B8-948E-A6EE4120DD94}"/>
    <cellStyle name="60% - Accent4" xfId="49" xr:uid="{00000000-0005-0000-0000-00001B000000}"/>
    <cellStyle name="60% - Accent4 2" xfId="95" xr:uid="{F6647885-AB3B-4A7B-A95D-C49FF6C85694}"/>
    <cellStyle name="60% - Accent5" xfId="50" xr:uid="{00000000-0005-0000-0000-00001C000000}"/>
    <cellStyle name="60% - Accent5 2" xfId="96" xr:uid="{07686639-B681-4132-B60C-1A2172F84DE6}"/>
    <cellStyle name="60% - Accent6" xfId="51" xr:uid="{00000000-0005-0000-0000-00001D000000}"/>
    <cellStyle name="60% - Accent6 2" xfId="97" xr:uid="{6CDD3A90-EEA2-4594-85D2-6D66A8CBB4FC}"/>
    <cellStyle name="60% - 强调文字颜色 1" xfId="19" xr:uid="{00000000-0005-0000-0000-00001E000000}"/>
    <cellStyle name="60% - 强调文字颜色 2" xfId="20" xr:uid="{00000000-0005-0000-0000-00001F000000}"/>
    <cellStyle name="60% - 强调文字颜色 3" xfId="21" xr:uid="{00000000-0005-0000-0000-000020000000}"/>
    <cellStyle name="60% - 强调文字颜色 4" xfId="22" xr:uid="{00000000-0005-0000-0000-000021000000}"/>
    <cellStyle name="60% - 强调文字颜色 5" xfId="23" xr:uid="{00000000-0005-0000-0000-000022000000}"/>
    <cellStyle name="60% - 强调文字颜色 6" xfId="24" xr:uid="{00000000-0005-0000-0000-000023000000}"/>
    <cellStyle name="Accent1" xfId="52" xr:uid="{00000000-0005-0000-0000-000024000000}"/>
    <cellStyle name="Accent1 2" xfId="98" xr:uid="{C2E0B6D7-2D85-4421-B509-C33A2AE8DD62}"/>
    <cellStyle name="Accent2" xfId="53" xr:uid="{00000000-0005-0000-0000-000025000000}"/>
    <cellStyle name="Accent2 2" xfId="99" xr:uid="{B910FB06-9126-4736-ADA7-CF7C81ECC947}"/>
    <cellStyle name="Accent3" xfId="54" xr:uid="{00000000-0005-0000-0000-000026000000}"/>
    <cellStyle name="Accent3 2" xfId="100" xr:uid="{636722DA-9744-4B29-A322-C734C5920A38}"/>
    <cellStyle name="Accent4" xfId="55" xr:uid="{00000000-0005-0000-0000-000027000000}"/>
    <cellStyle name="Accent4 2" xfId="101" xr:uid="{B76A85D5-7792-4E13-927E-9B282E29967B}"/>
    <cellStyle name="Accent5" xfId="56" xr:uid="{00000000-0005-0000-0000-000028000000}"/>
    <cellStyle name="Accent5 2" xfId="102" xr:uid="{792B2294-EE57-40F6-85EF-5E37B545D765}"/>
    <cellStyle name="Accent6" xfId="57" xr:uid="{00000000-0005-0000-0000-000029000000}"/>
    <cellStyle name="Accent6 2" xfId="103" xr:uid="{F1BA4ED5-3646-48FD-BCCD-6A46C1293C17}"/>
    <cellStyle name="Bad" xfId="58" xr:uid="{00000000-0005-0000-0000-00002A000000}"/>
    <cellStyle name="Bad 2" xfId="1" xr:uid="{00000000-0005-0000-0000-00002B000000}"/>
    <cellStyle name="Bad_表11_Recovery" xfId="75" xr:uid="{00000000-0005-0000-0000-00002C000000}"/>
    <cellStyle name="Calculation" xfId="59" xr:uid="{00000000-0005-0000-0000-00002D000000}"/>
    <cellStyle name="Check Cell" xfId="60" xr:uid="{00000000-0005-0000-0000-00002E000000}"/>
    <cellStyle name="Explanatory Text" xfId="61" xr:uid="{00000000-0005-0000-0000-00002F000000}"/>
    <cellStyle name="Good" xfId="62" xr:uid="{00000000-0005-0000-0000-000030000000}"/>
    <cellStyle name="Good 2" xfId="104" xr:uid="{3F60152A-4685-488D-9168-FDF6D0D0FF26}"/>
    <cellStyle name="Heading 1" xfId="63" xr:uid="{00000000-0005-0000-0000-000031000000}"/>
    <cellStyle name="Heading 2" xfId="64" xr:uid="{00000000-0005-0000-0000-000032000000}"/>
    <cellStyle name="Heading 3" xfId="65" xr:uid="{00000000-0005-0000-0000-000033000000}"/>
    <cellStyle name="Heading 4" xfId="66" xr:uid="{00000000-0005-0000-0000-000034000000}"/>
    <cellStyle name="Input" xfId="67" xr:uid="{00000000-0005-0000-0000-000035000000}"/>
    <cellStyle name="Linked Cell" xfId="68" xr:uid="{00000000-0005-0000-0000-000036000000}"/>
    <cellStyle name="Neutral" xfId="69" xr:uid="{00000000-0005-0000-0000-000037000000}"/>
    <cellStyle name="Normal 2" xfId="2" xr:uid="{00000000-0005-0000-0000-000038000000}"/>
    <cellStyle name="Normal 3" xfId="3" xr:uid="{00000000-0005-0000-0000-000039000000}"/>
    <cellStyle name="Normal_Gilead Samples 02jan07" xfId="6" xr:uid="{00000000-0005-0000-0000-00003A000000}"/>
    <cellStyle name="Note" xfId="70" xr:uid="{00000000-0005-0000-0000-00003C000000}"/>
    <cellStyle name="Note 2" xfId="105" xr:uid="{13AF0080-410F-41C1-B1F2-B44D74F573FE}"/>
    <cellStyle name="Output" xfId="71" xr:uid="{00000000-0005-0000-0000-00003D000000}"/>
    <cellStyle name="Percent 2" xfId="4" xr:uid="{00000000-0005-0000-0000-00003E000000}"/>
    <cellStyle name="Title" xfId="72" xr:uid="{00000000-0005-0000-0000-00003F000000}"/>
    <cellStyle name="Total" xfId="73" xr:uid="{00000000-0005-0000-0000-000040000000}"/>
    <cellStyle name="Warning Text" xfId="74" xr:uid="{00000000-0005-0000-0000-000041000000}"/>
    <cellStyle name="百分比 2" xfId="106" xr:uid="{E0DE712C-37D5-4592-921A-E7D0015E70C1}"/>
    <cellStyle name="差" xfId="126" builtinId="27"/>
    <cellStyle name="差 2" xfId="121" xr:uid="{C314B95F-3F26-4620-8CFC-DCE142DAB5EC}"/>
    <cellStyle name="差 3" xfId="125" xr:uid="{1BED5052-66E7-4553-AD7D-F9D5EA80BF4F}"/>
    <cellStyle name="差_1.1" xfId="25" xr:uid="{00000000-0005-0000-0000-000043000000}"/>
    <cellStyle name="差_1.1 2" xfId="115" xr:uid="{F0432CEE-2663-4926-BE63-DC6B55467989}"/>
    <cellStyle name="差_1.1 3" xfId="122" xr:uid="{33A54E10-7AAA-4873-8AA8-53E1AEC59623}"/>
    <cellStyle name="差_表11_Recovery" xfId="76" xr:uid="{00000000-0005-0000-0000-000044000000}"/>
    <cellStyle name="差_表11_Recovery 2" xfId="116" xr:uid="{C4CF4F12-6FDE-4211-9ED0-34F596EDF326}"/>
    <cellStyle name="差_表11_Recovery 3" xfId="123" xr:uid="{F0C10839-857A-49C6-810A-E8ED5C81AEFC}"/>
    <cellStyle name="差_表2_SST" xfId="107" xr:uid="{0B0F1E74-8EDB-4A6F-8C47-476C5A164877}"/>
    <cellStyle name="差_表25_干扰" xfId="78" xr:uid="{00000000-0005-0000-0000-000045000000}"/>
    <cellStyle name="差_表25_干扰 2" xfId="117" xr:uid="{326582A7-7F02-4135-AFA8-186D8AD1117D}"/>
    <cellStyle name="差_表25_干扰 3" xfId="124" xr:uid="{0BC52407-9B56-4859-8F70-4CED7C152C13}"/>
    <cellStyle name="常规" xfId="0" builtinId="0"/>
    <cellStyle name="常规 2" xfId="26" xr:uid="{00000000-0005-0000-0000-000047000000}"/>
    <cellStyle name="常规 2 2" xfId="5" xr:uid="{00000000-0005-0000-0000-000048000000}"/>
    <cellStyle name="常规 3" xfId="109" xr:uid="{E2A56356-B03B-4F77-97F8-D0F54694D0E1}"/>
    <cellStyle name="常规 3 2" xfId="114" xr:uid="{A5260DFC-28EE-464A-949D-3EA5D2930D23}"/>
    <cellStyle name="常规 4" xfId="110" xr:uid="{2491647E-5AE6-4484-A49C-6ADF97688F11}"/>
    <cellStyle name="常规 4 2" xfId="118" xr:uid="{A418734E-19D1-4495-9695-1C5D92133539}"/>
    <cellStyle name="常规 4 3" xfId="119" xr:uid="{A0D9082A-03A0-47A7-8845-BC8E4E1F14D2}"/>
    <cellStyle name="常规 5" xfId="111" xr:uid="{2405CA5C-E92D-4A59-96DD-7FDCFCDFB34A}"/>
    <cellStyle name="常规 6" xfId="112" xr:uid="{8D15D658-D44B-4EF2-AD4A-DDBCAC25DC53}"/>
    <cellStyle name="常规 7" xfId="113" xr:uid="{9927C9DD-9B0B-4860-A3C0-7A005CC67667}"/>
    <cellStyle name="常规 7 2" xfId="120" xr:uid="{1DF15DCB-23B9-4703-914D-019B51650462}"/>
    <cellStyle name="常规_1.1" xfId="79" xr:uid="{8D03EEFC-C52C-46E1-A064-46E028EDF6F7}"/>
    <cellStyle name="常规_表11_Recovery" xfId="129" xr:uid="{895C4086-7D2E-4F71-ADD8-5974E916DB72}"/>
    <cellStyle name="常规_表3_Carryover_1" xfId="127" xr:uid="{31D0B377-910B-47C3-AC36-8946629BD081}"/>
    <cellStyle name="好_1.1" xfId="27" xr:uid="{00000000-0005-0000-0000-00004C000000}"/>
    <cellStyle name="好_表11_Recovery" xfId="77" xr:uid="{00000000-0005-0000-0000-00004D000000}"/>
    <cellStyle name="好_表2_SST" xfId="108" xr:uid="{A19B879A-FB83-4E52-9266-5E210389D91E}"/>
    <cellStyle name="货币" xfId="128" builtinId="4"/>
    <cellStyle name="强调文字颜色 1" xfId="28" xr:uid="{00000000-0005-0000-0000-00004E000000}"/>
    <cellStyle name="强调文字颜色 2" xfId="29" xr:uid="{00000000-0005-0000-0000-00004F000000}"/>
    <cellStyle name="强调文字颜色 3" xfId="30" xr:uid="{00000000-0005-0000-0000-000050000000}"/>
    <cellStyle name="强调文字颜色 4" xfId="31" xr:uid="{00000000-0005-0000-0000-000051000000}"/>
    <cellStyle name="强调文字颜色 5" xfId="32" xr:uid="{00000000-0005-0000-0000-000052000000}"/>
    <cellStyle name="强调文字颜色 6" xfId="33" xr:uid="{00000000-0005-0000-0000-00005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AD35-2D4B-426D-96E9-55A3FC0827AC}">
  <dimension ref="A1:F62"/>
  <sheetViews>
    <sheetView topLeftCell="A43" zoomScale="115" zoomScaleNormal="115" zoomScaleSheetLayoutView="100" workbookViewId="0">
      <selection activeCell="B45" sqref="B45:C45"/>
    </sheetView>
  </sheetViews>
  <sheetFormatPr defaultColWidth="8.75" defaultRowHeight="15.75" customHeight="1"/>
  <cols>
    <col min="1" max="1" width="54.75" style="19" customWidth="1"/>
    <col min="2" max="2" width="47.33203125" style="19" customWidth="1"/>
    <col min="3" max="3" width="43.4140625" style="19" customWidth="1"/>
    <col min="4" max="4" width="27.58203125" style="19" customWidth="1"/>
    <col min="5" max="5" width="68.75" style="19" customWidth="1"/>
    <col min="6" max="16384" width="8.75" style="19"/>
  </cols>
  <sheetData>
    <row r="1" spans="1:3" ht="15.75" customHeight="1">
      <c r="A1" s="19" t="s">
        <v>104</v>
      </c>
    </row>
    <row r="3" spans="1:3" ht="15.75" customHeight="1">
      <c r="A3" s="32" t="s">
        <v>78</v>
      </c>
      <c r="B3" s="155" t="s">
        <v>380</v>
      </c>
      <c r="C3" s="156"/>
    </row>
    <row r="4" spans="1:3" ht="15.75" customHeight="1">
      <c r="A4" s="32" t="s">
        <v>105</v>
      </c>
      <c r="B4" s="155" t="s">
        <v>407</v>
      </c>
      <c r="C4" s="156"/>
    </row>
    <row r="5" spans="1:3" ht="15.75" customHeight="1">
      <c r="A5" s="32" t="s">
        <v>106</v>
      </c>
      <c r="B5" s="155" t="s">
        <v>406</v>
      </c>
      <c r="C5" s="156"/>
    </row>
    <row r="6" spans="1:3" ht="15.75" customHeight="1">
      <c r="A6" s="32" t="s">
        <v>107</v>
      </c>
      <c r="B6" s="32" t="s">
        <v>108</v>
      </c>
      <c r="C6" s="32" t="s">
        <v>109</v>
      </c>
    </row>
    <row r="7" spans="1:3" ht="15.75" customHeight="1">
      <c r="A7" s="32" t="s">
        <v>110</v>
      </c>
      <c r="B7" s="17" t="s">
        <v>417</v>
      </c>
      <c r="C7" s="18" t="s">
        <v>72</v>
      </c>
    </row>
    <row r="8" spans="1:3" ht="15.75" customHeight="1">
      <c r="A8" s="32" t="s">
        <v>111</v>
      </c>
      <c r="B8" s="32" t="s">
        <v>9</v>
      </c>
      <c r="C8" s="32" t="s">
        <v>112</v>
      </c>
    </row>
    <row r="9" spans="1:3" ht="15.75" customHeight="1">
      <c r="A9" s="32" t="s">
        <v>113</v>
      </c>
      <c r="B9" s="32" t="s">
        <v>9</v>
      </c>
      <c r="C9" s="18" t="s">
        <v>69</v>
      </c>
    </row>
    <row r="10" spans="1:3" ht="15.75" customHeight="1">
      <c r="A10" s="51" t="s">
        <v>114</v>
      </c>
      <c r="B10" s="155" t="s">
        <v>115</v>
      </c>
      <c r="C10" s="156"/>
    </row>
    <row r="11" spans="1:3" ht="15.75" customHeight="1">
      <c r="A11" s="32" t="s">
        <v>116</v>
      </c>
      <c r="B11" s="155" t="s">
        <v>117</v>
      </c>
      <c r="C11" s="156"/>
    </row>
    <row r="12" spans="1:3" ht="15.75" customHeight="1">
      <c r="A12" s="32" t="s">
        <v>118</v>
      </c>
      <c r="B12" s="155" t="s">
        <v>119</v>
      </c>
      <c r="C12" s="156"/>
    </row>
    <row r="13" spans="1:3" ht="15.75" customHeight="1">
      <c r="A13" s="157" t="s">
        <v>120</v>
      </c>
      <c r="B13" s="158" t="s">
        <v>121</v>
      </c>
      <c r="C13" s="159"/>
    </row>
    <row r="14" spans="1:3" ht="15.75" customHeight="1">
      <c r="A14" s="157"/>
      <c r="B14" s="160" t="s">
        <v>61</v>
      </c>
      <c r="C14" s="161"/>
    </row>
    <row r="15" spans="1:3" ht="15.75" customHeight="1">
      <c r="A15" s="157" t="s">
        <v>122</v>
      </c>
      <c r="B15" s="158" t="s">
        <v>123</v>
      </c>
      <c r="C15" s="159"/>
    </row>
    <row r="16" spans="1:3" ht="15.75" customHeight="1">
      <c r="A16" s="157"/>
      <c r="B16" s="158" t="s">
        <v>124</v>
      </c>
      <c r="C16" s="159"/>
    </row>
    <row r="17" spans="1:6" ht="15.75" customHeight="1">
      <c r="A17" s="157"/>
      <c r="B17" s="158" t="s">
        <v>125</v>
      </c>
      <c r="C17" s="159"/>
    </row>
    <row r="18" spans="1:6" ht="15.75" customHeight="1">
      <c r="A18" s="32" t="s">
        <v>126</v>
      </c>
      <c r="B18" s="155" t="s">
        <v>62</v>
      </c>
      <c r="C18" s="156"/>
    </row>
    <row r="19" spans="1:6" ht="15.75" customHeight="1">
      <c r="A19" s="32" t="s">
        <v>127</v>
      </c>
      <c r="B19" s="160" t="s">
        <v>63</v>
      </c>
      <c r="C19" s="161"/>
    </row>
    <row r="20" spans="1:6" ht="15.75" customHeight="1">
      <c r="A20" s="32" t="s">
        <v>128</v>
      </c>
      <c r="B20" s="155" t="s">
        <v>129</v>
      </c>
      <c r="C20" s="156"/>
    </row>
    <row r="21" spans="1:6" ht="15.75" customHeight="1">
      <c r="A21" s="9" t="s">
        <v>34</v>
      </c>
      <c r="B21" s="155" t="s">
        <v>64</v>
      </c>
      <c r="C21" s="156"/>
    </row>
    <row r="22" spans="1:6" ht="15.75" customHeight="1">
      <c r="A22" s="32" t="s">
        <v>130</v>
      </c>
      <c r="B22" s="160" t="s">
        <v>65</v>
      </c>
      <c r="C22" s="161"/>
    </row>
    <row r="23" spans="1:6" ht="15.75" customHeight="1">
      <c r="A23" s="32" t="s">
        <v>131</v>
      </c>
      <c r="B23" s="160" t="s">
        <v>170</v>
      </c>
      <c r="C23" s="161"/>
    </row>
    <row r="24" spans="1:6" ht="15.75" customHeight="1">
      <c r="A24" s="32" t="s">
        <v>132</v>
      </c>
      <c r="B24" s="155" t="s">
        <v>66</v>
      </c>
      <c r="C24" s="156"/>
    </row>
    <row r="25" spans="1:6" ht="15.75" customHeight="1">
      <c r="A25" s="32" t="s">
        <v>133</v>
      </c>
      <c r="B25" s="162" t="s">
        <v>408</v>
      </c>
      <c r="C25" s="163"/>
    </row>
    <row r="26" spans="1:6" ht="15.75" customHeight="1">
      <c r="A26" s="32" t="s">
        <v>134</v>
      </c>
      <c r="B26" s="155" t="s">
        <v>10</v>
      </c>
      <c r="C26" s="156"/>
    </row>
    <row r="27" spans="1:6" ht="15.75" customHeight="1">
      <c r="A27" s="32" t="s">
        <v>135</v>
      </c>
      <c r="B27" s="155" t="s">
        <v>136</v>
      </c>
      <c r="C27" s="156"/>
    </row>
    <row r="28" spans="1:6" ht="15.75" customHeight="1">
      <c r="A28" s="32" t="s">
        <v>137</v>
      </c>
      <c r="B28" s="305" t="s">
        <v>418</v>
      </c>
      <c r="C28" s="163"/>
    </row>
    <row r="29" spans="1:6" ht="15.75" customHeight="1">
      <c r="A29" s="32" t="s">
        <v>138</v>
      </c>
      <c r="B29" s="162" t="s">
        <v>381</v>
      </c>
      <c r="C29" s="163"/>
    </row>
    <row r="30" spans="1:6" ht="15.75" customHeight="1">
      <c r="A30" s="32" t="s">
        <v>139</v>
      </c>
      <c r="B30" s="162" t="s">
        <v>381</v>
      </c>
      <c r="C30" s="163"/>
    </row>
    <row r="31" spans="1:6" ht="15.75" customHeight="1">
      <c r="A31" s="32" t="s">
        <v>140</v>
      </c>
      <c r="B31" s="162" t="s">
        <v>382</v>
      </c>
      <c r="C31" s="163"/>
      <c r="F31" s="12"/>
    </row>
    <row r="32" spans="1:6" ht="15.75" customHeight="1">
      <c r="A32" s="51" t="s">
        <v>141</v>
      </c>
      <c r="B32" s="164" t="s">
        <v>383</v>
      </c>
      <c r="C32" s="165"/>
    </row>
    <row r="33" spans="1:3" ht="15.75" customHeight="1">
      <c r="A33" s="32" t="s">
        <v>142</v>
      </c>
      <c r="B33" s="164" t="s">
        <v>172</v>
      </c>
      <c r="C33" s="165"/>
    </row>
    <row r="34" spans="1:3" ht="15.75" customHeight="1">
      <c r="A34" s="32" t="s">
        <v>143</v>
      </c>
      <c r="B34" s="164" t="s">
        <v>67</v>
      </c>
      <c r="C34" s="165"/>
    </row>
    <row r="35" spans="1:3" ht="15.75" customHeight="1">
      <c r="A35" s="32" t="s">
        <v>144</v>
      </c>
      <c r="B35" s="155" t="s">
        <v>409</v>
      </c>
      <c r="C35" s="156"/>
    </row>
    <row r="36" spans="1:3" ht="15.75" customHeight="1">
      <c r="A36" s="32" t="s">
        <v>145</v>
      </c>
      <c r="B36" s="155" t="s">
        <v>146</v>
      </c>
      <c r="C36" s="156"/>
    </row>
    <row r="37" spans="1:3" ht="15.75" customHeight="1">
      <c r="A37" s="32" t="s">
        <v>147</v>
      </c>
      <c r="B37" s="155" t="s">
        <v>148</v>
      </c>
      <c r="C37" s="156"/>
    </row>
    <row r="38" spans="1:3" ht="15.75" customHeight="1">
      <c r="A38" s="51" t="s">
        <v>149</v>
      </c>
      <c r="B38" s="32" t="s">
        <v>150</v>
      </c>
      <c r="C38" s="50" t="s">
        <v>151</v>
      </c>
    </row>
    <row r="39" spans="1:3" ht="15.75" customHeight="1">
      <c r="A39" s="52" t="s">
        <v>152</v>
      </c>
      <c r="B39" s="74" t="s">
        <v>384</v>
      </c>
      <c r="C39" s="74" t="s">
        <v>385</v>
      </c>
    </row>
    <row r="40" spans="1:3" ht="15.75" customHeight="1">
      <c r="A40" s="52" t="s">
        <v>153</v>
      </c>
      <c r="B40" s="74" t="s">
        <v>386</v>
      </c>
      <c r="C40" s="74" t="s">
        <v>387</v>
      </c>
    </row>
    <row r="41" spans="1:3" ht="15.75" customHeight="1">
      <c r="A41" s="52" t="s">
        <v>154</v>
      </c>
      <c r="B41" s="74" t="s">
        <v>388</v>
      </c>
      <c r="C41" s="74" t="s">
        <v>389</v>
      </c>
    </row>
    <row r="42" spans="1:3" ht="15.75" customHeight="1">
      <c r="A42" s="52" t="s">
        <v>155</v>
      </c>
      <c r="B42" s="74" t="s">
        <v>390</v>
      </c>
      <c r="C42" s="74" t="s">
        <v>391</v>
      </c>
    </row>
    <row r="43" spans="1:3" ht="56.5" customHeight="1">
      <c r="A43" s="32" t="s">
        <v>156</v>
      </c>
      <c r="B43" s="155" t="s">
        <v>392</v>
      </c>
      <c r="C43" s="156"/>
    </row>
    <row r="44" spans="1:3" ht="15.75" customHeight="1">
      <c r="A44" s="32" t="s">
        <v>157</v>
      </c>
      <c r="B44" s="166" t="s">
        <v>36</v>
      </c>
      <c r="C44" s="167"/>
    </row>
    <row r="45" spans="1:3" ht="15.75" customHeight="1">
      <c r="A45" s="32" t="s">
        <v>158</v>
      </c>
      <c r="B45" s="155" t="s">
        <v>393</v>
      </c>
      <c r="C45" s="156"/>
    </row>
    <row r="46" spans="1:3" ht="30" customHeight="1">
      <c r="A46" s="32" t="s">
        <v>159</v>
      </c>
      <c r="B46" s="155" t="s">
        <v>410</v>
      </c>
      <c r="C46" s="156"/>
    </row>
    <row r="47" spans="1:3" ht="30" customHeight="1">
      <c r="A47" s="32" t="s">
        <v>160</v>
      </c>
      <c r="B47" s="155" t="s">
        <v>410</v>
      </c>
      <c r="C47" s="156"/>
    </row>
    <row r="48" spans="1:3" ht="30" customHeight="1">
      <c r="A48" s="32" t="s">
        <v>161</v>
      </c>
      <c r="B48" s="168" t="s">
        <v>411</v>
      </c>
      <c r="C48" s="169"/>
    </row>
    <row r="49" spans="1:3" ht="30" customHeight="1">
      <c r="A49" s="32" t="s">
        <v>162</v>
      </c>
      <c r="B49" s="168" t="s">
        <v>411</v>
      </c>
      <c r="C49" s="169"/>
    </row>
    <row r="50" spans="1:3" ht="15.75" customHeight="1">
      <c r="A50" s="32" t="s">
        <v>163</v>
      </c>
      <c r="B50" s="155" t="s">
        <v>394</v>
      </c>
      <c r="C50" s="156"/>
    </row>
    <row r="51" spans="1:3" ht="15.75" customHeight="1">
      <c r="A51" s="32" t="s">
        <v>164</v>
      </c>
      <c r="B51" s="155" t="s">
        <v>395</v>
      </c>
      <c r="C51" s="156"/>
    </row>
    <row r="52" spans="1:3" ht="15.75" customHeight="1">
      <c r="A52" s="32" t="s">
        <v>165</v>
      </c>
      <c r="B52" s="155" t="s">
        <v>396</v>
      </c>
      <c r="C52" s="156"/>
    </row>
    <row r="53" spans="1:3" ht="15.75" customHeight="1">
      <c r="A53" s="9" t="s">
        <v>68</v>
      </c>
      <c r="B53" s="160" t="s">
        <v>420</v>
      </c>
      <c r="C53" s="161"/>
    </row>
    <row r="54" spans="1:3" ht="15.75" customHeight="1">
      <c r="A54" s="32" t="s">
        <v>166</v>
      </c>
      <c r="B54" s="168" t="s">
        <v>397</v>
      </c>
      <c r="C54" s="169"/>
    </row>
    <row r="55" spans="1:3" ht="15.75" customHeight="1">
      <c r="A55" s="32" t="s">
        <v>167</v>
      </c>
      <c r="B55" s="155" t="s">
        <v>398</v>
      </c>
      <c r="C55" s="156"/>
    </row>
    <row r="56" spans="1:3" ht="15.75" customHeight="1">
      <c r="A56" s="32" t="s">
        <v>168</v>
      </c>
      <c r="B56" s="155" t="s">
        <v>399</v>
      </c>
      <c r="C56" s="156"/>
    </row>
    <row r="57" spans="1:3" ht="15.75" customHeight="1">
      <c r="A57" s="32" t="s">
        <v>169</v>
      </c>
      <c r="B57" s="158" t="s">
        <v>173</v>
      </c>
      <c r="C57" s="159"/>
    </row>
    <row r="60" spans="1:3" ht="15.75" customHeight="1">
      <c r="A60" s="30"/>
    </row>
    <row r="61" spans="1:3" ht="15.75" customHeight="1">
      <c r="A61" s="30"/>
    </row>
    <row r="62" spans="1:3" ht="15.75" customHeight="1">
      <c r="A62" s="30"/>
    </row>
  </sheetData>
  <mergeCells count="48">
    <mergeCell ref="B57:C57"/>
    <mergeCell ref="B50:C50"/>
    <mergeCell ref="B51:C51"/>
    <mergeCell ref="B52:C52"/>
    <mergeCell ref="B47:C47"/>
    <mergeCell ref="B48:C48"/>
    <mergeCell ref="B49:C49"/>
    <mergeCell ref="B45:C45"/>
    <mergeCell ref="B46:C46"/>
    <mergeCell ref="B54:C54"/>
    <mergeCell ref="B55:C55"/>
    <mergeCell ref="B56:C56"/>
    <mergeCell ref="B53:C53"/>
    <mergeCell ref="B35:C35"/>
    <mergeCell ref="B36:C36"/>
    <mergeCell ref="B37:C37"/>
    <mergeCell ref="B43:C43"/>
    <mergeCell ref="B44:C44"/>
    <mergeCell ref="B30:C30"/>
    <mergeCell ref="B31:C31"/>
    <mergeCell ref="B32:C32"/>
    <mergeCell ref="B33:C33"/>
    <mergeCell ref="B34:C34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13:A14"/>
    <mergeCell ref="B13:C13"/>
    <mergeCell ref="B14:C14"/>
    <mergeCell ref="A15:A17"/>
    <mergeCell ref="B15:C15"/>
    <mergeCell ref="B16:C16"/>
    <mergeCell ref="B17:C17"/>
    <mergeCell ref="B12:C12"/>
    <mergeCell ref="B3:C3"/>
    <mergeCell ref="B4:C4"/>
    <mergeCell ref="B5:C5"/>
    <mergeCell ref="B11:C11"/>
    <mergeCell ref="B10:C10"/>
  </mergeCells>
  <phoneticPr fontId="4" type="noConversion"/>
  <pageMargins left="0.7" right="0.7" top="0.75" bottom="0.75" header="0.3" footer="0.3"/>
  <pageSetup paperSize="9" scale="57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53A8-5E1D-46BB-9479-7091C7F804E0}">
  <dimension ref="A2:B11"/>
  <sheetViews>
    <sheetView zoomScaleNormal="100" zoomScaleSheetLayoutView="100" workbookViewId="0">
      <selection activeCell="B20" sqref="B20:C20"/>
    </sheetView>
  </sheetViews>
  <sheetFormatPr defaultColWidth="8.33203125" defaultRowHeight="15.75" customHeight="1"/>
  <cols>
    <col min="1" max="1" width="16.75" style="2" customWidth="1"/>
    <col min="2" max="2" width="39.75" style="2" customWidth="1"/>
    <col min="3" max="3" width="19.33203125" style="2" customWidth="1"/>
    <col min="4" max="4" width="28.33203125" style="2" customWidth="1"/>
    <col min="5" max="16384" width="8.33203125" style="2"/>
  </cols>
  <sheetData>
    <row r="2" spans="1:2" ht="15.75" customHeight="1">
      <c r="A2" s="12" t="s">
        <v>333</v>
      </c>
    </row>
    <row r="4" spans="1:2" ht="15.75" customHeight="1">
      <c r="A4" s="290" t="s">
        <v>334</v>
      </c>
      <c r="B4" s="291" t="s">
        <v>335</v>
      </c>
    </row>
    <row r="5" spans="1:2" ht="15.75" customHeight="1">
      <c r="A5" s="290" t="s">
        <v>336</v>
      </c>
      <c r="B5" s="290" t="s">
        <v>380</v>
      </c>
    </row>
    <row r="6" spans="1:2" ht="15.75" customHeight="1">
      <c r="A6" s="290" t="s">
        <v>337</v>
      </c>
      <c r="B6" s="290" t="s">
        <v>338</v>
      </c>
    </row>
    <row r="7" spans="1:2" ht="15.75" customHeight="1">
      <c r="A7" s="290" t="s">
        <v>339</v>
      </c>
      <c r="B7" s="290" t="s">
        <v>340</v>
      </c>
    </row>
    <row r="8" spans="1:2" ht="15.75" customHeight="1">
      <c r="A8" s="292" t="s">
        <v>341</v>
      </c>
      <c r="B8" s="293">
        <v>0.85499999999999998</v>
      </c>
    </row>
    <row r="9" spans="1:2" ht="15.75" customHeight="1">
      <c r="A9" s="290" t="s">
        <v>342</v>
      </c>
      <c r="B9" s="290" t="s">
        <v>343</v>
      </c>
    </row>
    <row r="10" spans="1:2" ht="15.75" customHeight="1">
      <c r="A10" s="292" t="s">
        <v>344</v>
      </c>
      <c r="B10" s="294">
        <v>46060</v>
      </c>
    </row>
    <row r="11" spans="1:2" ht="15.75" customHeight="1">
      <c r="A11" s="290" t="s">
        <v>345</v>
      </c>
      <c r="B11" s="290" t="s">
        <v>346</v>
      </c>
    </row>
  </sheetData>
  <phoneticPr fontId="12" type="noConversion"/>
  <printOptions horizontalCentered="1" headings="1" gridLines="1"/>
  <pageMargins left="0.70866141732283472" right="0.70866141732283472" top="0.74803149606299213" bottom="0.74803149606299213" header="0.31496062992125984" footer="0.31496062992125984"/>
  <pageSetup scale="78" orientation="landscape" r:id="rId1"/>
  <headerFooter>
    <oddHeader>&amp;C1632RB2二次数据汇总</oddHeader>
    <oddFooter>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FA75-A150-4982-957A-04033510A682}">
  <dimension ref="A2:D12"/>
  <sheetViews>
    <sheetView zoomScaleNormal="100" zoomScaleSheetLayoutView="100" workbookViewId="0">
      <selection activeCell="B4" sqref="B4"/>
    </sheetView>
  </sheetViews>
  <sheetFormatPr defaultColWidth="8.33203125" defaultRowHeight="15.75" customHeight="1"/>
  <cols>
    <col min="1" max="1" width="24.75" style="2" customWidth="1"/>
    <col min="2" max="2" width="44.08203125" style="2" customWidth="1"/>
    <col min="3" max="7" width="8.25" style="2" customWidth="1"/>
    <col min="8" max="16384" width="8.33203125" style="2"/>
  </cols>
  <sheetData>
    <row r="2" spans="1:4" ht="15.75" customHeight="1">
      <c r="A2" s="12" t="s">
        <v>347</v>
      </c>
      <c r="D2" s="295"/>
    </row>
    <row r="4" spans="1:4" s="12" customFormat="1" ht="15.75" customHeight="1">
      <c r="A4" s="290" t="s">
        <v>334</v>
      </c>
      <c r="B4" s="296" t="s">
        <v>419</v>
      </c>
    </row>
    <row r="5" spans="1:4" s="12" customFormat="1" ht="15.75" customHeight="1">
      <c r="A5" s="290" t="s">
        <v>336</v>
      </c>
      <c r="B5" s="290" t="s">
        <v>412</v>
      </c>
    </row>
    <row r="6" spans="1:4" s="12" customFormat="1" ht="15.75" customHeight="1">
      <c r="A6" s="290" t="s">
        <v>337</v>
      </c>
      <c r="B6" s="290" t="s">
        <v>348</v>
      </c>
    </row>
    <row r="7" spans="1:4" s="12" customFormat="1" ht="15.75" customHeight="1">
      <c r="A7" s="290" t="s">
        <v>339</v>
      </c>
      <c r="B7" s="290" t="s">
        <v>349</v>
      </c>
    </row>
    <row r="8" spans="1:4" s="12" customFormat="1" ht="15.75" customHeight="1">
      <c r="A8" s="292" t="s">
        <v>350</v>
      </c>
      <c r="B8" s="293" t="s">
        <v>351</v>
      </c>
    </row>
    <row r="9" spans="1:4" s="12" customFormat="1" ht="15.75" customHeight="1">
      <c r="A9" s="290" t="s">
        <v>342</v>
      </c>
      <c r="B9" s="297" t="s">
        <v>352</v>
      </c>
    </row>
    <row r="10" spans="1:4" s="12" customFormat="1" ht="15.75" customHeight="1">
      <c r="A10" s="292" t="s">
        <v>344</v>
      </c>
      <c r="B10" s="294">
        <v>46599</v>
      </c>
    </row>
    <row r="11" spans="1:4" s="12" customFormat="1" ht="15.75" customHeight="1">
      <c r="A11" s="290" t="s">
        <v>345</v>
      </c>
      <c r="B11" s="292" t="s">
        <v>353</v>
      </c>
    </row>
    <row r="12" spans="1:4" ht="15.75" customHeight="1">
      <c r="A12" s="298" t="s">
        <v>354</v>
      </c>
    </row>
  </sheetData>
  <phoneticPr fontId="12" type="noConversion"/>
  <printOptions horizontalCentered="1" headings="1" gridLines="1"/>
  <pageMargins left="0.70866141732283472" right="0.70866141732283472" top="0.74803149606299213" bottom="0.74803149606299213" header="0.31496062992125984" footer="0.31496062992125984"/>
  <pageSetup scale="78" orientation="landscape" r:id="rId1"/>
  <headerFooter>
    <oddHeader>&amp;C1632RB2二次数据汇总</oddHeader>
    <oddFooter>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98AD-681E-4082-83E4-77D504C7CDFF}">
  <dimension ref="A2:C10"/>
  <sheetViews>
    <sheetView zoomScaleNormal="100" zoomScaleSheetLayoutView="100" workbookViewId="0">
      <selection activeCell="B20" sqref="B20:C20"/>
    </sheetView>
  </sheetViews>
  <sheetFormatPr defaultColWidth="8.25" defaultRowHeight="15.75" customHeight="1"/>
  <cols>
    <col min="1" max="1" width="21.33203125" style="295" customWidth="1"/>
    <col min="2" max="2" width="33" style="295" customWidth="1"/>
    <col min="3" max="3" width="30.4140625" style="295" customWidth="1"/>
    <col min="4" max="4" width="17.58203125" style="295" customWidth="1"/>
    <col min="5" max="16384" width="8.25" style="295"/>
  </cols>
  <sheetData>
    <row r="2" spans="1:3" ht="15.75" customHeight="1">
      <c r="A2" s="295" t="s">
        <v>355</v>
      </c>
    </row>
    <row r="4" spans="1:3" ht="15.75" customHeight="1">
      <c r="A4" s="299" t="s">
        <v>356</v>
      </c>
      <c r="B4" s="299" t="s">
        <v>357</v>
      </c>
      <c r="C4" s="300" t="s">
        <v>358</v>
      </c>
    </row>
    <row r="5" spans="1:3" ht="15.75" customHeight="1">
      <c r="A5" s="32" t="s">
        <v>359</v>
      </c>
      <c r="B5" s="32" t="s">
        <v>360</v>
      </c>
      <c r="C5" s="301" t="s">
        <v>361</v>
      </c>
    </row>
    <row r="6" spans="1:3" ht="15.75" customHeight="1">
      <c r="A6" s="32" t="s">
        <v>362</v>
      </c>
      <c r="B6" s="32" t="s">
        <v>360</v>
      </c>
      <c r="C6" s="301" t="s">
        <v>361</v>
      </c>
    </row>
    <row r="7" spans="1:3" ht="15.75" customHeight="1">
      <c r="A7" s="32" t="s">
        <v>363</v>
      </c>
      <c r="B7" s="32" t="s">
        <v>360</v>
      </c>
      <c r="C7" s="301" t="s">
        <v>361</v>
      </c>
    </row>
    <row r="8" spans="1:3" ht="15.75" customHeight="1">
      <c r="A8" s="302" t="s">
        <v>364</v>
      </c>
      <c r="B8" s="32" t="s">
        <v>360</v>
      </c>
      <c r="C8" s="301" t="s">
        <v>361</v>
      </c>
    </row>
    <row r="9" spans="1:3" ht="15.75" customHeight="1">
      <c r="A9" s="32" t="s">
        <v>365</v>
      </c>
      <c r="B9" s="32" t="s">
        <v>360</v>
      </c>
      <c r="C9" s="301" t="s">
        <v>361</v>
      </c>
    </row>
    <row r="10" spans="1:3" ht="15.75" customHeight="1">
      <c r="A10" s="301" t="s">
        <v>366</v>
      </c>
      <c r="B10" s="9" t="s">
        <v>367</v>
      </c>
      <c r="C10" s="301" t="s">
        <v>361</v>
      </c>
    </row>
  </sheetData>
  <phoneticPr fontId="12" type="noConversion"/>
  <printOptions horizontalCentered="1" headings="1" gridLines="1"/>
  <pageMargins left="0.70866141732283472" right="0.70866141732283472" top="0.74803149606299213" bottom="0.74803149606299213" header="0.31496062992125984" footer="0.31496062992125984"/>
  <pageSetup scale="78" orientation="landscape" r:id="rId1"/>
  <headerFooter>
    <oddHeader>&amp;C1632RB2二次数据汇总</oddHeader>
    <oddFooter>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C498-0F03-4DEA-B922-5D1C3D133F5F}">
  <dimension ref="A1:F6"/>
  <sheetViews>
    <sheetView zoomScaleNormal="100" zoomScaleSheetLayoutView="100" workbookViewId="0">
      <selection activeCell="A4" sqref="A4:D6"/>
    </sheetView>
  </sheetViews>
  <sheetFormatPr defaultColWidth="9" defaultRowHeight="15.75" customHeight="1"/>
  <cols>
    <col min="1" max="1" width="30.75" customWidth="1"/>
    <col min="2" max="2" width="35.33203125" customWidth="1"/>
    <col min="3" max="3" width="18" customWidth="1"/>
    <col min="4" max="4" width="18.75" customWidth="1"/>
  </cols>
  <sheetData>
    <row r="1" spans="1:6" ht="15.75" customHeight="1">
      <c r="A1" s="16" t="s">
        <v>368</v>
      </c>
      <c r="B1" s="303"/>
    </row>
    <row r="3" spans="1:6" s="2" customFormat="1" ht="15.75" customHeight="1">
      <c r="A3" s="304" t="s">
        <v>369</v>
      </c>
      <c r="B3" s="304" t="s">
        <v>370</v>
      </c>
      <c r="C3" s="304" t="s">
        <v>371</v>
      </c>
      <c r="D3" s="304" t="s">
        <v>372</v>
      </c>
    </row>
    <row r="4" spans="1:6" s="2" customFormat="1" ht="15.75" customHeight="1">
      <c r="A4" s="54" t="s">
        <v>373</v>
      </c>
      <c r="B4" s="10" t="s">
        <v>374</v>
      </c>
      <c r="C4" s="6" t="s">
        <v>375</v>
      </c>
      <c r="D4" s="7">
        <v>45979</v>
      </c>
      <c r="F4" s="16"/>
    </row>
    <row r="5" spans="1:6" s="2" customFormat="1" ht="15.75" customHeight="1">
      <c r="A5" s="54" t="s">
        <v>373</v>
      </c>
      <c r="B5" s="10" t="s">
        <v>374</v>
      </c>
      <c r="C5" s="6" t="s">
        <v>376</v>
      </c>
      <c r="D5" s="7">
        <v>45897</v>
      </c>
      <c r="F5" s="16"/>
    </row>
    <row r="6" spans="1:6" ht="15.75" customHeight="1">
      <c r="A6" s="54" t="s">
        <v>377</v>
      </c>
      <c r="B6" s="10" t="s">
        <v>378</v>
      </c>
      <c r="C6" s="6" t="s">
        <v>379</v>
      </c>
      <c r="D6" s="7">
        <v>45901</v>
      </c>
    </row>
  </sheetData>
  <phoneticPr fontId="12" type="noConversion"/>
  <pageMargins left="0.7" right="0.7" top="0.75" bottom="0.75" header="0.3" footer="0.3"/>
  <pageSetup paperSize="9" scale="7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4469-7EDE-483C-8F32-D23A6021BDB3}">
  <dimension ref="A2:C14"/>
  <sheetViews>
    <sheetView zoomScaleNormal="100" zoomScaleSheetLayoutView="100" workbookViewId="0">
      <selection activeCell="A4" sqref="A4:C14"/>
    </sheetView>
  </sheetViews>
  <sheetFormatPr defaultColWidth="8.75" defaultRowHeight="15.75" customHeight="1"/>
  <cols>
    <col min="1" max="1" width="23.33203125" style="12" customWidth="1"/>
    <col min="2" max="2" width="26.08203125" style="12" customWidth="1"/>
    <col min="3" max="3" width="30.75" style="12" customWidth="1"/>
    <col min="4" max="16384" width="8.75" style="12"/>
  </cols>
  <sheetData>
    <row r="2" spans="1:3" ht="15.75" customHeight="1">
      <c r="A2" s="13" t="s">
        <v>11</v>
      </c>
    </row>
    <row r="4" spans="1:3" ht="15.75" customHeight="1">
      <c r="A4" s="14" t="s">
        <v>12</v>
      </c>
      <c r="B4" s="14" t="s">
        <v>13</v>
      </c>
      <c r="C4" s="14" t="s">
        <v>14</v>
      </c>
    </row>
    <row r="5" spans="1:3" ht="15.75" customHeight="1">
      <c r="A5" s="170" t="s">
        <v>15</v>
      </c>
      <c r="B5" s="15">
        <v>45902</v>
      </c>
      <c r="C5" s="171" t="s">
        <v>16</v>
      </c>
    </row>
    <row r="6" spans="1:3" ht="15.75" customHeight="1">
      <c r="A6" s="170"/>
      <c r="B6" s="15">
        <v>45903</v>
      </c>
      <c r="C6" s="171"/>
    </row>
    <row r="7" spans="1:3" ht="15.75" customHeight="1">
      <c r="A7" s="170"/>
      <c r="B7" s="15">
        <v>45905</v>
      </c>
      <c r="C7" s="171"/>
    </row>
    <row r="8" spans="1:3" ht="15.75" customHeight="1">
      <c r="A8" s="170"/>
      <c r="B8" s="15">
        <v>45997</v>
      </c>
      <c r="C8" s="171"/>
    </row>
    <row r="9" spans="1:3" ht="15.75" customHeight="1">
      <c r="A9" s="170"/>
      <c r="B9" s="15">
        <v>46007</v>
      </c>
      <c r="C9" s="171"/>
    </row>
    <row r="10" spans="1:3" ht="15.75" customHeight="1">
      <c r="A10" s="170" t="s">
        <v>17</v>
      </c>
      <c r="B10" s="15">
        <v>45902</v>
      </c>
      <c r="C10" s="171" t="s">
        <v>16</v>
      </c>
    </row>
    <row r="11" spans="1:3" ht="15.75" customHeight="1">
      <c r="A11" s="170"/>
      <c r="B11" s="15">
        <v>45903</v>
      </c>
      <c r="C11" s="171"/>
    </row>
    <row r="12" spans="1:3" ht="15.75" customHeight="1">
      <c r="A12" s="170"/>
      <c r="B12" s="15">
        <v>45905</v>
      </c>
      <c r="C12" s="171"/>
    </row>
    <row r="13" spans="1:3" ht="15.75" customHeight="1">
      <c r="A13" s="170"/>
      <c r="B13" s="15">
        <v>45997</v>
      </c>
      <c r="C13" s="171"/>
    </row>
    <row r="14" spans="1:3" ht="15.75" customHeight="1">
      <c r="A14" s="170"/>
      <c r="B14" s="15">
        <v>46007</v>
      </c>
      <c r="C14" s="171"/>
    </row>
  </sheetData>
  <mergeCells count="4">
    <mergeCell ref="A5:A9"/>
    <mergeCell ref="C5:C9"/>
    <mergeCell ref="A10:A14"/>
    <mergeCell ref="C10:C1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G25"/>
  <sheetViews>
    <sheetView topLeftCell="A10" zoomScaleNormal="100" zoomScaleSheetLayoutView="100" workbookViewId="0">
      <selection activeCell="A17" sqref="A17"/>
    </sheetView>
  </sheetViews>
  <sheetFormatPr defaultColWidth="8.75" defaultRowHeight="15.75" customHeight="1"/>
  <cols>
    <col min="1" max="1" width="7.75" style="2" customWidth="1"/>
    <col min="2" max="2" width="48.4140625" style="2" customWidth="1"/>
    <col min="3" max="4" width="12.25" style="2" customWidth="1"/>
    <col min="5" max="5" width="13.75" style="39" customWidth="1"/>
    <col min="6" max="6" width="13.08203125" style="2" customWidth="1"/>
    <col min="7" max="7" width="9.58203125" style="2" bestFit="1" customWidth="1"/>
    <col min="8" max="16384" width="8.75" style="2"/>
  </cols>
  <sheetData>
    <row r="2" spans="1:6" ht="15.75" customHeight="1">
      <c r="A2" s="172" t="s">
        <v>6</v>
      </c>
      <c r="B2" s="172"/>
      <c r="C2" s="1"/>
    </row>
    <row r="3" spans="1:6" ht="15.75" customHeight="1">
      <c r="A3" s="47"/>
    </row>
    <row r="4" spans="1:6" s="12" customFormat="1" ht="15.75" customHeight="1">
      <c r="A4" s="6" t="s">
        <v>76</v>
      </c>
      <c r="B4" s="6" t="s">
        <v>97</v>
      </c>
      <c r="C4" s="6" t="s">
        <v>98</v>
      </c>
      <c r="D4" s="6" t="s">
        <v>79</v>
      </c>
      <c r="E4" s="6" t="s">
        <v>99</v>
      </c>
      <c r="F4" s="3" t="s">
        <v>100</v>
      </c>
    </row>
    <row r="5" spans="1:6" s="12" customFormat="1" ht="30">
      <c r="A5" s="48">
        <v>1</v>
      </c>
      <c r="B5" s="9" t="s">
        <v>101</v>
      </c>
      <c r="C5" s="7">
        <v>45902</v>
      </c>
      <c r="D5" s="7">
        <v>45902</v>
      </c>
      <c r="E5" s="6" t="s">
        <v>8</v>
      </c>
      <c r="F5" s="3" t="s">
        <v>43</v>
      </c>
    </row>
    <row r="6" spans="1:6" s="12" customFormat="1" ht="27.5">
      <c r="A6" s="48">
        <v>2</v>
      </c>
      <c r="B6" s="8" t="s">
        <v>44</v>
      </c>
      <c r="C6" s="7">
        <v>45903</v>
      </c>
      <c r="D6" s="7">
        <v>45903</v>
      </c>
      <c r="E6" s="6" t="s">
        <v>8</v>
      </c>
      <c r="F6" s="3" t="s">
        <v>43</v>
      </c>
    </row>
    <row r="7" spans="1:6" s="12" customFormat="1" ht="58">
      <c r="A7" s="48">
        <v>3</v>
      </c>
      <c r="B7" s="8" t="s">
        <v>70</v>
      </c>
      <c r="C7" s="7">
        <v>45905</v>
      </c>
      <c r="D7" s="7">
        <v>45905</v>
      </c>
      <c r="E7" s="6" t="s">
        <v>8</v>
      </c>
      <c r="F7" s="3" t="s">
        <v>43</v>
      </c>
    </row>
    <row r="8" spans="1:6" s="12" customFormat="1" ht="15.5">
      <c r="A8" s="48">
        <v>4</v>
      </c>
      <c r="B8" s="9" t="s">
        <v>45</v>
      </c>
      <c r="C8" s="7">
        <v>45905</v>
      </c>
      <c r="D8" s="7">
        <v>45906</v>
      </c>
      <c r="E8" s="10" t="s">
        <v>102</v>
      </c>
      <c r="F8" s="3" t="s">
        <v>43</v>
      </c>
    </row>
    <row r="9" spans="1:6" s="12" customFormat="1" ht="15.5">
      <c r="A9" s="48">
        <v>5</v>
      </c>
      <c r="B9" s="9" t="s">
        <v>46</v>
      </c>
      <c r="C9" s="7">
        <v>45905</v>
      </c>
      <c r="D9" s="7">
        <v>45906</v>
      </c>
      <c r="E9" s="10" t="s">
        <v>102</v>
      </c>
      <c r="F9" s="3" t="s">
        <v>43</v>
      </c>
    </row>
    <row r="10" spans="1:6" s="12" customFormat="1" ht="29.5">
      <c r="A10" s="48">
        <v>6</v>
      </c>
      <c r="B10" s="8" t="s">
        <v>47</v>
      </c>
      <c r="C10" s="7">
        <v>45903</v>
      </c>
      <c r="D10" s="7">
        <v>45906</v>
      </c>
      <c r="E10" s="6" t="s">
        <v>8</v>
      </c>
      <c r="F10" s="3" t="s">
        <v>43</v>
      </c>
    </row>
    <row r="11" spans="1:6" s="12" customFormat="1" ht="15.5">
      <c r="A11" s="48">
        <v>7</v>
      </c>
      <c r="B11" s="9" t="s">
        <v>71</v>
      </c>
      <c r="C11" s="7">
        <v>45989</v>
      </c>
      <c r="D11" s="7">
        <v>45990</v>
      </c>
      <c r="E11" s="10" t="s">
        <v>102</v>
      </c>
      <c r="F11" s="3" t="s">
        <v>43</v>
      </c>
    </row>
    <row r="12" spans="1:6" s="12" customFormat="1" ht="27">
      <c r="A12" s="48">
        <v>8</v>
      </c>
      <c r="B12" s="9" t="s">
        <v>37</v>
      </c>
      <c r="C12" s="7">
        <v>45997</v>
      </c>
      <c r="D12" s="7">
        <v>45998</v>
      </c>
      <c r="E12" s="6" t="s">
        <v>8</v>
      </c>
      <c r="F12" s="3" t="s">
        <v>43</v>
      </c>
    </row>
    <row r="13" spans="1:6" s="12" customFormat="1" ht="28.5">
      <c r="A13" s="48">
        <v>9</v>
      </c>
      <c r="B13" s="8" t="s">
        <v>171</v>
      </c>
      <c r="C13" s="7">
        <v>46007</v>
      </c>
      <c r="D13" s="7">
        <v>46007</v>
      </c>
      <c r="E13" s="6" t="s">
        <v>8</v>
      </c>
      <c r="F13" s="3" t="s">
        <v>43</v>
      </c>
    </row>
    <row r="14" spans="1:6" ht="15.75" customHeight="1">
      <c r="A14" s="19" t="s">
        <v>103</v>
      </c>
    </row>
    <row r="15" spans="1:6" s="12" customFormat="1" ht="15.75" customHeight="1">
      <c r="A15" s="11" t="s">
        <v>48</v>
      </c>
    </row>
    <row r="16" spans="1:6" s="12" customFormat="1" ht="15.75" customHeight="1">
      <c r="A16" s="11" t="s">
        <v>33</v>
      </c>
    </row>
    <row r="17" spans="1:7" ht="15.75" customHeight="1">
      <c r="A17" s="11" t="s">
        <v>49</v>
      </c>
      <c r="B17" s="16"/>
      <c r="C17" s="16"/>
      <c r="D17" s="16"/>
      <c r="E17" s="16"/>
    </row>
    <row r="22" spans="1:7" ht="15.75" customHeight="1">
      <c r="G22" s="49"/>
    </row>
    <row r="24" spans="1:7" ht="15.75" customHeight="1">
      <c r="D24" s="12"/>
      <c r="E24" s="12"/>
      <c r="F24" s="12"/>
    </row>
    <row r="25" spans="1:7" ht="15.75" customHeight="1">
      <c r="D25" s="12"/>
      <c r="E25" s="12"/>
      <c r="F25" s="12"/>
    </row>
  </sheetData>
  <mergeCells count="1">
    <mergeCell ref="A2:B2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79" orientation="portrait" r:id="rId1"/>
  <headerFooter>
    <oddHeader>&amp;C 1632MV7生物分析方法学验证数据</oddHeader>
    <oddFooter>&amp;C第&amp;P页，共&amp;N页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4B67-A1A6-42CE-BB69-FA8487D26E2F}">
  <dimension ref="A2:D14"/>
  <sheetViews>
    <sheetView zoomScaleNormal="100" zoomScaleSheetLayoutView="85" workbookViewId="0">
      <selection activeCell="A6" sqref="A6:D14"/>
    </sheetView>
  </sheetViews>
  <sheetFormatPr defaultColWidth="8.75" defaultRowHeight="15.75" customHeight="1"/>
  <cols>
    <col min="1" max="4" width="17.4140625" style="12" customWidth="1"/>
    <col min="5" max="5" width="17.58203125" style="12" customWidth="1"/>
    <col min="6" max="16384" width="8.75" style="12"/>
  </cols>
  <sheetData>
    <row r="2" spans="1:4" ht="15.75" customHeight="1">
      <c r="A2" s="173" t="s">
        <v>94</v>
      </c>
      <c r="B2" s="174"/>
      <c r="C2" s="174"/>
    </row>
    <row r="4" spans="1:4" ht="15.75" customHeight="1">
      <c r="A4" s="175" t="s">
        <v>76</v>
      </c>
      <c r="B4" s="176" t="s">
        <v>7</v>
      </c>
      <c r="C4" s="177"/>
      <c r="D4" s="178"/>
    </row>
    <row r="5" spans="1:4" ht="15.75" customHeight="1">
      <c r="A5" s="175"/>
      <c r="B5" s="6" t="s">
        <v>95</v>
      </c>
      <c r="C5" s="6" t="s">
        <v>96</v>
      </c>
      <c r="D5" s="6" t="s">
        <v>35</v>
      </c>
    </row>
    <row r="6" spans="1:4" ht="15.75" customHeight="1">
      <c r="A6" s="3">
        <v>1</v>
      </c>
      <c r="B6" s="37">
        <v>0.4</v>
      </c>
      <c r="C6" s="37">
        <v>0.4</v>
      </c>
      <c r="D6" s="37">
        <v>8</v>
      </c>
    </row>
    <row r="7" spans="1:4" ht="15.75" customHeight="1">
      <c r="A7" s="3">
        <v>2</v>
      </c>
      <c r="B7" s="37">
        <v>0</v>
      </c>
      <c r="C7" s="37">
        <v>0.4</v>
      </c>
      <c r="D7" s="37">
        <v>2.1</v>
      </c>
    </row>
    <row r="8" spans="1:4" ht="15.75" customHeight="1">
      <c r="A8" s="3">
        <v>3</v>
      </c>
      <c r="B8" s="37">
        <v>0.4</v>
      </c>
      <c r="C8" s="37">
        <v>0</v>
      </c>
      <c r="D8" s="37">
        <v>3.1</v>
      </c>
    </row>
    <row r="9" spans="1:4" ht="15.75" customHeight="1">
      <c r="A9" s="3">
        <v>4</v>
      </c>
      <c r="B9" s="37">
        <v>0.4</v>
      </c>
      <c r="C9" s="37">
        <v>0.4</v>
      </c>
      <c r="D9" s="37">
        <v>3.5</v>
      </c>
    </row>
    <row r="10" spans="1:4" ht="15.75" customHeight="1">
      <c r="A10" s="3">
        <v>5</v>
      </c>
      <c r="B10" s="37">
        <v>0.4</v>
      </c>
      <c r="C10" s="37">
        <v>0.4</v>
      </c>
      <c r="D10" s="37">
        <v>8</v>
      </c>
    </row>
    <row r="11" spans="1:4" ht="15.75" customHeight="1">
      <c r="A11" s="3">
        <v>6</v>
      </c>
      <c r="B11" s="37">
        <v>0.4</v>
      </c>
      <c r="C11" s="37">
        <v>0.4</v>
      </c>
      <c r="D11" s="37">
        <v>2.9</v>
      </c>
    </row>
    <row r="12" spans="1:4" ht="15.75" customHeight="1">
      <c r="A12" s="3">
        <v>7</v>
      </c>
      <c r="B12" s="37">
        <v>0.4</v>
      </c>
      <c r="C12" s="37">
        <v>0</v>
      </c>
      <c r="D12" s="37">
        <v>3.6</v>
      </c>
    </row>
    <row r="13" spans="1:4" ht="15.75" customHeight="1">
      <c r="A13" s="3">
        <v>8</v>
      </c>
      <c r="B13" s="37">
        <v>0</v>
      </c>
      <c r="C13" s="37">
        <v>0</v>
      </c>
      <c r="D13" s="37">
        <v>2.7</v>
      </c>
    </row>
    <row r="14" spans="1:4" ht="15.75" customHeight="1">
      <c r="A14" s="3">
        <v>9</v>
      </c>
      <c r="B14" s="37">
        <v>0.4</v>
      </c>
      <c r="C14" s="37">
        <v>0.4</v>
      </c>
      <c r="D14" s="37">
        <v>4.5999999999999996</v>
      </c>
    </row>
  </sheetData>
  <mergeCells count="3">
    <mergeCell ref="A2:C2"/>
    <mergeCell ref="A4:A5"/>
    <mergeCell ref="B4:D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2F20-7664-48B5-B0D9-3974F0F8F2A3}">
  <dimension ref="A2:I17"/>
  <sheetViews>
    <sheetView zoomScale="70" zoomScaleNormal="70" zoomScaleSheetLayoutView="70" workbookViewId="0">
      <selection activeCell="A17" sqref="A17"/>
    </sheetView>
  </sheetViews>
  <sheetFormatPr defaultColWidth="8.75" defaultRowHeight="15.75" customHeight="1"/>
  <cols>
    <col min="1" max="1" width="9.75" style="2" customWidth="1"/>
    <col min="2" max="2" width="15.08203125" style="2" customWidth="1"/>
    <col min="3" max="3" width="14.75" style="2" customWidth="1"/>
    <col min="4" max="6" width="11.08203125" style="2" customWidth="1"/>
    <col min="7" max="7" width="15" style="2" customWidth="1"/>
    <col min="8" max="8" width="9.75" style="2" customWidth="1"/>
    <col min="9" max="9" width="11.75" style="2" customWidth="1"/>
    <col min="10" max="10" width="11.08203125" style="2" customWidth="1"/>
    <col min="11" max="16384" width="8.75" style="2"/>
  </cols>
  <sheetData>
    <row r="2" spans="1:9" s="12" customFormat="1" ht="15.75" customHeight="1">
      <c r="A2" s="183" t="s">
        <v>87</v>
      </c>
      <c r="B2" s="184"/>
      <c r="C2" s="184"/>
    </row>
    <row r="3" spans="1:9" s="12" customFormat="1" ht="15.75" customHeight="1">
      <c r="A3" s="19"/>
      <c r="B3" s="19"/>
      <c r="C3" s="19"/>
    </row>
    <row r="4" spans="1:9" ht="15.75" customHeight="1">
      <c r="A4" s="6" t="s">
        <v>81</v>
      </c>
      <c r="B4" s="6" t="s">
        <v>88</v>
      </c>
      <c r="C4" s="6" t="s">
        <v>89</v>
      </c>
      <c r="D4" s="6" t="s">
        <v>90</v>
      </c>
      <c r="E4" s="6" t="s">
        <v>91</v>
      </c>
      <c r="F4" s="54" t="s">
        <v>92</v>
      </c>
      <c r="G4" s="6" t="s">
        <v>93</v>
      </c>
      <c r="H4" s="6" t="s">
        <v>18</v>
      </c>
      <c r="I4" s="6" t="s">
        <v>19</v>
      </c>
    </row>
    <row r="5" spans="1:9" ht="15.75" customHeight="1">
      <c r="A5" s="179" t="s">
        <v>50</v>
      </c>
      <c r="B5" s="6">
        <v>1820</v>
      </c>
      <c r="C5" s="6">
        <v>1059</v>
      </c>
      <c r="D5" s="55">
        <v>9767</v>
      </c>
      <c r="E5" s="55">
        <v>216407</v>
      </c>
      <c r="F5" s="181">
        <f>ROUND(AVERAGE(D5:D6),0)</f>
        <v>9166</v>
      </c>
      <c r="G5" s="179">
        <f>ROUND(AVERAGE(E5:E6),0)</f>
        <v>211334</v>
      </c>
      <c r="H5" s="56">
        <f>ROUND(B5/F5*100,1)</f>
        <v>19.899999999999999</v>
      </c>
      <c r="I5" s="56">
        <f>ROUND(C5/G5*100,1)</f>
        <v>0.5</v>
      </c>
    </row>
    <row r="6" spans="1:9" ht="15.75" customHeight="1">
      <c r="A6" s="180"/>
      <c r="B6" s="6">
        <v>1861</v>
      </c>
      <c r="C6" s="6">
        <v>442</v>
      </c>
      <c r="D6" s="55">
        <v>8565</v>
      </c>
      <c r="E6" s="55">
        <v>206261</v>
      </c>
      <c r="F6" s="182"/>
      <c r="G6" s="180"/>
      <c r="H6" s="56">
        <f>ROUND(B6/F5*100,1)</f>
        <v>20.3</v>
      </c>
      <c r="I6" s="56">
        <f>ROUND(C6/G5*100,1)</f>
        <v>0.2</v>
      </c>
    </row>
    <row r="7" spans="1:9" ht="15.75" customHeight="1">
      <c r="A7" s="179" t="s">
        <v>51</v>
      </c>
      <c r="B7" s="6">
        <v>1908</v>
      </c>
      <c r="C7" s="6">
        <v>1148</v>
      </c>
      <c r="D7" s="6">
        <v>8364</v>
      </c>
      <c r="E7" s="6">
        <v>201383</v>
      </c>
      <c r="F7" s="181">
        <f>ROUND(AVERAGE(D7:D8),0)</f>
        <v>8432</v>
      </c>
      <c r="G7" s="179">
        <f>ROUND(AVERAGE(E7:E8),0)</f>
        <v>202109</v>
      </c>
      <c r="H7" s="56">
        <f>ROUND(B7/F7*100,1)</f>
        <v>22.6</v>
      </c>
      <c r="I7" s="56">
        <f>ROUND(C7/G7*100,1)</f>
        <v>0.6</v>
      </c>
    </row>
    <row r="8" spans="1:9" ht="15.75" customHeight="1">
      <c r="A8" s="180"/>
      <c r="B8" s="6">
        <v>2102</v>
      </c>
      <c r="C8" s="6">
        <v>1127</v>
      </c>
      <c r="D8" s="6">
        <v>8500</v>
      </c>
      <c r="E8" s="6">
        <v>202834</v>
      </c>
      <c r="F8" s="182"/>
      <c r="G8" s="180"/>
      <c r="H8" s="56">
        <f>ROUND(B8/F7*100,1)</f>
        <v>24.9</v>
      </c>
      <c r="I8" s="56">
        <f>ROUND(C8/G7*100,1)</f>
        <v>0.6</v>
      </c>
    </row>
    <row r="9" spans="1:9" ht="15.75" customHeight="1">
      <c r="A9" s="179" t="s">
        <v>52</v>
      </c>
      <c r="B9" s="6">
        <v>1505</v>
      </c>
      <c r="C9" s="6">
        <v>755</v>
      </c>
      <c r="D9" s="6">
        <v>6009</v>
      </c>
      <c r="E9" s="6">
        <v>184405</v>
      </c>
      <c r="F9" s="181">
        <f>ROUND(AVERAGE(D9:D10),0)</f>
        <v>7107</v>
      </c>
      <c r="G9" s="179">
        <f>ROUND(AVERAGE(E9:E10),0)</f>
        <v>187443</v>
      </c>
      <c r="H9" s="56">
        <f>ROUND(B9/F9*100,1)</f>
        <v>21.2</v>
      </c>
      <c r="I9" s="56">
        <f>ROUND(C9/G9*100,1)</f>
        <v>0.4</v>
      </c>
    </row>
    <row r="10" spans="1:9" ht="15.75" customHeight="1">
      <c r="A10" s="180"/>
      <c r="B10" s="6">
        <v>1269</v>
      </c>
      <c r="C10" s="6">
        <v>473</v>
      </c>
      <c r="D10" s="6">
        <v>8205</v>
      </c>
      <c r="E10" s="6">
        <v>190481</v>
      </c>
      <c r="F10" s="182"/>
      <c r="G10" s="180"/>
      <c r="H10" s="56">
        <f>ROUND(B10/F9*100,1)</f>
        <v>17.899999999999999</v>
      </c>
      <c r="I10" s="56">
        <f>ROUND(C10/G9*100,1)</f>
        <v>0.3</v>
      </c>
    </row>
    <row r="11" spans="1:9" ht="15.75" customHeight="1">
      <c r="A11" s="179">
        <v>6</v>
      </c>
      <c r="B11" s="6">
        <v>1046</v>
      </c>
      <c r="C11" s="6">
        <v>816</v>
      </c>
      <c r="D11" s="6">
        <v>8038</v>
      </c>
      <c r="E11" s="6">
        <v>197501</v>
      </c>
      <c r="F11" s="181">
        <f>ROUND(AVERAGE(D11:D12),0)</f>
        <v>7798</v>
      </c>
      <c r="G11" s="179">
        <f>ROUND(AVERAGE(E11:E12),0)</f>
        <v>191939</v>
      </c>
      <c r="H11" s="56">
        <f>ROUND(B11/F11*100,1)</f>
        <v>13.4</v>
      </c>
      <c r="I11" s="56">
        <f>ROUND(C11/G11*100,1)</f>
        <v>0.4</v>
      </c>
    </row>
    <row r="12" spans="1:9" ht="15.75" customHeight="1">
      <c r="A12" s="180"/>
      <c r="B12" s="6">
        <v>1061</v>
      </c>
      <c r="C12" s="6">
        <v>1410</v>
      </c>
      <c r="D12" s="6">
        <v>7558</v>
      </c>
      <c r="E12" s="6">
        <v>186377</v>
      </c>
      <c r="F12" s="182"/>
      <c r="G12" s="180"/>
      <c r="H12" s="56">
        <f>ROUND(B12/F11*100,1)</f>
        <v>13.6</v>
      </c>
      <c r="I12" s="56">
        <f>ROUND(C12/G11*100,1)</f>
        <v>0.7</v>
      </c>
    </row>
    <row r="13" spans="1:9" ht="15.75" customHeight="1">
      <c r="A13" s="179" t="s">
        <v>54</v>
      </c>
      <c r="B13" s="6">
        <v>1671</v>
      </c>
      <c r="C13" s="6">
        <v>854</v>
      </c>
      <c r="D13" s="6">
        <v>5403</v>
      </c>
      <c r="E13" s="6">
        <v>177695</v>
      </c>
      <c r="F13" s="181">
        <f>ROUND(AVERAGE(D13:D14),0)</f>
        <v>6361</v>
      </c>
      <c r="G13" s="179">
        <f>ROUND(AVERAGE(E13:E14),0)</f>
        <v>183238</v>
      </c>
      <c r="H13" s="56">
        <f>ROUND(B13/F13*100,1)</f>
        <v>26.3</v>
      </c>
      <c r="I13" s="56">
        <f>ROUND(C13/G13*100,1)</f>
        <v>0.5</v>
      </c>
    </row>
    <row r="14" spans="1:9" ht="15.75" customHeight="1">
      <c r="A14" s="180"/>
      <c r="B14" s="6">
        <v>1723</v>
      </c>
      <c r="C14" s="6">
        <v>795</v>
      </c>
      <c r="D14" s="6">
        <v>7318</v>
      </c>
      <c r="E14" s="6">
        <v>188781</v>
      </c>
      <c r="F14" s="182"/>
      <c r="G14" s="180"/>
      <c r="H14" s="56">
        <f>ROUND(B14/F13*100,1)</f>
        <v>27.1</v>
      </c>
      <c r="I14" s="56">
        <f>ROUND(C14/G13*100,1)</f>
        <v>0.4</v>
      </c>
    </row>
    <row r="15" spans="1:9" ht="15.75" customHeight="1">
      <c r="A15" s="179">
        <v>9</v>
      </c>
      <c r="B15" s="6">
        <v>1483</v>
      </c>
      <c r="C15" s="6">
        <v>975</v>
      </c>
      <c r="D15" s="6">
        <v>8279</v>
      </c>
      <c r="E15" s="6">
        <v>194051</v>
      </c>
      <c r="F15" s="181">
        <f>ROUND(AVERAGE(D15:D16),0)</f>
        <v>8107</v>
      </c>
      <c r="G15" s="179">
        <f>ROUND(AVERAGE(E15:E16),0)</f>
        <v>202454</v>
      </c>
      <c r="H15" s="56">
        <f>ROUND(B15/F15*100,1)</f>
        <v>18.3</v>
      </c>
      <c r="I15" s="56">
        <f>ROUND(C15/G15*100,1)</f>
        <v>0.5</v>
      </c>
    </row>
    <row r="16" spans="1:9" ht="15.75" customHeight="1">
      <c r="A16" s="180"/>
      <c r="B16" s="6">
        <v>0</v>
      </c>
      <c r="C16" s="6">
        <v>1175</v>
      </c>
      <c r="D16" s="6">
        <v>7935</v>
      </c>
      <c r="E16" s="6">
        <v>210857</v>
      </c>
      <c r="F16" s="182"/>
      <c r="G16" s="180"/>
      <c r="H16" s="56">
        <f>ROUND(B16/F15*100,1)</f>
        <v>0</v>
      </c>
      <c r="I16" s="56">
        <f>ROUND(C16/G15*100,1)</f>
        <v>0.6</v>
      </c>
    </row>
    <row r="17" spans="1:5" ht="15.75" customHeight="1">
      <c r="A17" s="57" t="s">
        <v>53</v>
      </c>
      <c r="D17" s="58"/>
      <c r="E17" s="58"/>
    </row>
  </sheetData>
  <mergeCells count="19">
    <mergeCell ref="A15:A16"/>
    <mergeCell ref="F15:F16"/>
    <mergeCell ref="G15:G16"/>
    <mergeCell ref="A13:A14"/>
    <mergeCell ref="F13:F14"/>
    <mergeCell ref="G13:G14"/>
    <mergeCell ref="A2:C2"/>
    <mergeCell ref="F5:F6"/>
    <mergeCell ref="G5:G6"/>
    <mergeCell ref="F7:F8"/>
    <mergeCell ref="G7:G8"/>
    <mergeCell ref="A5:A6"/>
    <mergeCell ref="A7:A8"/>
    <mergeCell ref="A11:A12"/>
    <mergeCell ref="F11:F12"/>
    <mergeCell ref="G11:G12"/>
    <mergeCell ref="F9:F10"/>
    <mergeCell ref="G9:G10"/>
    <mergeCell ref="A9:A10"/>
  </mergeCells>
  <phoneticPr fontId="12" type="noConversion"/>
  <pageMargins left="0.7" right="0.7" top="0.75" bottom="0.75" header="0.3" footer="0.3"/>
  <pageSetup paperSize="9" scale="66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7DC3-244D-4B02-BF26-25B7A0F8400F}">
  <sheetPr>
    <pageSetUpPr fitToPage="1"/>
  </sheetPr>
  <dimension ref="A2:H22"/>
  <sheetViews>
    <sheetView zoomScaleNormal="100" zoomScaleSheetLayoutView="100" workbookViewId="0">
      <selection activeCell="A4" sqref="A4:H17"/>
    </sheetView>
  </sheetViews>
  <sheetFormatPr defaultColWidth="8.75" defaultRowHeight="15.75" customHeight="1"/>
  <cols>
    <col min="1" max="1" width="8.75" style="76" customWidth="1"/>
    <col min="2" max="2" width="35.75" style="76" customWidth="1"/>
    <col min="3" max="3" width="10.33203125" style="76" customWidth="1"/>
    <col min="4" max="4" width="25.08203125" style="76" customWidth="1"/>
    <col min="5" max="6" width="10.33203125" style="76" customWidth="1"/>
    <col min="7" max="7" width="28.75" style="76" customWidth="1"/>
    <col min="8" max="8" width="10.33203125" style="76" customWidth="1"/>
    <col min="9" max="16384" width="8.75" style="76"/>
  </cols>
  <sheetData>
    <row r="2" spans="1:8" ht="15.75" customHeight="1">
      <c r="A2" s="190" t="s">
        <v>202</v>
      </c>
      <c r="B2" s="190"/>
      <c r="C2" s="190"/>
    </row>
    <row r="3" spans="1:8" ht="15.75" customHeight="1">
      <c r="A3" s="77"/>
      <c r="B3" s="77"/>
      <c r="C3" s="77"/>
    </row>
    <row r="4" spans="1:8" ht="15.75" customHeight="1">
      <c r="A4" s="191" t="s">
        <v>203</v>
      </c>
      <c r="B4" s="187"/>
      <c r="C4" s="187"/>
      <c r="D4" s="187"/>
      <c r="E4" s="187"/>
      <c r="F4" s="187"/>
      <c r="G4" s="187"/>
      <c r="H4" s="188"/>
    </row>
    <row r="5" spans="1:8" ht="15.75" customHeight="1">
      <c r="A5" s="189" t="s">
        <v>204</v>
      </c>
      <c r="B5" s="189" t="s">
        <v>205</v>
      </c>
      <c r="C5" s="189" t="s">
        <v>206</v>
      </c>
      <c r="D5" s="189"/>
      <c r="E5" s="189"/>
      <c r="F5" s="189" t="s">
        <v>207</v>
      </c>
      <c r="G5" s="189"/>
      <c r="H5" s="189"/>
    </row>
    <row r="6" spans="1:8" ht="15.75" customHeight="1">
      <c r="A6" s="189"/>
      <c r="B6" s="189"/>
      <c r="C6" s="65" t="s">
        <v>208</v>
      </c>
      <c r="D6" s="78" t="s">
        <v>400</v>
      </c>
      <c r="E6" s="65" t="s">
        <v>209</v>
      </c>
      <c r="F6" s="65" t="s">
        <v>208</v>
      </c>
      <c r="G6" s="78" t="s">
        <v>413</v>
      </c>
      <c r="H6" s="65" t="s">
        <v>209</v>
      </c>
    </row>
    <row r="7" spans="1:8" ht="15.75" customHeight="1">
      <c r="A7" s="65" t="s">
        <v>210</v>
      </c>
      <c r="B7" s="79" t="s">
        <v>211</v>
      </c>
      <c r="C7" s="80">
        <v>728</v>
      </c>
      <c r="D7" s="185">
        <v>8432</v>
      </c>
      <c r="E7" s="75">
        <f>ROUND(C7/$D$7*100,1)</f>
        <v>8.6</v>
      </c>
      <c r="F7" s="80">
        <v>658</v>
      </c>
      <c r="G7" s="185">
        <v>202109</v>
      </c>
      <c r="H7" s="75">
        <f>ROUND(F7/$G$7*100,1)</f>
        <v>0.3</v>
      </c>
    </row>
    <row r="8" spans="1:8" ht="15.75" customHeight="1">
      <c r="A8" s="65" t="s">
        <v>212</v>
      </c>
      <c r="B8" s="79" t="s">
        <v>213</v>
      </c>
      <c r="C8" s="80">
        <v>419</v>
      </c>
      <c r="D8" s="185"/>
      <c r="E8" s="75">
        <f>ROUND(C8/$D$7*100,1)</f>
        <v>5</v>
      </c>
      <c r="F8" s="80">
        <v>565</v>
      </c>
      <c r="G8" s="185"/>
      <c r="H8" s="75">
        <f t="shared" ref="H8:H12" si="0">ROUND(F8/$G$7*100,1)</f>
        <v>0.3</v>
      </c>
    </row>
    <row r="9" spans="1:8" ht="15.75" customHeight="1">
      <c r="A9" s="65" t="s">
        <v>214</v>
      </c>
      <c r="B9" s="79" t="s">
        <v>215</v>
      </c>
      <c r="C9" s="80">
        <v>0</v>
      </c>
      <c r="D9" s="185"/>
      <c r="E9" s="75">
        <f t="shared" ref="E9:E12" si="1">ROUND(C9/$D$7*100,1)</f>
        <v>0</v>
      </c>
      <c r="F9" s="80">
        <v>274</v>
      </c>
      <c r="G9" s="185"/>
      <c r="H9" s="75">
        <f t="shared" si="0"/>
        <v>0.1</v>
      </c>
    </row>
    <row r="10" spans="1:8" ht="15.75" customHeight="1">
      <c r="A10" s="65" t="s">
        <v>216</v>
      </c>
      <c r="B10" s="79" t="s">
        <v>217</v>
      </c>
      <c r="C10" s="80">
        <v>722</v>
      </c>
      <c r="D10" s="185"/>
      <c r="E10" s="75">
        <f t="shared" si="1"/>
        <v>8.6</v>
      </c>
      <c r="F10" s="80">
        <v>408</v>
      </c>
      <c r="G10" s="185"/>
      <c r="H10" s="75">
        <f t="shared" si="0"/>
        <v>0.2</v>
      </c>
    </row>
    <row r="11" spans="1:8" ht="15.75" customHeight="1">
      <c r="A11" s="65" t="s">
        <v>218</v>
      </c>
      <c r="B11" s="79" t="s">
        <v>219</v>
      </c>
      <c r="C11" s="80">
        <v>0</v>
      </c>
      <c r="D11" s="185"/>
      <c r="E11" s="75">
        <f t="shared" si="1"/>
        <v>0</v>
      </c>
      <c r="F11" s="80">
        <v>0</v>
      </c>
      <c r="G11" s="185"/>
      <c r="H11" s="75">
        <f t="shared" si="0"/>
        <v>0</v>
      </c>
    </row>
    <row r="12" spans="1:8" ht="15.75" customHeight="1">
      <c r="A12" s="65" t="s">
        <v>220</v>
      </c>
      <c r="B12" s="79" t="s">
        <v>221</v>
      </c>
      <c r="C12" s="80">
        <v>283</v>
      </c>
      <c r="D12" s="185"/>
      <c r="E12" s="75">
        <f t="shared" si="1"/>
        <v>3.4</v>
      </c>
      <c r="F12" s="80">
        <v>789</v>
      </c>
      <c r="G12" s="185"/>
      <c r="H12" s="75">
        <f t="shared" si="0"/>
        <v>0.4</v>
      </c>
    </row>
    <row r="13" spans="1:8" ht="15.75" customHeight="1">
      <c r="D13" s="81"/>
    </row>
    <row r="14" spans="1:8" ht="15.75" customHeight="1">
      <c r="A14" s="186" t="s">
        <v>222</v>
      </c>
      <c r="B14" s="187"/>
      <c r="C14" s="187"/>
      <c r="D14" s="187"/>
      <c r="E14" s="187"/>
      <c r="F14" s="187"/>
      <c r="G14" s="187"/>
      <c r="H14" s="188"/>
    </row>
    <row r="15" spans="1:8" ht="15.75" customHeight="1">
      <c r="A15" s="189" t="s">
        <v>204</v>
      </c>
      <c r="B15" s="189" t="s">
        <v>205</v>
      </c>
      <c r="C15" s="189" t="s">
        <v>206</v>
      </c>
      <c r="D15" s="189"/>
      <c r="E15" s="189"/>
      <c r="F15" s="189" t="s">
        <v>207</v>
      </c>
      <c r="G15" s="189"/>
      <c r="H15" s="189"/>
    </row>
    <row r="16" spans="1:8" ht="15.75" customHeight="1">
      <c r="A16" s="189"/>
      <c r="B16" s="189"/>
      <c r="C16" s="65" t="s">
        <v>208</v>
      </c>
      <c r="D16" s="65" t="s">
        <v>400</v>
      </c>
      <c r="E16" s="65" t="s">
        <v>223</v>
      </c>
      <c r="F16" s="65" t="s">
        <v>208</v>
      </c>
      <c r="G16" s="65" t="s">
        <v>413</v>
      </c>
      <c r="H16" s="65" t="s">
        <v>209</v>
      </c>
    </row>
    <row r="17" spans="1:8" ht="15.75" customHeight="1">
      <c r="A17" s="82" t="s">
        <v>224</v>
      </c>
      <c r="B17" s="79" t="s">
        <v>225</v>
      </c>
      <c r="C17" s="63">
        <v>331</v>
      </c>
      <c r="D17" s="65">
        <v>7107</v>
      </c>
      <c r="E17" s="75">
        <f>ROUND(C17/D17*100,1)</f>
        <v>4.7</v>
      </c>
      <c r="F17" s="63">
        <v>900</v>
      </c>
      <c r="G17" s="65">
        <v>187443</v>
      </c>
      <c r="H17" s="75">
        <f>ROUND(F17/G17*100,1)</f>
        <v>0.5</v>
      </c>
    </row>
    <row r="20" spans="1:8" ht="15.75" customHeight="1">
      <c r="D20" s="83"/>
    </row>
    <row r="21" spans="1:8" ht="15.75" customHeight="1">
      <c r="D21" s="83"/>
    </row>
    <row r="22" spans="1:8" ht="15.75" customHeight="1">
      <c r="D22" s="83"/>
    </row>
  </sheetData>
  <mergeCells count="13">
    <mergeCell ref="A2:C2"/>
    <mergeCell ref="A4:H4"/>
    <mergeCell ref="A5:A6"/>
    <mergeCell ref="B5:B6"/>
    <mergeCell ref="C5:E5"/>
    <mergeCell ref="F5:H5"/>
    <mergeCell ref="D7:D12"/>
    <mergeCell ref="G7:G12"/>
    <mergeCell ref="A14:H14"/>
    <mergeCell ref="A15:A16"/>
    <mergeCell ref="B15:B16"/>
    <mergeCell ref="C15:E15"/>
    <mergeCell ref="F15:H15"/>
  </mergeCells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scale="60" orientation="portrait" r:id="rId1"/>
  <headerFooter>
    <oddHeader>&amp;C 1632MV7生物分析方法学验证数据</oddHeader>
    <oddFooter>&amp;C第&amp;P页，共&amp;N页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B4A3-7154-4126-96D1-1B311E31B14F}">
  <sheetPr>
    <pageSetUpPr fitToPage="1"/>
  </sheetPr>
  <dimension ref="A2:S18"/>
  <sheetViews>
    <sheetView zoomScaleNormal="100" zoomScaleSheetLayoutView="100" workbookViewId="0">
      <selection activeCell="A4" sqref="A4:F16"/>
    </sheetView>
  </sheetViews>
  <sheetFormatPr defaultColWidth="8.75" defaultRowHeight="15.75" customHeight="1"/>
  <cols>
    <col min="1" max="1" width="11.08203125" style="84" customWidth="1"/>
    <col min="2" max="2" width="9.58203125" style="84" customWidth="1"/>
    <col min="3" max="3" width="27.4140625" style="98" customWidth="1"/>
    <col min="4" max="4" width="21" style="84" customWidth="1"/>
    <col min="5" max="5" width="33.58203125" style="84" customWidth="1"/>
    <col min="6" max="6" width="15.75" style="84" customWidth="1"/>
    <col min="7" max="7" width="19.33203125" style="84" customWidth="1"/>
    <col min="8" max="16384" width="8.75" style="84"/>
  </cols>
  <sheetData>
    <row r="2" spans="1:19" ht="15.75" customHeight="1">
      <c r="A2" s="198" t="s">
        <v>226</v>
      </c>
      <c r="B2" s="190"/>
      <c r="C2" s="190"/>
    </row>
    <row r="3" spans="1:19" ht="15.75" customHeight="1">
      <c r="A3" s="77"/>
      <c r="B3" s="77"/>
      <c r="C3" s="77"/>
      <c r="G3" s="85"/>
    </row>
    <row r="4" spans="1:19" ht="15.75" customHeight="1">
      <c r="A4" s="86" t="s">
        <v>401</v>
      </c>
      <c r="C4" s="84"/>
      <c r="D4" s="76"/>
      <c r="E4" s="76"/>
      <c r="F4" s="76"/>
      <c r="G4" s="85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</row>
    <row r="5" spans="1:19" ht="15.75" customHeight="1">
      <c r="A5" s="189" t="s">
        <v>227</v>
      </c>
      <c r="B5" s="189" t="s">
        <v>228</v>
      </c>
      <c r="C5" s="189" t="s">
        <v>229</v>
      </c>
      <c r="D5" s="196" t="s">
        <v>414</v>
      </c>
      <c r="E5" s="196" t="s">
        <v>413</v>
      </c>
      <c r="F5" s="196" t="s">
        <v>415</v>
      </c>
      <c r="G5" s="88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</row>
    <row r="6" spans="1:19" ht="15.75" customHeight="1">
      <c r="A6" s="189"/>
      <c r="B6" s="189"/>
      <c r="C6" s="189"/>
      <c r="D6" s="189"/>
      <c r="E6" s="189"/>
      <c r="F6" s="189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</row>
    <row r="7" spans="1:19" ht="15.75" customHeight="1">
      <c r="A7" s="192">
        <v>45902</v>
      </c>
      <c r="B7" s="189">
        <v>1</v>
      </c>
      <c r="C7" s="89" t="s">
        <v>230</v>
      </c>
      <c r="D7" s="53">
        <v>2670</v>
      </c>
      <c r="E7" s="197">
        <v>211334</v>
      </c>
      <c r="F7" s="193">
        <f>ROUND(AVERAGE(D7:D9)/E7*100,1)</f>
        <v>1.4</v>
      </c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</row>
    <row r="8" spans="1:19" ht="15.75" customHeight="1">
      <c r="A8" s="192"/>
      <c r="B8" s="189"/>
      <c r="C8" s="89" t="s">
        <v>231</v>
      </c>
      <c r="D8" s="53">
        <v>2903</v>
      </c>
      <c r="E8" s="197"/>
      <c r="F8" s="194"/>
      <c r="G8" s="90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</row>
    <row r="9" spans="1:19" ht="15.75" customHeight="1">
      <c r="A9" s="192"/>
      <c r="B9" s="189"/>
      <c r="C9" s="89" t="s">
        <v>232</v>
      </c>
      <c r="D9" s="53">
        <v>2992</v>
      </c>
      <c r="E9" s="197"/>
      <c r="F9" s="195"/>
      <c r="G9" s="90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</row>
    <row r="10" spans="1:19" ht="15.75" customHeight="1">
      <c r="B10" s="91"/>
      <c r="C10" s="92"/>
      <c r="D10" s="76"/>
      <c r="E10" s="93"/>
      <c r="F10" s="94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</row>
    <row r="11" spans="1:19" ht="15.75" customHeight="1">
      <c r="A11" s="190" t="s">
        <v>402</v>
      </c>
      <c r="B11" s="190"/>
      <c r="C11" s="190"/>
      <c r="D11" s="76"/>
      <c r="F11" s="76"/>
      <c r="G11" s="95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</row>
    <row r="12" spans="1:19" ht="15.75" customHeight="1">
      <c r="A12" s="189" t="s">
        <v>227</v>
      </c>
      <c r="B12" s="189" t="s">
        <v>228</v>
      </c>
      <c r="C12" s="189" t="s">
        <v>229</v>
      </c>
      <c r="D12" s="196" t="s">
        <v>403</v>
      </c>
      <c r="E12" s="196" t="s">
        <v>404</v>
      </c>
      <c r="F12" s="196" t="s">
        <v>405</v>
      </c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</row>
    <row r="13" spans="1:19" ht="15.75" customHeight="1">
      <c r="A13" s="189"/>
      <c r="B13" s="189"/>
      <c r="C13" s="189"/>
      <c r="D13" s="189"/>
      <c r="E13" s="189"/>
      <c r="F13" s="189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</row>
    <row r="14" spans="1:19" ht="15.75" customHeight="1">
      <c r="A14" s="192">
        <v>45902</v>
      </c>
      <c r="B14" s="189">
        <v>1</v>
      </c>
      <c r="C14" s="89" t="s">
        <v>233</v>
      </c>
      <c r="D14" s="63">
        <v>1632</v>
      </c>
      <c r="E14" s="185">
        <v>9166</v>
      </c>
      <c r="F14" s="193">
        <f>ROUND(AVERAGE(D14:D16)/E14*100,1)</f>
        <v>15.1</v>
      </c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</row>
    <row r="15" spans="1:19" ht="15.75" customHeight="1">
      <c r="A15" s="192"/>
      <c r="B15" s="189"/>
      <c r="C15" s="89" t="s">
        <v>234</v>
      </c>
      <c r="D15" s="63">
        <v>1765</v>
      </c>
      <c r="E15" s="185"/>
      <c r="F15" s="194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</row>
    <row r="16" spans="1:19" ht="15.75" customHeight="1">
      <c r="A16" s="192"/>
      <c r="B16" s="189"/>
      <c r="C16" s="89" t="s">
        <v>235</v>
      </c>
      <c r="D16" s="63">
        <v>744</v>
      </c>
      <c r="E16" s="185"/>
      <c r="F16" s="195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</row>
    <row r="17" spans="2:19" ht="15.75" customHeight="1">
      <c r="B17" s="96"/>
      <c r="C17" s="97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</row>
    <row r="18" spans="2:19" ht="15.75" customHeight="1">
      <c r="B18" s="96"/>
      <c r="C18" s="97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</row>
  </sheetData>
  <mergeCells count="22">
    <mergeCell ref="A11:C11"/>
    <mergeCell ref="A2:C2"/>
    <mergeCell ref="A5:A6"/>
    <mergeCell ref="B5:B6"/>
    <mergeCell ref="C5:C6"/>
    <mergeCell ref="F5:F6"/>
    <mergeCell ref="A7:A9"/>
    <mergeCell ref="B7:B9"/>
    <mergeCell ref="E7:E9"/>
    <mergeCell ref="F7:F9"/>
    <mergeCell ref="D5:D6"/>
    <mergeCell ref="E5:E6"/>
    <mergeCell ref="A14:A16"/>
    <mergeCell ref="B14:B16"/>
    <mergeCell ref="E14:E16"/>
    <mergeCell ref="F14:F16"/>
    <mergeCell ref="A12:A13"/>
    <mergeCell ref="B12:B13"/>
    <mergeCell ref="C12:C13"/>
    <mergeCell ref="D12:D13"/>
    <mergeCell ref="E12:E13"/>
    <mergeCell ref="F12:F13"/>
  </mergeCells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 1632MV7生物分析方法学验证数据</oddHeader>
    <oddFooter>&amp;C第&amp;P页，共&amp;N页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6584-C1AD-4540-BD1C-EAA31DD35BC6}">
  <dimension ref="A2:I61"/>
  <sheetViews>
    <sheetView topLeftCell="A46" zoomScaleNormal="100" zoomScaleSheetLayoutView="100" workbookViewId="0">
      <selection activeCell="A4" sqref="A4:E61"/>
    </sheetView>
  </sheetViews>
  <sheetFormatPr defaultColWidth="9" defaultRowHeight="15.75" customHeight="1"/>
  <cols>
    <col min="1" max="1" width="34.75" style="12" bestFit="1" customWidth="1"/>
    <col min="2" max="5" width="16.58203125" style="12" customWidth="1"/>
    <col min="6" max="6" width="13.4140625" style="12" customWidth="1"/>
    <col min="7" max="7" width="16.33203125" style="12" customWidth="1"/>
    <col min="8" max="223" width="13.4140625" style="12" customWidth="1"/>
    <col min="224" max="16384" width="9" style="12"/>
  </cols>
  <sheetData>
    <row r="2" spans="1:9" ht="15.75" customHeight="1">
      <c r="A2" s="61" t="s">
        <v>236</v>
      </c>
    </row>
    <row r="3" spans="1:9" ht="15.75" customHeight="1">
      <c r="A3" s="99"/>
    </row>
    <row r="4" spans="1:9" ht="15.75" customHeight="1">
      <c r="A4" s="158" t="s">
        <v>237</v>
      </c>
      <c r="B4" s="206"/>
      <c r="C4" s="156"/>
      <c r="D4" s="158" t="s">
        <v>238</v>
      </c>
      <c r="E4" s="156"/>
    </row>
    <row r="5" spans="1:9" ht="15.75" customHeight="1">
      <c r="A5" s="175" t="s">
        <v>239</v>
      </c>
      <c r="B5" s="6" t="s">
        <v>240</v>
      </c>
      <c r="C5" s="179" t="s">
        <v>241</v>
      </c>
      <c r="D5" s="59" t="s">
        <v>0</v>
      </c>
      <c r="E5" s="179" t="s">
        <v>241</v>
      </c>
    </row>
    <row r="6" spans="1:9" ht="15.75" customHeight="1">
      <c r="A6" s="175"/>
      <c r="B6" s="100">
        <v>0.3</v>
      </c>
      <c r="C6" s="207"/>
      <c r="D6" s="100">
        <v>37.5</v>
      </c>
      <c r="E6" s="207"/>
    </row>
    <row r="7" spans="1:9" ht="15.75" customHeight="1">
      <c r="A7" s="175"/>
      <c r="B7" s="29" t="s">
        <v>242</v>
      </c>
      <c r="C7" s="180"/>
      <c r="D7" s="29" t="s">
        <v>242</v>
      </c>
      <c r="E7" s="180"/>
    </row>
    <row r="8" spans="1:9" ht="15.75" customHeight="1">
      <c r="A8" s="202" t="s">
        <v>243</v>
      </c>
      <c r="B8" s="6">
        <v>0.28100000000000003</v>
      </c>
      <c r="C8" s="101">
        <f>ROUND((B8-B$6)/B$6*100,1)</f>
        <v>-6.3</v>
      </c>
      <c r="D8" s="5">
        <v>38.201999999999998</v>
      </c>
      <c r="E8" s="101">
        <f>ROUND((D8-D$6)/D$6*100,1)</f>
        <v>1.9</v>
      </c>
    </row>
    <row r="9" spans="1:9" ht="15.75" customHeight="1">
      <c r="A9" s="202"/>
      <c r="B9" s="36">
        <v>0.33</v>
      </c>
      <c r="C9" s="101">
        <f>ROUND((B9-B$6)/B$6*100,1)</f>
        <v>10</v>
      </c>
      <c r="D9" s="5">
        <v>37.655000000000001</v>
      </c>
      <c r="E9" s="101">
        <f>ROUND((D9-D$6)/D$6*100,1)</f>
        <v>0.4</v>
      </c>
    </row>
    <row r="10" spans="1:9" ht="15.75" customHeight="1">
      <c r="A10" s="202"/>
      <c r="B10" s="6">
        <v>0.311</v>
      </c>
      <c r="C10" s="101">
        <f>ROUND((B10-B$6)/B$6*100,1)</f>
        <v>3.7</v>
      </c>
      <c r="D10" s="5">
        <v>39.729999999999997</v>
      </c>
      <c r="E10" s="101">
        <f>ROUND((D10-D$6)/D$6*100,1)</f>
        <v>5.9</v>
      </c>
      <c r="G10" s="102"/>
      <c r="H10" s="103" t="s">
        <v>244</v>
      </c>
      <c r="I10" s="3" t="s">
        <v>245</v>
      </c>
    </row>
    <row r="11" spans="1:9" ht="15.75" customHeight="1">
      <c r="A11" s="65" t="s">
        <v>246</v>
      </c>
      <c r="B11" s="104">
        <f>ROUND(AVERAGE(B8:B10),3)</f>
        <v>0.307</v>
      </c>
      <c r="C11" s="203"/>
      <c r="D11" s="104">
        <f>ROUND(AVERAGE(D8:D10),3)</f>
        <v>38.529000000000003</v>
      </c>
      <c r="E11" s="203"/>
      <c r="G11" s="65" t="s">
        <v>247</v>
      </c>
      <c r="H11" s="105"/>
      <c r="I11" s="106">
        <f>MAX(B13,D13,B22,D22,B31,D31,B40,D40,B49,D49,B58,D58)</f>
        <v>8.1</v>
      </c>
    </row>
    <row r="12" spans="1:9" ht="15.75" customHeight="1">
      <c r="A12" s="65" t="s">
        <v>3</v>
      </c>
      <c r="B12" s="65">
        <f>ROUND(STDEV(B8:B10),3)</f>
        <v>2.5000000000000001E-2</v>
      </c>
      <c r="C12" s="204"/>
      <c r="D12" s="104">
        <f>ROUND(STDEV(D8:D10),3)</f>
        <v>1.075</v>
      </c>
      <c r="E12" s="204"/>
      <c r="G12" s="65" t="s">
        <v>178</v>
      </c>
      <c r="H12" s="106">
        <f>MIN(B15,D15,B24,D24,B33,D33,B42,D42,B51,D51,B60,D60)</f>
        <v>2.2999999999999998</v>
      </c>
      <c r="I12" s="106">
        <f>MAX(B15,D15,B24,D24,B33,D33,B42,D42,B51,D51,B60,D60)</f>
        <v>7.3</v>
      </c>
    </row>
    <row r="13" spans="1:9" ht="15.75" customHeight="1">
      <c r="A13" s="65" t="s">
        <v>247</v>
      </c>
      <c r="B13" s="101">
        <f>ROUND(B12/B11*100,1)</f>
        <v>8.1</v>
      </c>
      <c r="C13" s="204"/>
      <c r="D13" s="65">
        <f>ROUND(D12/D11*100,1)</f>
        <v>2.8</v>
      </c>
      <c r="E13" s="204"/>
    </row>
    <row r="14" spans="1:9" ht="15.75" customHeight="1">
      <c r="A14" s="65" t="s">
        <v>248</v>
      </c>
      <c r="B14" s="101">
        <f>ROUND(B11/B$6*100,1)</f>
        <v>102.3</v>
      </c>
      <c r="C14" s="204"/>
      <c r="D14" s="101">
        <f>ROUND(D11/D$6*100,1)</f>
        <v>102.7</v>
      </c>
      <c r="E14" s="204"/>
      <c r="G14"/>
    </row>
    <row r="15" spans="1:9" ht="15.75" customHeight="1">
      <c r="A15" s="65" t="s">
        <v>178</v>
      </c>
      <c r="B15" s="101">
        <f>ROUND((B11-B$6)/B$6*100,1)</f>
        <v>2.2999999999999998</v>
      </c>
      <c r="C15" s="204"/>
      <c r="D15" s="65">
        <f>ROUND((D11-D$6)/D$6*100,1)</f>
        <v>2.7</v>
      </c>
      <c r="E15" s="204"/>
      <c r="G15"/>
    </row>
    <row r="16" spans="1:9" ht="15.75" customHeight="1">
      <c r="A16" s="65" t="s">
        <v>4</v>
      </c>
      <c r="B16" s="65">
        <v>3</v>
      </c>
      <c r="C16" s="205"/>
      <c r="D16" s="65">
        <v>3</v>
      </c>
      <c r="E16" s="205"/>
      <c r="G16"/>
    </row>
    <row r="17" spans="1:8" ht="15.75" customHeight="1">
      <c r="A17" s="202" t="s">
        <v>249</v>
      </c>
      <c r="B17" s="6">
        <v>0.29199999999999998</v>
      </c>
      <c r="C17" s="101">
        <f>ROUND((B17-B$6)/B$6*100,1)</f>
        <v>-2.7</v>
      </c>
      <c r="D17" s="5">
        <v>39.244</v>
      </c>
      <c r="E17" s="101">
        <f>ROUND((D17-D$6)/D$6*100,1)</f>
        <v>4.7</v>
      </c>
      <c r="G17"/>
      <c r="H17" s="107"/>
    </row>
    <row r="18" spans="1:8" ht="15.75" customHeight="1">
      <c r="A18" s="202"/>
      <c r="B18" s="6">
        <v>0.32100000000000001</v>
      </c>
      <c r="C18" s="101">
        <f>ROUND((B18-B$6)/B$6*100,1)</f>
        <v>7</v>
      </c>
      <c r="D18" s="5">
        <v>39.095999999999997</v>
      </c>
      <c r="E18" s="101">
        <f>ROUND((D18-D$6)/D$6*100,1)</f>
        <v>4.3</v>
      </c>
      <c r="G18"/>
      <c r="H18" s="107"/>
    </row>
    <row r="19" spans="1:8" ht="15.75" customHeight="1">
      <c r="A19" s="202"/>
      <c r="B19" s="6">
        <v>0.311</v>
      </c>
      <c r="C19" s="101">
        <f>ROUND((B19-B$6)/B$6*100,1)</f>
        <v>3.7</v>
      </c>
      <c r="D19" s="5">
        <v>40.784999999999997</v>
      </c>
      <c r="E19" s="101">
        <f>ROUND((D19-D$6)/D$6*100,1)</f>
        <v>8.8000000000000007</v>
      </c>
      <c r="G19"/>
      <c r="H19" s="107"/>
    </row>
    <row r="20" spans="1:8" ht="15.75" customHeight="1">
      <c r="A20" s="65" t="s">
        <v>246</v>
      </c>
      <c r="B20" s="104">
        <f>ROUND(AVERAGE(B17:B19),3)</f>
        <v>0.308</v>
      </c>
      <c r="C20" s="203"/>
      <c r="D20" s="104">
        <f>ROUND(AVERAGE(D17:D19),3)</f>
        <v>39.707999999999998</v>
      </c>
      <c r="E20" s="203"/>
      <c r="F20"/>
      <c r="G20"/>
      <c r="H20" s="107"/>
    </row>
    <row r="21" spans="1:8" ht="15.75" customHeight="1">
      <c r="A21" s="65" t="s">
        <v>3</v>
      </c>
      <c r="B21" s="104">
        <f>ROUND(STDEV(B17:B19),3)</f>
        <v>1.4999999999999999E-2</v>
      </c>
      <c r="C21" s="204"/>
      <c r="D21" s="65">
        <f>ROUND(STDEV(D17:D19),3)</f>
        <v>0.93500000000000005</v>
      </c>
      <c r="E21" s="204"/>
      <c r="F21"/>
      <c r="G21"/>
      <c r="H21" s="107"/>
    </row>
    <row r="22" spans="1:8" ht="15.75" customHeight="1">
      <c r="A22" s="65" t="s">
        <v>247</v>
      </c>
      <c r="B22" s="101">
        <f>ROUND(B21/B20*100,1)</f>
        <v>4.9000000000000004</v>
      </c>
      <c r="C22" s="204"/>
      <c r="D22" s="65">
        <f>ROUND(D21/D20*100,1)</f>
        <v>2.4</v>
      </c>
      <c r="E22" s="204"/>
      <c r="F22"/>
      <c r="G22"/>
      <c r="H22" s="107"/>
    </row>
    <row r="23" spans="1:8" ht="15.75" customHeight="1">
      <c r="A23" s="65" t="s">
        <v>248</v>
      </c>
      <c r="B23" s="101">
        <f>ROUND(B20/B$6*100,1)</f>
        <v>102.7</v>
      </c>
      <c r="C23" s="204"/>
      <c r="D23" s="101">
        <f>ROUND(D20/D$6*100,1)</f>
        <v>105.9</v>
      </c>
      <c r="E23" s="204"/>
      <c r="F23"/>
      <c r="G23"/>
      <c r="H23" s="107"/>
    </row>
    <row r="24" spans="1:8" ht="15.75" customHeight="1">
      <c r="A24" s="65" t="s">
        <v>178</v>
      </c>
      <c r="B24" s="65">
        <f>ROUND((B20-B$6)/B$6*100,1)</f>
        <v>2.7</v>
      </c>
      <c r="C24" s="204"/>
      <c r="D24" s="65">
        <f>ROUND((D20-D$6)/D$6*100,1)</f>
        <v>5.9</v>
      </c>
      <c r="E24" s="204"/>
      <c r="G24"/>
      <c r="H24" s="107"/>
    </row>
    <row r="25" spans="1:8" ht="15.75" customHeight="1">
      <c r="A25" s="65" t="s">
        <v>4</v>
      </c>
      <c r="B25" s="65">
        <v>3</v>
      </c>
      <c r="C25" s="205"/>
      <c r="D25" s="65">
        <v>3</v>
      </c>
      <c r="E25" s="205"/>
      <c r="G25"/>
      <c r="H25" s="107"/>
    </row>
    <row r="26" spans="1:8" ht="15.75" customHeight="1">
      <c r="A26" s="202" t="s">
        <v>250</v>
      </c>
      <c r="B26" s="6">
        <v>0.29199999999999998</v>
      </c>
      <c r="C26" s="101">
        <f>ROUND((B26-B$6)/B$6*100,1)</f>
        <v>-2.7</v>
      </c>
      <c r="D26" s="5">
        <v>38.665999999999997</v>
      </c>
      <c r="E26" s="101">
        <f>ROUND((D26-D$6)/D$6*100,1)</f>
        <v>3.1</v>
      </c>
      <c r="G26"/>
      <c r="H26" s="107"/>
    </row>
    <row r="27" spans="1:8" ht="15.75" customHeight="1">
      <c r="A27" s="202"/>
      <c r="B27" s="6">
        <v>0.33400000000000002</v>
      </c>
      <c r="C27" s="101">
        <f>ROUND((B27-B$6)/B$6*100,1)</f>
        <v>11.3</v>
      </c>
      <c r="D27" s="5">
        <v>39.377000000000002</v>
      </c>
      <c r="E27" s="101">
        <f>ROUND((D27-D$6)/D$6*100,1)</f>
        <v>5</v>
      </c>
      <c r="G27"/>
      <c r="H27" s="107"/>
    </row>
    <row r="28" spans="1:8" ht="15.75" customHeight="1">
      <c r="A28" s="202"/>
      <c r="B28" s="6">
        <v>0.308</v>
      </c>
      <c r="C28" s="101">
        <f>ROUND((B28-B$6)/B$6*100,1)</f>
        <v>2.7</v>
      </c>
      <c r="D28" s="5">
        <v>39.994999999999997</v>
      </c>
      <c r="E28" s="101">
        <f>ROUND((D28-D$6)/D$6*100,1)</f>
        <v>6.7</v>
      </c>
      <c r="G28"/>
      <c r="H28" s="107"/>
    </row>
    <row r="29" spans="1:8" ht="15.75" customHeight="1">
      <c r="A29" s="65" t="s">
        <v>246</v>
      </c>
      <c r="B29" s="104">
        <f>ROUND(AVERAGE(B26:B28),3)</f>
        <v>0.311</v>
      </c>
      <c r="C29" s="203"/>
      <c r="D29" s="104">
        <f>ROUND(AVERAGE(D26:D28),3)</f>
        <v>39.345999999999997</v>
      </c>
      <c r="E29" s="203"/>
      <c r="G29"/>
      <c r="H29" s="107"/>
    </row>
    <row r="30" spans="1:8" ht="15.75" customHeight="1">
      <c r="A30" s="65" t="s">
        <v>3</v>
      </c>
      <c r="B30" s="65">
        <f>ROUND(STDEV(B26:B28),3)</f>
        <v>2.1000000000000001E-2</v>
      </c>
      <c r="C30" s="204"/>
      <c r="D30" s="104">
        <f>ROUND(STDEV(D26:D28),3)</f>
        <v>0.66500000000000004</v>
      </c>
      <c r="E30" s="204"/>
      <c r="G30"/>
      <c r="H30" s="107"/>
    </row>
    <row r="31" spans="1:8" ht="15.75" customHeight="1">
      <c r="A31" s="65" t="s">
        <v>247</v>
      </c>
      <c r="B31" s="101">
        <f>ROUND(B30/B29*100,1)</f>
        <v>6.8</v>
      </c>
      <c r="C31" s="204"/>
      <c r="D31" s="65">
        <f>ROUND(D30/D29*100,1)</f>
        <v>1.7</v>
      </c>
      <c r="E31" s="204"/>
      <c r="G31"/>
      <c r="H31" s="107"/>
    </row>
    <row r="32" spans="1:8" ht="15.75" customHeight="1">
      <c r="A32" s="65" t="s">
        <v>248</v>
      </c>
      <c r="B32" s="101">
        <f>ROUND(B29/B$6*100,1)</f>
        <v>103.7</v>
      </c>
      <c r="C32" s="204"/>
      <c r="D32" s="101">
        <f>ROUND(D29/D$6*100,1)</f>
        <v>104.9</v>
      </c>
      <c r="E32" s="204"/>
      <c r="G32" s="107"/>
      <c r="H32" s="107"/>
    </row>
    <row r="33" spans="1:8" ht="15.75" customHeight="1">
      <c r="A33" s="65" t="s">
        <v>178</v>
      </c>
      <c r="B33" s="101">
        <f>ROUND((B29-B$6)/B$6*100,1)</f>
        <v>3.7</v>
      </c>
      <c r="C33" s="204"/>
      <c r="D33" s="65">
        <f>ROUND((D29-D$6)/D$6*100,1)</f>
        <v>4.9000000000000004</v>
      </c>
      <c r="E33" s="204"/>
      <c r="G33" s="107"/>
      <c r="H33" s="107"/>
    </row>
    <row r="34" spans="1:8" ht="15.75" customHeight="1">
      <c r="A34" s="65" t="s">
        <v>4</v>
      </c>
      <c r="B34" s="65">
        <v>3</v>
      </c>
      <c r="C34" s="205"/>
      <c r="D34" s="65">
        <v>3</v>
      </c>
      <c r="E34" s="205"/>
      <c r="G34" s="107"/>
      <c r="H34" s="107"/>
    </row>
    <row r="35" spans="1:8" ht="15.75" customHeight="1">
      <c r="A35" s="202" t="s">
        <v>251</v>
      </c>
      <c r="B35" s="6">
        <v>0.30399999999999999</v>
      </c>
      <c r="C35" s="37">
        <f>ROUND((B35-B$6)/B$6*100,1)</f>
        <v>1.3</v>
      </c>
      <c r="D35" s="5">
        <v>38.759</v>
      </c>
      <c r="E35" s="37">
        <f>ROUND((D35-D$6)/D$6*100,1)</f>
        <v>3.4</v>
      </c>
    </row>
    <row r="36" spans="1:8" ht="15.75" customHeight="1">
      <c r="A36" s="202"/>
      <c r="B36" s="6">
        <v>0.313</v>
      </c>
      <c r="C36" s="37">
        <f>ROUND((B36-B$6)/B$6*100,1)</f>
        <v>4.3</v>
      </c>
      <c r="D36" s="5">
        <v>40.014000000000003</v>
      </c>
      <c r="E36" s="37">
        <f>ROUND((D36-D$6)/D$6*100,1)</f>
        <v>6.7</v>
      </c>
    </row>
    <row r="37" spans="1:8" ht="15.75" customHeight="1">
      <c r="A37" s="202"/>
      <c r="B37" s="6">
        <v>0.33500000000000002</v>
      </c>
      <c r="C37" s="37">
        <f>ROUND((B37-B$6)/B$6*100,1)</f>
        <v>11.7</v>
      </c>
      <c r="D37" s="5">
        <v>38.673999999999999</v>
      </c>
      <c r="E37" s="37">
        <f>ROUND((D37-D$6)/D$6*100,1)</f>
        <v>3.1</v>
      </c>
    </row>
    <row r="38" spans="1:8" ht="15.75" customHeight="1">
      <c r="A38" s="65" t="s">
        <v>246</v>
      </c>
      <c r="B38" s="36">
        <f>ROUND(AVERAGE(B35:B37),3)</f>
        <v>0.317</v>
      </c>
      <c r="C38" s="199"/>
      <c r="D38" s="36">
        <f>ROUND(AVERAGE(D35:D37),3)</f>
        <v>39.149000000000001</v>
      </c>
      <c r="E38" s="199"/>
    </row>
    <row r="39" spans="1:8" ht="15.75" customHeight="1">
      <c r="A39" s="65" t="s">
        <v>3</v>
      </c>
      <c r="B39" s="6">
        <f>ROUND(STDEV(B35:B37),3)</f>
        <v>1.6E-2</v>
      </c>
      <c r="C39" s="200"/>
      <c r="D39" s="6">
        <f>ROUND(STDEV(D35:D37),3)</f>
        <v>0.75</v>
      </c>
      <c r="E39" s="200"/>
    </row>
    <row r="40" spans="1:8" ht="15.75" customHeight="1">
      <c r="A40" s="65" t="s">
        <v>247</v>
      </c>
      <c r="B40" s="37">
        <f>ROUND(B39/B38*100,1)</f>
        <v>5</v>
      </c>
      <c r="C40" s="200"/>
      <c r="D40" s="6">
        <f>ROUND(D39/D38*100,1)</f>
        <v>1.9</v>
      </c>
      <c r="E40" s="200"/>
    </row>
    <row r="41" spans="1:8" ht="15.75" customHeight="1">
      <c r="A41" s="65" t="s">
        <v>248</v>
      </c>
      <c r="B41" s="37">
        <f>ROUND(B38/B$6*100,1)</f>
        <v>105.7</v>
      </c>
      <c r="C41" s="200"/>
      <c r="D41" s="37">
        <f>ROUND(D38/D$6*100,1)</f>
        <v>104.4</v>
      </c>
      <c r="E41" s="200"/>
    </row>
    <row r="42" spans="1:8" ht="15.75" customHeight="1">
      <c r="A42" s="65" t="s">
        <v>178</v>
      </c>
      <c r="B42" s="6">
        <f>ROUND((B38-B$6)/B$6*100,1)</f>
        <v>5.7</v>
      </c>
      <c r="C42" s="200"/>
      <c r="D42" s="6">
        <f>ROUND((D38-D$6)/D$6*100,1)</f>
        <v>4.4000000000000004</v>
      </c>
      <c r="E42" s="200"/>
    </row>
    <row r="43" spans="1:8" ht="15.75" customHeight="1">
      <c r="A43" s="65" t="s">
        <v>4</v>
      </c>
      <c r="B43" s="6">
        <v>3</v>
      </c>
      <c r="C43" s="201"/>
      <c r="D43" s="6">
        <v>3</v>
      </c>
      <c r="E43" s="201"/>
    </row>
    <row r="44" spans="1:8" ht="15.75" customHeight="1">
      <c r="A44" s="202" t="s">
        <v>252</v>
      </c>
      <c r="B44" s="6">
        <v>0.307</v>
      </c>
      <c r="C44" s="37">
        <f>ROUND((B44-B$6)/B$6*100,1)</f>
        <v>2.2999999999999998</v>
      </c>
      <c r="D44" s="5">
        <v>38.808999999999997</v>
      </c>
      <c r="E44" s="37">
        <f>ROUND((D44-D$6)/D$6*100,1)</f>
        <v>3.5</v>
      </c>
    </row>
    <row r="45" spans="1:8" ht="15.75" customHeight="1">
      <c r="A45" s="202"/>
      <c r="B45" s="6">
        <v>0.29799999999999999</v>
      </c>
      <c r="C45" s="37">
        <f>ROUND((B45-B$6)/B$6*100,1)</f>
        <v>-0.7</v>
      </c>
      <c r="D45" s="5">
        <v>37.963999999999999</v>
      </c>
      <c r="E45" s="37">
        <f>ROUND((D45-D$6)/D$6*100,1)</f>
        <v>1.2</v>
      </c>
    </row>
    <row r="46" spans="1:8" ht="15.75" customHeight="1">
      <c r="A46" s="202"/>
      <c r="B46" s="36">
        <v>0.33700000000000002</v>
      </c>
      <c r="C46" s="37">
        <f>ROUND((B46-B$6)/B$6*100,1)</f>
        <v>12.3</v>
      </c>
      <c r="D46" s="5">
        <v>40.432000000000002</v>
      </c>
      <c r="E46" s="37">
        <f>ROUND((D46-D$6)/D$6*100,1)</f>
        <v>7.8</v>
      </c>
    </row>
    <row r="47" spans="1:8" ht="15.75" customHeight="1">
      <c r="A47" s="65" t="s">
        <v>246</v>
      </c>
      <c r="B47" s="36">
        <f>ROUND(AVERAGE(B44:B46),3)</f>
        <v>0.314</v>
      </c>
      <c r="C47" s="199"/>
      <c r="D47" s="36">
        <f>ROUND(AVERAGE(D44:D46),3)</f>
        <v>39.067999999999998</v>
      </c>
      <c r="E47" s="199"/>
    </row>
    <row r="48" spans="1:8" ht="15.75" customHeight="1">
      <c r="A48" s="65" t="s">
        <v>3</v>
      </c>
      <c r="B48" s="6">
        <f>ROUND(STDEV(B44:B46),3)</f>
        <v>0.02</v>
      </c>
      <c r="C48" s="200"/>
      <c r="D48" s="6">
        <f>ROUND(STDEV(D44:D46),3)</f>
        <v>1.254</v>
      </c>
      <c r="E48" s="200"/>
    </row>
    <row r="49" spans="1:5" ht="15.75" customHeight="1">
      <c r="A49" s="65" t="s">
        <v>247</v>
      </c>
      <c r="B49" s="37">
        <f>ROUND(B48/B47*100,1)</f>
        <v>6.4</v>
      </c>
      <c r="C49" s="200"/>
      <c r="D49" s="6">
        <f>ROUND(D48/D47*100,1)</f>
        <v>3.2</v>
      </c>
      <c r="E49" s="200"/>
    </row>
    <row r="50" spans="1:5" ht="15.75" customHeight="1">
      <c r="A50" s="65" t="s">
        <v>248</v>
      </c>
      <c r="B50" s="37">
        <f>ROUND(B47/B$6*100,1)</f>
        <v>104.7</v>
      </c>
      <c r="C50" s="200"/>
      <c r="D50" s="37">
        <f>ROUND(D47/D$6*100,1)</f>
        <v>104.2</v>
      </c>
      <c r="E50" s="200"/>
    </row>
    <row r="51" spans="1:5" ht="15.75" customHeight="1">
      <c r="A51" s="65" t="s">
        <v>178</v>
      </c>
      <c r="B51" s="6">
        <f>ROUND((B47-B$6)/B$6*100,1)</f>
        <v>4.7</v>
      </c>
      <c r="C51" s="200"/>
      <c r="D51" s="6">
        <f>ROUND((D47-D$6)/D$6*100,1)</f>
        <v>4.2</v>
      </c>
      <c r="E51" s="200"/>
    </row>
    <row r="52" spans="1:5" ht="15.75" customHeight="1">
      <c r="A52" s="65" t="s">
        <v>4</v>
      </c>
      <c r="B52" s="6">
        <v>3</v>
      </c>
      <c r="C52" s="201"/>
      <c r="D52" s="6">
        <v>3</v>
      </c>
      <c r="E52" s="201"/>
    </row>
    <row r="53" spans="1:5" ht="15.75" customHeight="1">
      <c r="A53" s="202" t="s">
        <v>253</v>
      </c>
      <c r="B53" s="5">
        <v>0.30399999999999999</v>
      </c>
      <c r="C53" s="37">
        <f>ROUND((B53-B$6)/B$6*100,1)</f>
        <v>1.3</v>
      </c>
      <c r="D53" s="5">
        <v>38.082999999999998</v>
      </c>
      <c r="E53" s="37">
        <f>ROUND((D53-D$6)/D$6*100,1)</f>
        <v>1.6</v>
      </c>
    </row>
    <row r="54" spans="1:5" ht="15.75" customHeight="1">
      <c r="A54" s="202"/>
      <c r="B54" s="5">
        <v>0.314</v>
      </c>
      <c r="C54" s="37">
        <f>ROUND((B54-B$6)/B$6*100,1)</f>
        <v>4.7</v>
      </c>
      <c r="D54" s="5">
        <v>40.243000000000002</v>
      </c>
      <c r="E54" s="37">
        <f>ROUND((D54-D$6)/D$6*100,1)</f>
        <v>7.3</v>
      </c>
    </row>
    <row r="55" spans="1:5" ht="15.75" customHeight="1">
      <c r="A55" s="202"/>
      <c r="B55" s="5">
        <v>0.34899999999999998</v>
      </c>
      <c r="C55" s="37">
        <f>ROUND((B55-B$6)/B$6*100,1)</f>
        <v>16.3</v>
      </c>
      <c r="D55" s="5">
        <v>39.116999999999997</v>
      </c>
      <c r="E55" s="37">
        <f>ROUND((D55-D$6)/D$6*100,1)</f>
        <v>4.3</v>
      </c>
    </row>
    <row r="56" spans="1:5" ht="15.75" customHeight="1">
      <c r="A56" s="65" t="s">
        <v>246</v>
      </c>
      <c r="B56" s="36">
        <f>ROUND(AVERAGE(B53:B55),3)</f>
        <v>0.32200000000000001</v>
      </c>
      <c r="C56" s="199"/>
      <c r="D56" s="36">
        <f>ROUND(AVERAGE(D53:D55),3)</f>
        <v>39.148000000000003</v>
      </c>
      <c r="E56" s="199"/>
    </row>
    <row r="57" spans="1:5" ht="15.75" customHeight="1">
      <c r="A57" s="65" t="s">
        <v>3</v>
      </c>
      <c r="B57" s="6">
        <f>ROUND(STDEV(B53:B55),3)</f>
        <v>2.4E-2</v>
      </c>
      <c r="C57" s="200"/>
      <c r="D57" s="6">
        <f>ROUND(STDEV(D53:D55),3)</f>
        <v>1.08</v>
      </c>
      <c r="E57" s="200"/>
    </row>
    <row r="58" spans="1:5" ht="15.75" customHeight="1">
      <c r="A58" s="65" t="s">
        <v>247</v>
      </c>
      <c r="B58" s="37">
        <f>ROUND(B57/B56*100,1)</f>
        <v>7.5</v>
      </c>
      <c r="C58" s="200"/>
      <c r="D58" s="37">
        <f>ROUND(D57/D56*100,1)</f>
        <v>2.8</v>
      </c>
      <c r="E58" s="200"/>
    </row>
    <row r="59" spans="1:5" ht="15.75" customHeight="1">
      <c r="A59" s="65" t="s">
        <v>248</v>
      </c>
      <c r="B59" s="37">
        <f>ROUND(B56/B$6*100,1)</f>
        <v>107.3</v>
      </c>
      <c r="C59" s="200"/>
      <c r="D59" s="37">
        <f>ROUND(D56/D$6*100,1)</f>
        <v>104.4</v>
      </c>
      <c r="E59" s="200"/>
    </row>
    <row r="60" spans="1:5" ht="15.75" customHeight="1">
      <c r="A60" s="65" t="s">
        <v>178</v>
      </c>
      <c r="B60" s="6">
        <f>ROUND((B56-B$6)/B$6*100,1)</f>
        <v>7.3</v>
      </c>
      <c r="C60" s="200"/>
      <c r="D60" s="37">
        <f>ROUND((D56-D$6)/D$6*100,1)</f>
        <v>4.4000000000000004</v>
      </c>
      <c r="E60" s="200"/>
    </row>
    <row r="61" spans="1:5" ht="15.75" customHeight="1">
      <c r="A61" s="65" t="s">
        <v>4</v>
      </c>
      <c r="B61" s="6">
        <v>3</v>
      </c>
      <c r="C61" s="201"/>
      <c r="D61" s="6">
        <v>3</v>
      </c>
      <c r="E61" s="201"/>
    </row>
  </sheetData>
  <mergeCells count="23">
    <mergeCell ref="A8:A10"/>
    <mergeCell ref="A4:C4"/>
    <mergeCell ref="D4:E4"/>
    <mergeCell ref="A5:A7"/>
    <mergeCell ref="C5:C7"/>
    <mergeCell ref="E5:E7"/>
    <mergeCell ref="A44:A46"/>
    <mergeCell ref="C11:C16"/>
    <mergeCell ref="E11:E16"/>
    <mergeCell ref="A17:A19"/>
    <mergeCell ref="C20:C25"/>
    <mergeCell ref="E20:E25"/>
    <mergeCell ref="A26:A28"/>
    <mergeCell ref="C29:C34"/>
    <mergeCell ref="E29:E34"/>
    <mergeCell ref="A35:A37"/>
    <mergeCell ref="C38:C43"/>
    <mergeCell ref="E38:E43"/>
    <mergeCell ref="C47:C52"/>
    <mergeCell ref="E47:E52"/>
    <mergeCell ref="A53:A55"/>
    <mergeCell ref="C56:C61"/>
    <mergeCell ref="E56:E61"/>
  </mergeCells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scale="57" orientation="landscape" r:id="rId1"/>
  <headerFooter>
    <oddHeader>&amp;CSSC23009MV01验证数据汇总</oddHeader>
    <oddFooter>&amp;C第&amp;P页，共&amp;N页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2B43-7F75-49F1-B35E-6538948F00E3}">
  <dimension ref="A2:G15"/>
  <sheetViews>
    <sheetView zoomScaleNormal="100" zoomScaleSheetLayoutView="100" workbookViewId="0">
      <selection activeCell="A4" sqref="A4:G15"/>
    </sheetView>
  </sheetViews>
  <sheetFormatPr defaultColWidth="8.75" defaultRowHeight="15.75" customHeight="1"/>
  <cols>
    <col min="1" max="1" width="12.4140625" style="2" customWidth="1"/>
    <col min="2" max="2" width="12.25" style="2" customWidth="1"/>
    <col min="3" max="3" width="14.75" style="2" customWidth="1"/>
    <col min="4" max="4" width="12.75" style="2" customWidth="1"/>
    <col min="5" max="5" width="9.33203125" style="2" customWidth="1"/>
    <col min="6" max="6" width="11.9140625" style="2" customWidth="1"/>
    <col min="7" max="7" width="13" style="2" customWidth="1"/>
    <col min="8" max="16384" width="8.75" style="2"/>
  </cols>
  <sheetData>
    <row r="2" spans="1:7" ht="15.75" customHeight="1">
      <c r="A2" s="172" t="s">
        <v>20</v>
      </c>
      <c r="B2" s="172"/>
      <c r="C2" s="172"/>
      <c r="D2" s="172"/>
    </row>
    <row r="3" spans="1:7" ht="15.75" customHeight="1">
      <c r="A3" s="1"/>
      <c r="B3" s="1"/>
      <c r="C3" s="1"/>
      <c r="D3" s="1"/>
    </row>
    <row r="4" spans="1:7" s="39" customFormat="1" ht="15.75" customHeight="1">
      <c r="A4" s="6" t="s">
        <v>80</v>
      </c>
      <c r="B4" s="6" t="s">
        <v>81</v>
      </c>
      <c r="C4" s="6" t="s">
        <v>82</v>
      </c>
      <c r="D4" s="6" t="s">
        <v>83</v>
      </c>
      <c r="E4" s="6" t="s">
        <v>84</v>
      </c>
      <c r="F4" s="6" t="s">
        <v>85</v>
      </c>
      <c r="G4" s="6" t="s">
        <v>86</v>
      </c>
    </row>
    <row r="5" spans="1:7" s="39" customFormat="1" ht="15.75" customHeight="1">
      <c r="A5" s="31">
        <v>45902</v>
      </c>
      <c r="B5" s="3">
        <v>1</v>
      </c>
      <c r="C5" s="40">
        <v>0.34239999999999998</v>
      </c>
      <c r="D5" s="41">
        <v>9.5790000000000007E-3</v>
      </c>
      <c r="E5" s="42">
        <v>0.99680000000000002</v>
      </c>
      <c r="F5" s="43">
        <v>0.1</v>
      </c>
      <c r="G5" s="43">
        <v>50</v>
      </c>
    </row>
    <row r="6" spans="1:7" s="39" customFormat="1" ht="15.75" customHeight="1">
      <c r="A6" s="31">
        <v>45903</v>
      </c>
      <c r="B6" s="3">
        <v>2</v>
      </c>
      <c r="C6" s="40">
        <v>0.34320000000000001</v>
      </c>
      <c r="D6" s="41">
        <v>8.8419999999999992E-3</v>
      </c>
      <c r="E6" s="42">
        <v>0.99709999999999999</v>
      </c>
      <c r="F6" s="43">
        <v>0.1</v>
      </c>
      <c r="G6" s="43">
        <v>50</v>
      </c>
    </row>
    <row r="7" spans="1:7" s="39" customFormat="1" ht="15.75" customHeight="1">
      <c r="A7" s="31">
        <v>45905</v>
      </c>
      <c r="B7" s="3">
        <v>3</v>
      </c>
      <c r="C7" s="40">
        <v>0.33839999999999998</v>
      </c>
      <c r="D7" s="41">
        <v>4.0029999999999996E-3</v>
      </c>
      <c r="E7" s="42">
        <v>0.99470000000000003</v>
      </c>
      <c r="F7" s="43">
        <v>0.1</v>
      </c>
      <c r="G7" s="43">
        <v>50</v>
      </c>
    </row>
    <row r="8" spans="1:7" s="39" customFormat="1" ht="15.75" customHeight="1">
      <c r="A8" s="31">
        <v>45906</v>
      </c>
      <c r="B8" s="3">
        <v>6</v>
      </c>
      <c r="C8" s="40">
        <v>0.34050000000000002</v>
      </c>
      <c r="D8" s="41">
        <v>6.6E-3</v>
      </c>
      <c r="E8" s="42">
        <v>0.99870000000000003</v>
      </c>
      <c r="F8" s="43">
        <v>0.1</v>
      </c>
      <c r="G8" s="43">
        <v>50</v>
      </c>
    </row>
    <row r="9" spans="1:7" s="39" customFormat="1" ht="15.75" customHeight="1">
      <c r="A9" s="31">
        <v>45998</v>
      </c>
      <c r="B9" s="3">
        <v>8</v>
      </c>
      <c r="C9" s="40">
        <v>0.31030000000000002</v>
      </c>
      <c r="D9" s="41">
        <v>4.9119999999999997E-3</v>
      </c>
      <c r="E9" s="42">
        <v>0.99170000000000003</v>
      </c>
      <c r="F9" s="43">
        <v>0.1</v>
      </c>
      <c r="G9" s="43">
        <v>50</v>
      </c>
    </row>
    <row r="10" spans="1:7" s="39" customFormat="1" ht="15.75" customHeight="1">
      <c r="A10" s="31">
        <v>46007</v>
      </c>
      <c r="B10" s="3">
        <v>9</v>
      </c>
      <c r="C10" s="40">
        <v>0.32350000000000001</v>
      </c>
      <c r="D10" s="41">
        <v>7.6779999999999999E-3</v>
      </c>
      <c r="E10" s="42">
        <v>0.99639999999999995</v>
      </c>
      <c r="F10" s="43">
        <v>0.1</v>
      </c>
      <c r="G10" s="43">
        <v>50</v>
      </c>
    </row>
    <row r="11" spans="1:7" s="39" customFormat="1" ht="15.75" customHeight="1">
      <c r="A11" s="6" t="s">
        <v>41</v>
      </c>
      <c r="B11" s="208"/>
      <c r="C11" s="40">
        <v>0.33310000000000001</v>
      </c>
      <c r="D11" s="44">
        <v>6.9360000000000003E-3</v>
      </c>
      <c r="E11" s="42">
        <v>0.99590000000000001</v>
      </c>
      <c r="F11" s="208"/>
      <c r="G11" s="208"/>
    </row>
    <row r="12" spans="1:7" s="39" customFormat="1" ht="15.75" customHeight="1">
      <c r="A12" s="6" t="s">
        <v>3</v>
      </c>
      <c r="B12" s="208"/>
      <c r="C12" s="45">
        <v>1.329E-2</v>
      </c>
      <c r="D12" s="44">
        <v>2.1900000000000001E-3</v>
      </c>
      <c r="E12" s="42">
        <v>2.3999999999999998E-3</v>
      </c>
      <c r="F12" s="208"/>
      <c r="G12" s="208"/>
    </row>
    <row r="13" spans="1:7" s="39" customFormat="1" ht="15.75" customHeight="1">
      <c r="A13" s="6" t="s">
        <v>7</v>
      </c>
      <c r="B13" s="208"/>
      <c r="C13" s="46">
        <v>4</v>
      </c>
      <c r="D13" s="46">
        <v>31.6</v>
      </c>
      <c r="E13" s="46">
        <v>0.2</v>
      </c>
      <c r="F13" s="208"/>
      <c r="G13" s="208"/>
    </row>
    <row r="14" spans="1:7" s="39" customFormat="1" ht="15.75" customHeight="1">
      <c r="A14" s="6" t="s">
        <v>4</v>
      </c>
      <c r="B14" s="208"/>
      <c r="C14" s="3">
        <v>6</v>
      </c>
      <c r="D14" s="3">
        <v>6</v>
      </c>
      <c r="E14" s="3">
        <v>6</v>
      </c>
      <c r="F14" s="208"/>
      <c r="G14" s="208"/>
    </row>
    <row r="15" spans="1:7" ht="15.75" customHeight="1">
      <c r="A15" s="306" t="s">
        <v>21</v>
      </c>
      <c r="B15" s="306"/>
      <c r="C15" s="306"/>
      <c r="D15" s="306"/>
      <c r="E15" s="306"/>
      <c r="F15" s="306"/>
      <c r="G15" s="306"/>
    </row>
  </sheetData>
  <mergeCells count="4">
    <mergeCell ref="A2:D2"/>
    <mergeCell ref="B11:B14"/>
    <mergeCell ref="F11:G14"/>
    <mergeCell ref="A15:G15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44782-578A-48A9-837B-5F1D11D82838}">
  <dimension ref="A2:R24"/>
  <sheetViews>
    <sheetView topLeftCell="A2" zoomScale="85" zoomScaleNormal="85" zoomScaleSheetLayoutView="100" workbookViewId="0">
      <selection activeCell="A4" sqref="A4:R23"/>
    </sheetView>
  </sheetViews>
  <sheetFormatPr defaultColWidth="8.75" defaultRowHeight="15.75" customHeight="1"/>
  <cols>
    <col min="1" max="1" width="12.75" style="22" customWidth="1"/>
    <col min="2" max="2" width="7.33203125" style="22" customWidth="1"/>
    <col min="3" max="3" width="8.75" style="22"/>
    <col min="4" max="4" width="6.75" style="22" customWidth="1"/>
    <col min="5" max="5" width="8.08203125" style="22" customWidth="1"/>
    <col min="6" max="6" width="7.25" style="22" customWidth="1"/>
    <col min="7" max="7" width="8.25" style="22" customWidth="1"/>
    <col min="8" max="8" width="7.33203125" style="22" customWidth="1"/>
    <col min="9" max="9" width="8.58203125" style="22" customWidth="1"/>
    <col min="10" max="10" width="6.75" style="22" customWidth="1"/>
    <col min="11" max="11" width="8.75" style="22" customWidth="1"/>
    <col min="12" max="12" width="7.25" style="22" customWidth="1"/>
    <col min="13" max="13" width="9.33203125" style="22" customWidth="1"/>
    <col min="14" max="14" width="7" style="22" customWidth="1"/>
    <col min="15" max="15" width="8.75" style="22" customWidth="1"/>
    <col min="16" max="16" width="6.58203125" style="22" customWidth="1"/>
    <col min="17" max="17" width="9.4140625" style="22" customWidth="1"/>
    <col min="18" max="18" width="6.75" style="22" customWidth="1"/>
    <col min="19" max="16384" width="8.75" style="22"/>
  </cols>
  <sheetData>
    <row r="2" spans="1:18" ht="15.75" customHeight="1">
      <c r="A2" s="184" t="s">
        <v>22</v>
      </c>
      <c r="B2" s="184"/>
      <c r="C2" s="184"/>
      <c r="D2" s="184"/>
      <c r="E2" s="184"/>
    </row>
    <row r="3" spans="1:18" ht="15.75" customHeight="1">
      <c r="A3" s="19"/>
      <c r="B3" s="19"/>
      <c r="C3" s="19"/>
      <c r="D3" s="19"/>
      <c r="E3" s="19"/>
    </row>
    <row r="4" spans="1:18" ht="15.75" customHeight="1">
      <c r="A4" s="175" t="s">
        <v>79</v>
      </c>
      <c r="B4" s="175" t="s">
        <v>76</v>
      </c>
      <c r="C4" s="6" t="s">
        <v>23</v>
      </c>
      <c r="D4" s="175" t="s">
        <v>24</v>
      </c>
      <c r="E4" s="6" t="s">
        <v>25</v>
      </c>
      <c r="F4" s="175" t="s">
        <v>24</v>
      </c>
      <c r="G4" s="6" t="s">
        <v>26</v>
      </c>
      <c r="H4" s="175" t="s">
        <v>24</v>
      </c>
      <c r="I4" s="6" t="s">
        <v>27</v>
      </c>
      <c r="J4" s="175" t="s">
        <v>24</v>
      </c>
      <c r="K4" s="6" t="s">
        <v>28</v>
      </c>
      <c r="L4" s="175" t="s">
        <v>29</v>
      </c>
      <c r="M4" s="6" t="s">
        <v>30</v>
      </c>
      <c r="N4" s="175" t="s">
        <v>29</v>
      </c>
      <c r="O4" s="6" t="s">
        <v>31</v>
      </c>
      <c r="P4" s="175" t="s">
        <v>29</v>
      </c>
      <c r="Q4" s="6" t="s">
        <v>32</v>
      </c>
      <c r="R4" s="175" t="s">
        <v>29</v>
      </c>
    </row>
    <row r="5" spans="1:18" s="35" customFormat="1" ht="15.75" customHeight="1">
      <c r="A5" s="175"/>
      <c r="B5" s="175"/>
      <c r="C5" s="34">
        <v>0.1</v>
      </c>
      <c r="D5" s="175"/>
      <c r="E5" s="34">
        <v>0.2</v>
      </c>
      <c r="F5" s="175"/>
      <c r="G5" s="34">
        <v>0.5</v>
      </c>
      <c r="H5" s="175"/>
      <c r="I5" s="34">
        <v>1</v>
      </c>
      <c r="J5" s="175"/>
      <c r="K5" s="34">
        <v>5</v>
      </c>
      <c r="L5" s="175"/>
      <c r="M5" s="34">
        <v>10</v>
      </c>
      <c r="N5" s="175"/>
      <c r="O5" s="34">
        <v>40</v>
      </c>
      <c r="P5" s="175"/>
      <c r="Q5" s="34">
        <v>50</v>
      </c>
      <c r="R5" s="175"/>
    </row>
    <row r="6" spans="1:18" ht="15.75" customHeight="1">
      <c r="A6" s="175"/>
      <c r="B6" s="175"/>
      <c r="C6" s="29" t="s">
        <v>5</v>
      </c>
      <c r="D6" s="175"/>
      <c r="E6" s="29" t="s">
        <v>5</v>
      </c>
      <c r="F6" s="175"/>
      <c r="G6" s="29" t="s">
        <v>5</v>
      </c>
      <c r="H6" s="175"/>
      <c r="I6" s="29" t="s">
        <v>5</v>
      </c>
      <c r="J6" s="175"/>
      <c r="K6" s="29" t="s">
        <v>5</v>
      </c>
      <c r="L6" s="175"/>
      <c r="M6" s="29" t="s">
        <v>5</v>
      </c>
      <c r="N6" s="175"/>
      <c r="O6" s="29" t="s">
        <v>5</v>
      </c>
      <c r="P6" s="175"/>
      <c r="Q6" s="29" t="s">
        <v>5</v>
      </c>
      <c r="R6" s="175"/>
    </row>
    <row r="7" spans="1:18" ht="15.75" customHeight="1">
      <c r="A7" s="209">
        <v>45902</v>
      </c>
      <c r="B7" s="211">
        <v>1</v>
      </c>
      <c r="C7" s="5">
        <v>0.104</v>
      </c>
      <c r="D7" s="4">
        <v>4</v>
      </c>
      <c r="E7" s="5">
        <v>0.185</v>
      </c>
      <c r="F7" s="4">
        <v>-7.5</v>
      </c>
      <c r="G7" s="5">
        <v>0.48299999999999998</v>
      </c>
      <c r="H7" s="4">
        <v>-3.4</v>
      </c>
      <c r="I7" s="5">
        <v>0.98299999999999998</v>
      </c>
      <c r="J7" s="4">
        <v>-1.7</v>
      </c>
      <c r="K7" s="5">
        <v>4.9290000000000003</v>
      </c>
      <c r="L7" s="4">
        <v>-1.4</v>
      </c>
      <c r="M7" s="5">
        <v>9.9160000000000004</v>
      </c>
      <c r="N7" s="4">
        <v>-0.8</v>
      </c>
      <c r="O7" s="5">
        <v>40.037999999999997</v>
      </c>
      <c r="P7" s="4">
        <v>0.1</v>
      </c>
      <c r="Q7" s="5">
        <v>49.963000000000001</v>
      </c>
      <c r="R7" s="4">
        <v>-0.1</v>
      </c>
    </row>
    <row r="8" spans="1:18" ht="15.75" customHeight="1">
      <c r="A8" s="210"/>
      <c r="B8" s="180"/>
      <c r="C8" s="5">
        <v>9.2999999999999999E-2</v>
      </c>
      <c r="D8" s="4">
        <v>-7</v>
      </c>
      <c r="E8" s="5">
        <v>0.221</v>
      </c>
      <c r="F8" s="4">
        <v>10.5</v>
      </c>
      <c r="G8" s="5">
        <v>0.54300000000000004</v>
      </c>
      <c r="H8" s="4">
        <v>8.6</v>
      </c>
      <c r="I8" s="5">
        <v>1.0329999999999999</v>
      </c>
      <c r="J8" s="4">
        <v>3.3</v>
      </c>
      <c r="K8" s="5">
        <v>4.9669999999999996</v>
      </c>
      <c r="L8" s="4">
        <v>-0.7</v>
      </c>
      <c r="M8" s="5">
        <v>9.8789999999999996</v>
      </c>
      <c r="N8" s="4">
        <v>-1.2</v>
      </c>
      <c r="O8" s="5">
        <v>38.594999999999999</v>
      </c>
      <c r="P8" s="4">
        <v>-3.5</v>
      </c>
      <c r="Q8" s="5">
        <v>50.127000000000002</v>
      </c>
      <c r="R8" s="4">
        <v>0.3</v>
      </c>
    </row>
    <row r="9" spans="1:18" ht="15.75" customHeight="1">
      <c r="A9" s="209">
        <v>45903</v>
      </c>
      <c r="B9" s="211">
        <v>2</v>
      </c>
      <c r="C9" s="5">
        <v>9.5000000000000001E-2</v>
      </c>
      <c r="D9" s="4">
        <v>-5</v>
      </c>
      <c r="E9" s="5">
        <v>0.222</v>
      </c>
      <c r="F9" s="4">
        <v>11</v>
      </c>
      <c r="G9" s="5">
        <v>0.498</v>
      </c>
      <c r="H9" s="4">
        <v>-0.4</v>
      </c>
      <c r="I9" s="5">
        <v>0.998</v>
      </c>
      <c r="J9" s="4">
        <v>-0.2</v>
      </c>
      <c r="K9" s="5">
        <v>5.2</v>
      </c>
      <c r="L9" s="4">
        <v>4</v>
      </c>
      <c r="M9" s="5">
        <v>9.7590000000000003</v>
      </c>
      <c r="N9" s="4">
        <v>-2.4</v>
      </c>
      <c r="O9" s="5">
        <v>38.807000000000002</v>
      </c>
      <c r="P9" s="4">
        <v>-3</v>
      </c>
      <c r="Q9" s="5">
        <v>50.838999999999999</v>
      </c>
      <c r="R9" s="4">
        <v>1.7</v>
      </c>
    </row>
    <row r="10" spans="1:18" ht="15.75" customHeight="1">
      <c r="A10" s="210"/>
      <c r="B10" s="180"/>
      <c r="C10" s="5">
        <v>9.6000000000000002E-2</v>
      </c>
      <c r="D10" s="4">
        <v>-4</v>
      </c>
      <c r="E10" s="5">
        <v>0.216</v>
      </c>
      <c r="F10" s="4">
        <v>8</v>
      </c>
      <c r="G10" s="5">
        <v>0.48299999999999998</v>
      </c>
      <c r="H10" s="4">
        <v>-3.4</v>
      </c>
      <c r="I10" s="5">
        <v>0.96199999999999997</v>
      </c>
      <c r="J10" s="4">
        <v>-3.8</v>
      </c>
      <c r="K10" s="5">
        <v>5.109</v>
      </c>
      <c r="L10" s="4">
        <v>2.2000000000000002</v>
      </c>
      <c r="M10" s="5">
        <v>9.9849999999999994</v>
      </c>
      <c r="N10" s="4">
        <v>-0.2</v>
      </c>
      <c r="O10" s="5">
        <v>37.712000000000003</v>
      </c>
      <c r="P10" s="4">
        <v>-5.7</v>
      </c>
      <c r="Q10" s="5">
        <v>50.311999999999998</v>
      </c>
      <c r="R10" s="4">
        <v>0.6</v>
      </c>
    </row>
    <row r="11" spans="1:18" ht="15.75" customHeight="1">
      <c r="A11" s="209">
        <v>45905</v>
      </c>
      <c r="B11" s="211">
        <v>3</v>
      </c>
      <c r="C11" s="5">
        <v>8.4000000000000005E-2</v>
      </c>
      <c r="D11" s="4">
        <v>-16</v>
      </c>
      <c r="E11" s="5">
        <v>0.2</v>
      </c>
      <c r="F11" s="4">
        <v>0</v>
      </c>
      <c r="G11" s="5">
        <v>0.50700000000000001</v>
      </c>
      <c r="H11" s="4">
        <v>1.4</v>
      </c>
      <c r="I11" s="5">
        <v>0.999</v>
      </c>
      <c r="J11" s="4">
        <v>-0.1</v>
      </c>
      <c r="K11" s="5">
        <v>5.1219999999999999</v>
      </c>
      <c r="L11" s="4">
        <v>2.4</v>
      </c>
      <c r="M11" s="5">
        <v>9.4960000000000004</v>
      </c>
      <c r="N11" s="4">
        <v>-5</v>
      </c>
      <c r="O11" s="5">
        <v>40.526000000000003</v>
      </c>
      <c r="P11" s="4">
        <v>1.3</v>
      </c>
      <c r="Q11" s="5">
        <v>51.290999999999997</v>
      </c>
      <c r="R11" s="4">
        <v>2.6</v>
      </c>
    </row>
    <row r="12" spans="1:18" ht="15.75" customHeight="1">
      <c r="A12" s="210"/>
      <c r="B12" s="180"/>
      <c r="C12" s="5">
        <v>0.115</v>
      </c>
      <c r="D12" s="4">
        <v>15</v>
      </c>
      <c r="E12" s="5">
        <v>0.20300000000000001</v>
      </c>
      <c r="F12" s="4">
        <v>1.5</v>
      </c>
      <c r="G12" s="5">
        <v>0.46800000000000003</v>
      </c>
      <c r="H12" s="4">
        <v>-6.4</v>
      </c>
      <c r="I12" s="5">
        <v>1.028</v>
      </c>
      <c r="J12" s="4">
        <v>2.8</v>
      </c>
      <c r="K12" s="5">
        <v>5.101</v>
      </c>
      <c r="L12" s="4">
        <v>2</v>
      </c>
      <c r="M12" s="5">
        <v>9.8699999999999992</v>
      </c>
      <c r="N12" s="4">
        <v>-1.3</v>
      </c>
      <c r="O12" s="5">
        <v>40.029000000000003</v>
      </c>
      <c r="P12" s="4">
        <v>0.1</v>
      </c>
      <c r="Q12" s="5">
        <v>49.392000000000003</v>
      </c>
      <c r="R12" s="4">
        <v>-1.2</v>
      </c>
    </row>
    <row r="13" spans="1:18" ht="15.75" customHeight="1">
      <c r="A13" s="209">
        <v>45906</v>
      </c>
      <c r="B13" s="211">
        <v>6</v>
      </c>
      <c r="C13" s="5">
        <v>0.1</v>
      </c>
      <c r="D13" s="4">
        <v>0</v>
      </c>
      <c r="E13" s="5">
        <v>0.19600000000000001</v>
      </c>
      <c r="F13" s="4">
        <v>-2</v>
      </c>
      <c r="G13" s="5">
        <v>0.498</v>
      </c>
      <c r="H13" s="4">
        <v>-0.4</v>
      </c>
      <c r="I13" s="5">
        <v>1.0269999999999999</v>
      </c>
      <c r="J13" s="4">
        <v>2.7</v>
      </c>
      <c r="K13" s="5">
        <v>5.1120000000000001</v>
      </c>
      <c r="L13" s="4">
        <v>2.2000000000000002</v>
      </c>
      <c r="M13" s="5">
        <v>9.8059999999999992</v>
      </c>
      <c r="N13" s="4">
        <v>-1.9</v>
      </c>
      <c r="O13" s="5">
        <v>38.770000000000003</v>
      </c>
      <c r="P13" s="4">
        <v>-3.1</v>
      </c>
      <c r="Q13" s="5">
        <v>52.265999999999998</v>
      </c>
      <c r="R13" s="4">
        <v>4.5</v>
      </c>
    </row>
    <row r="14" spans="1:18" ht="15.75" customHeight="1">
      <c r="A14" s="210"/>
      <c r="B14" s="180"/>
      <c r="C14" s="5">
        <v>0.1</v>
      </c>
      <c r="D14" s="4">
        <v>0</v>
      </c>
      <c r="E14" s="5">
        <v>0.20699999999999999</v>
      </c>
      <c r="F14" s="4">
        <v>3.5</v>
      </c>
      <c r="G14" s="5">
        <v>0.47699999999999998</v>
      </c>
      <c r="H14" s="4">
        <v>-4.5999999999999996</v>
      </c>
      <c r="I14" s="5">
        <v>0.99399999999999999</v>
      </c>
      <c r="J14" s="4">
        <v>-0.6</v>
      </c>
      <c r="K14" s="5">
        <v>5.2969999999999997</v>
      </c>
      <c r="L14" s="4">
        <v>5.9</v>
      </c>
      <c r="M14" s="5">
        <v>9.9290000000000003</v>
      </c>
      <c r="N14" s="4">
        <v>-0.7</v>
      </c>
      <c r="O14" s="5">
        <v>38.029000000000003</v>
      </c>
      <c r="P14" s="4">
        <v>-4.9000000000000004</v>
      </c>
      <c r="Q14" s="5">
        <v>49.613999999999997</v>
      </c>
      <c r="R14" s="4">
        <v>-0.8</v>
      </c>
    </row>
    <row r="15" spans="1:18" ht="15.75" customHeight="1">
      <c r="A15" s="209">
        <v>45998</v>
      </c>
      <c r="B15" s="211">
        <v>8</v>
      </c>
      <c r="C15" s="5">
        <v>8.2000000000000003E-2</v>
      </c>
      <c r="D15" s="4">
        <v>-18</v>
      </c>
      <c r="E15" s="5">
        <v>0.23</v>
      </c>
      <c r="F15" s="4">
        <v>15</v>
      </c>
      <c r="G15" s="5">
        <v>0.505</v>
      </c>
      <c r="H15" s="4">
        <v>1</v>
      </c>
      <c r="I15" s="5">
        <v>0.94199999999999995</v>
      </c>
      <c r="J15" s="4">
        <v>-5.8</v>
      </c>
      <c r="K15" s="5">
        <v>4.9240000000000004</v>
      </c>
      <c r="L15" s="4">
        <v>-1.5</v>
      </c>
      <c r="M15" s="5">
        <v>10.170999999999999</v>
      </c>
      <c r="N15" s="4">
        <v>1.7</v>
      </c>
      <c r="O15" s="5">
        <v>36.841999999999999</v>
      </c>
      <c r="P15" s="4">
        <v>-7.9</v>
      </c>
      <c r="Q15" s="5">
        <v>50.374000000000002</v>
      </c>
      <c r="R15" s="4">
        <v>0.7</v>
      </c>
    </row>
    <row r="16" spans="1:18" ht="15.75" customHeight="1">
      <c r="A16" s="210"/>
      <c r="B16" s="180"/>
      <c r="C16" s="5">
        <v>0.109</v>
      </c>
      <c r="D16" s="4">
        <v>9</v>
      </c>
      <c r="E16" s="5">
        <v>0.20100000000000001</v>
      </c>
      <c r="F16" s="4">
        <v>0.5</v>
      </c>
      <c r="G16" s="5">
        <v>0.54300000000000004</v>
      </c>
      <c r="H16" s="4">
        <v>8.6</v>
      </c>
      <c r="I16" s="5">
        <v>0.96899999999999997</v>
      </c>
      <c r="J16" s="4">
        <v>-3.1</v>
      </c>
      <c r="K16" s="5">
        <v>5.0540000000000003</v>
      </c>
      <c r="L16" s="4">
        <v>1.1000000000000001</v>
      </c>
      <c r="M16" s="5">
        <v>10.679</v>
      </c>
      <c r="N16" s="4">
        <v>6.8</v>
      </c>
      <c r="O16" s="5">
        <v>37.508000000000003</v>
      </c>
      <c r="P16" s="4">
        <v>-6.2</v>
      </c>
      <c r="Q16" s="5">
        <v>49.003</v>
      </c>
      <c r="R16" s="4">
        <v>-2</v>
      </c>
    </row>
    <row r="17" spans="1:18" ht="15.75" customHeight="1">
      <c r="A17" s="209">
        <v>46007</v>
      </c>
      <c r="B17" s="211">
        <v>9</v>
      </c>
      <c r="C17" s="5">
        <v>0.108</v>
      </c>
      <c r="D17" s="4">
        <v>8</v>
      </c>
      <c r="E17" s="5">
        <v>0.19800000000000001</v>
      </c>
      <c r="F17" s="4">
        <v>-1</v>
      </c>
      <c r="G17" s="5">
        <v>0.45500000000000002</v>
      </c>
      <c r="H17" s="4">
        <v>-9</v>
      </c>
      <c r="I17" s="5">
        <v>0.93700000000000006</v>
      </c>
      <c r="J17" s="4">
        <v>-6.3</v>
      </c>
      <c r="K17" s="5">
        <v>5.0679999999999996</v>
      </c>
      <c r="L17" s="4">
        <v>1.4</v>
      </c>
      <c r="M17" s="5">
        <v>10.065</v>
      </c>
      <c r="N17" s="4">
        <v>0.7</v>
      </c>
      <c r="O17" s="5">
        <v>39.857999999999997</v>
      </c>
      <c r="P17" s="4">
        <v>-0.4</v>
      </c>
      <c r="Q17" s="5">
        <v>53.460999999999999</v>
      </c>
      <c r="R17" s="4">
        <v>6.9</v>
      </c>
    </row>
    <row r="18" spans="1:18" ht="15.75" customHeight="1">
      <c r="A18" s="210"/>
      <c r="B18" s="180"/>
      <c r="C18" s="5">
        <v>9.2999999999999999E-2</v>
      </c>
      <c r="D18" s="4">
        <v>-7</v>
      </c>
      <c r="E18" s="5">
        <v>0.21299999999999999</v>
      </c>
      <c r="F18" s="4">
        <v>6.5</v>
      </c>
      <c r="G18" s="5">
        <v>0.48099999999999998</v>
      </c>
      <c r="H18" s="4">
        <v>-3.8</v>
      </c>
      <c r="I18" s="5">
        <v>0.96399999999999997</v>
      </c>
      <c r="J18" s="4">
        <v>-3.6</v>
      </c>
      <c r="K18" s="5">
        <v>5.0750000000000002</v>
      </c>
      <c r="L18" s="4">
        <v>1.5</v>
      </c>
      <c r="M18" s="5">
        <v>10.372999999999999</v>
      </c>
      <c r="N18" s="4">
        <v>3.7</v>
      </c>
      <c r="O18" s="5">
        <v>40.048000000000002</v>
      </c>
      <c r="P18" s="4">
        <v>0.1</v>
      </c>
      <c r="Q18" s="5">
        <v>51.292000000000002</v>
      </c>
      <c r="R18" s="4">
        <v>2.6</v>
      </c>
    </row>
    <row r="19" spans="1:18" ht="15.75" customHeight="1">
      <c r="A19" s="6" t="s">
        <v>77</v>
      </c>
      <c r="B19" s="199"/>
      <c r="C19" s="6">
        <v>9.8000000000000004E-2</v>
      </c>
      <c r="D19" s="199"/>
      <c r="E19" s="6">
        <v>0.20799999999999999</v>
      </c>
      <c r="F19" s="199"/>
      <c r="G19" s="6">
        <v>0.495</v>
      </c>
      <c r="H19" s="199"/>
      <c r="I19" s="6">
        <v>0.98599999999999999</v>
      </c>
      <c r="J19" s="199"/>
      <c r="K19" s="36">
        <v>5.08</v>
      </c>
      <c r="L19" s="199"/>
      <c r="M19" s="6">
        <v>9.9939999999999998</v>
      </c>
      <c r="N19" s="199"/>
      <c r="O19" s="6">
        <v>38.896999999999998</v>
      </c>
      <c r="P19" s="199"/>
      <c r="Q19" s="6">
        <v>50.661000000000001</v>
      </c>
      <c r="R19" s="212"/>
    </row>
    <row r="20" spans="1:18" ht="15.75" customHeight="1">
      <c r="A20" s="6" t="s">
        <v>3</v>
      </c>
      <c r="B20" s="200"/>
      <c r="C20" s="36">
        <v>0.01</v>
      </c>
      <c r="D20" s="200"/>
      <c r="E20" s="6">
        <v>1.2999999999999999E-2</v>
      </c>
      <c r="F20" s="200"/>
      <c r="G20" s="6">
        <v>2.7E-2</v>
      </c>
      <c r="H20" s="200"/>
      <c r="I20" s="6">
        <v>3.3000000000000002E-2</v>
      </c>
      <c r="J20" s="200"/>
      <c r="K20" s="6">
        <v>0.107</v>
      </c>
      <c r="L20" s="200"/>
      <c r="M20" s="6">
        <v>0.30599999999999999</v>
      </c>
      <c r="N20" s="200"/>
      <c r="O20" s="6">
        <v>1.2030000000000001</v>
      </c>
      <c r="P20" s="200"/>
      <c r="Q20" s="6">
        <v>1.268</v>
      </c>
      <c r="R20" s="213"/>
    </row>
    <row r="21" spans="1:18" ht="15.75" customHeight="1">
      <c r="A21" s="6" t="s">
        <v>7</v>
      </c>
      <c r="B21" s="200"/>
      <c r="C21" s="6">
        <v>10.199999999999999</v>
      </c>
      <c r="D21" s="200"/>
      <c r="E21" s="6">
        <v>6.3</v>
      </c>
      <c r="F21" s="200"/>
      <c r="G21" s="6">
        <v>5.5</v>
      </c>
      <c r="H21" s="200"/>
      <c r="I21" s="6">
        <v>3.3</v>
      </c>
      <c r="J21" s="200"/>
      <c r="K21" s="6">
        <v>2.1</v>
      </c>
      <c r="L21" s="200"/>
      <c r="M21" s="6">
        <v>3.1</v>
      </c>
      <c r="N21" s="200"/>
      <c r="O21" s="6">
        <v>3.1</v>
      </c>
      <c r="P21" s="200"/>
      <c r="Q21" s="6">
        <v>2.5</v>
      </c>
      <c r="R21" s="213"/>
    </row>
    <row r="22" spans="1:18" ht="15.75" customHeight="1">
      <c r="A22" s="6" t="s">
        <v>24</v>
      </c>
      <c r="B22" s="200"/>
      <c r="C22" s="37">
        <v>-2</v>
      </c>
      <c r="D22" s="200"/>
      <c r="E22" s="37">
        <v>4</v>
      </c>
      <c r="F22" s="200"/>
      <c r="G22" s="37">
        <v>-1</v>
      </c>
      <c r="H22" s="200"/>
      <c r="I22" s="6">
        <v>-1.4</v>
      </c>
      <c r="J22" s="200"/>
      <c r="K22" s="6">
        <v>1.6</v>
      </c>
      <c r="L22" s="200"/>
      <c r="M22" s="6">
        <v>-0.1</v>
      </c>
      <c r="N22" s="200"/>
      <c r="O22" s="6">
        <v>-2.8</v>
      </c>
      <c r="P22" s="200"/>
      <c r="Q22" s="6">
        <v>1.3</v>
      </c>
      <c r="R22" s="213"/>
    </row>
    <row r="23" spans="1:18" ht="15.75" customHeight="1">
      <c r="A23" s="6" t="s">
        <v>4</v>
      </c>
      <c r="B23" s="201"/>
      <c r="C23" s="38">
        <v>12</v>
      </c>
      <c r="D23" s="201"/>
      <c r="E23" s="38">
        <v>12</v>
      </c>
      <c r="F23" s="201"/>
      <c r="G23" s="38">
        <v>12</v>
      </c>
      <c r="H23" s="201"/>
      <c r="I23" s="38">
        <v>12</v>
      </c>
      <c r="J23" s="201"/>
      <c r="K23" s="38">
        <v>12</v>
      </c>
      <c r="L23" s="201"/>
      <c r="M23" s="38">
        <v>12</v>
      </c>
      <c r="N23" s="201"/>
      <c r="O23" s="38">
        <v>12</v>
      </c>
      <c r="P23" s="201"/>
      <c r="Q23" s="38">
        <v>12</v>
      </c>
      <c r="R23" s="214"/>
    </row>
    <row r="24" spans="1:18" ht="15.75" customHeight="1">
      <c r="A24" s="215"/>
      <c r="B24" s="215"/>
      <c r="C24" s="215"/>
      <c r="D24" s="215"/>
    </row>
  </sheetData>
  <mergeCells count="33">
    <mergeCell ref="A24:D24"/>
    <mergeCell ref="J19:J23"/>
    <mergeCell ref="L19:L23"/>
    <mergeCell ref="N19:N23"/>
    <mergeCell ref="P19:P23"/>
    <mergeCell ref="F19:F23"/>
    <mergeCell ref="H19:H23"/>
    <mergeCell ref="A11:A12"/>
    <mergeCell ref="B11:B12"/>
    <mergeCell ref="R19:R23"/>
    <mergeCell ref="B19:B23"/>
    <mergeCell ref="D19:D23"/>
    <mergeCell ref="A15:A16"/>
    <mergeCell ref="B15:B16"/>
    <mergeCell ref="A13:A14"/>
    <mergeCell ref="B13:B14"/>
    <mergeCell ref="A17:A18"/>
    <mergeCell ref="B17:B18"/>
    <mergeCell ref="A7:A8"/>
    <mergeCell ref="B7:B8"/>
    <mergeCell ref="A9:A10"/>
    <mergeCell ref="R4:R6"/>
    <mergeCell ref="A2:E2"/>
    <mergeCell ref="A4:A6"/>
    <mergeCell ref="B4:B6"/>
    <mergeCell ref="D4:D6"/>
    <mergeCell ref="F4:F6"/>
    <mergeCell ref="H4:H6"/>
    <mergeCell ref="J4:J6"/>
    <mergeCell ref="L4:L6"/>
    <mergeCell ref="N4:N6"/>
    <mergeCell ref="P4:P6"/>
    <mergeCell ref="B9:B10"/>
  </mergeCells>
  <phoneticPr fontId="12" type="noConversion"/>
  <pageMargins left="0.7" right="0.7" top="0.75" bottom="0.75" header="0.3" footer="0.3"/>
  <pageSetup paperSize="9" scale="5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19CB-6839-48F6-AAF7-666816DAF3AF}">
  <dimension ref="A2:P66"/>
  <sheetViews>
    <sheetView zoomScale="55" zoomScaleNormal="55" workbookViewId="0">
      <selection activeCell="L51" sqref="A4:L55"/>
    </sheetView>
  </sheetViews>
  <sheetFormatPr defaultColWidth="8.75" defaultRowHeight="15.75" customHeight="1"/>
  <cols>
    <col min="1" max="1" width="18.08203125" style="22" customWidth="1"/>
    <col min="2" max="2" width="9.75" style="22" customWidth="1"/>
    <col min="3" max="3" width="10.75" style="22" customWidth="1"/>
    <col min="4" max="4" width="10.75" style="25" customWidth="1"/>
    <col min="5" max="5" width="10.75" style="22" customWidth="1"/>
    <col min="6" max="6" width="10.75" style="25" customWidth="1"/>
    <col min="7" max="7" width="10.75" style="22" customWidth="1"/>
    <col min="8" max="8" width="10.75" style="25" customWidth="1"/>
    <col min="9" max="9" width="10.75" style="22" customWidth="1"/>
    <col min="10" max="10" width="10.75" style="25" customWidth="1"/>
    <col min="11" max="11" width="12.33203125" style="22" customWidth="1"/>
    <col min="12" max="12" width="12" style="25" customWidth="1"/>
    <col min="13" max="16384" width="8.75" style="22"/>
  </cols>
  <sheetData>
    <row r="2" spans="1:16" ht="15.75" customHeight="1">
      <c r="A2" s="184" t="s">
        <v>174</v>
      </c>
      <c r="B2" s="184"/>
      <c r="C2" s="184"/>
      <c r="D2" s="184"/>
      <c r="E2" s="184"/>
    </row>
    <row r="3" spans="1:16" ht="15.75" customHeight="1">
      <c r="A3" s="19"/>
      <c r="B3" s="19"/>
      <c r="C3" s="19"/>
      <c r="D3" s="33"/>
      <c r="E3" s="19"/>
    </row>
    <row r="4" spans="1:16" ht="15.75" customHeight="1">
      <c r="A4" s="216" t="s">
        <v>175</v>
      </c>
      <c r="B4" s="216" t="s">
        <v>176</v>
      </c>
      <c r="C4" s="64" t="s">
        <v>177</v>
      </c>
      <c r="D4" s="219" t="s">
        <v>178</v>
      </c>
      <c r="E4" s="65" t="s">
        <v>2</v>
      </c>
      <c r="F4" s="219" t="s">
        <v>178</v>
      </c>
      <c r="G4" s="65" t="s">
        <v>179</v>
      </c>
      <c r="H4" s="219" t="s">
        <v>178</v>
      </c>
      <c r="I4" s="65" t="s">
        <v>1</v>
      </c>
      <c r="J4" s="219" t="s">
        <v>178</v>
      </c>
      <c r="K4" s="65" t="s">
        <v>0</v>
      </c>
      <c r="L4" s="219" t="s">
        <v>178</v>
      </c>
      <c r="M4" s="66"/>
      <c r="N4" s="66"/>
      <c r="O4" s="66"/>
      <c r="P4" s="66"/>
    </row>
    <row r="5" spans="1:16" ht="15.75" customHeight="1">
      <c r="A5" s="217"/>
      <c r="B5" s="217"/>
      <c r="C5" s="67">
        <v>0.1</v>
      </c>
      <c r="D5" s="220"/>
      <c r="E5" s="68">
        <v>0.3</v>
      </c>
      <c r="F5" s="220"/>
      <c r="G5" s="68">
        <v>2.2000000000000002</v>
      </c>
      <c r="H5" s="220"/>
      <c r="I5" s="68">
        <v>15</v>
      </c>
      <c r="J5" s="220"/>
      <c r="K5" s="68">
        <v>37.5</v>
      </c>
      <c r="L5" s="220"/>
      <c r="M5" s="66"/>
      <c r="N5" s="66"/>
      <c r="O5" s="66"/>
      <c r="P5" s="66"/>
    </row>
    <row r="6" spans="1:16" ht="15.75" customHeight="1">
      <c r="A6" s="218"/>
      <c r="B6" s="218"/>
      <c r="C6" s="69" t="s">
        <v>5</v>
      </c>
      <c r="D6" s="221"/>
      <c r="E6" s="69" t="s">
        <v>5</v>
      </c>
      <c r="F6" s="221"/>
      <c r="G6" s="69" t="s">
        <v>5</v>
      </c>
      <c r="H6" s="221"/>
      <c r="I6" s="69" t="s">
        <v>5</v>
      </c>
      <c r="J6" s="221"/>
      <c r="K6" s="69" t="s">
        <v>5</v>
      </c>
      <c r="L6" s="221"/>
      <c r="M6" s="66"/>
      <c r="N6" s="66"/>
      <c r="O6" s="66"/>
      <c r="P6" s="66"/>
    </row>
    <row r="7" spans="1:16" ht="15.75" customHeight="1">
      <c r="A7" s="222">
        <v>45902</v>
      </c>
      <c r="B7" s="223">
        <v>1</v>
      </c>
      <c r="C7" s="70">
        <v>0.104</v>
      </c>
      <c r="D7" s="75">
        <v>4</v>
      </c>
      <c r="E7" s="70">
        <v>0.28599999999999998</v>
      </c>
      <c r="F7" s="75">
        <v>-4.7</v>
      </c>
      <c r="G7" s="70">
        <v>2.3410000000000002</v>
      </c>
      <c r="H7" s="75">
        <v>6.4</v>
      </c>
      <c r="I7" s="70">
        <v>14.646000000000001</v>
      </c>
      <c r="J7" s="75">
        <v>-2.4</v>
      </c>
      <c r="K7" s="70">
        <v>39.896000000000001</v>
      </c>
      <c r="L7" s="75">
        <v>6.4</v>
      </c>
      <c r="M7" s="66"/>
      <c r="N7" s="66"/>
      <c r="O7" s="66"/>
      <c r="P7" s="66"/>
    </row>
    <row r="8" spans="1:16" ht="15.75" customHeight="1">
      <c r="A8" s="222"/>
      <c r="B8" s="224"/>
      <c r="C8" s="70">
        <v>8.7999999999999995E-2</v>
      </c>
      <c r="D8" s="75">
        <v>-12</v>
      </c>
      <c r="E8" s="70">
        <v>0.33400000000000002</v>
      </c>
      <c r="F8" s="75">
        <v>11.3</v>
      </c>
      <c r="G8" s="70">
        <v>2.371</v>
      </c>
      <c r="H8" s="75">
        <v>7.8</v>
      </c>
      <c r="I8" s="70">
        <v>15.263999999999999</v>
      </c>
      <c r="J8" s="75">
        <v>1.8</v>
      </c>
      <c r="K8" s="70">
        <v>37.697000000000003</v>
      </c>
      <c r="L8" s="75">
        <v>0.5</v>
      </c>
      <c r="M8" s="66"/>
      <c r="N8" s="66"/>
      <c r="O8" s="66"/>
      <c r="P8" s="66"/>
    </row>
    <row r="9" spans="1:16" ht="15.75" customHeight="1">
      <c r="A9" s="222"/>
      <c r="B9" s="224"/>
      <c r="C9" s="70">
        <v>9.5000000000000001E-2</v>
      </c>
      <c r="D9" s="75">
        <v>-5</v>
      </c>
      <c r="E9" s="70">
        <v>0.314</v>
      </c>
      <c r="F9" s="75">
        <v>4.7</v>
      </c>
      <c r="G9" s="70" t="s">
        <v>180</v>
      </c>
      <c r="H9" s="75">
        <v>16.600000000000001</v>
      </c>
      <c r="I9" s="70">
        <v>15.271000000000001</v>
      </c>
      <c r="J9" s="75">
        <v>1.8</v>
      </c>
      <c r="K9" s="70">
        <v>39.07</v>
      </c>
      <c r="L9" s="75">
        <v>4.2</v>
      </c>
      <c r="M9" s="66"/>
      <c r="N9" s="66"/>
      <c r="O9" s="66"/>
      <c r="P9" s="66"/>
    </row>
    <row r="10" spans="1:16" ht="15.75" customHeight="1">
      <c r="A10" s="222"/>
      <c r="B10" s="224"/>
      <c r="C10" s="70">
        <v>9.7000000000000003E-2</v>
      </c>
      <c r="D10" s="75">
        <v>-3</v>
      </c>
      <c r="E10" s="70">
        <v>0.33900000000000002</v>
      </c>
      <c r="F10" s="75">
        <v>13</v>
      </c>
      <c r="G10" s="70">
        <v>2.339</v>
      </c>
      <c r="H10" s="75">
        <v>6.3</v>
      </c>
      <c r="I10" s="70">
        <v>15.321</v>
      </c>
      <c r="J10" s="75">
        <v>2.1</v>
      </c>
      <c r="K10" s="70">
        <v>39.874000000000002</v>
      </c>
      <c r="L10" s="75">
        <v>6.3</v>
      </c>
      <c r="M10" s="66"/>
      <c r="N10" s="66"/>
      <c r="O10" s="66"/>
      <c r="P10" s="66"/>
    </row>
    <row r="11" spans="1:16" ht="15.75" customHeight="1">
      <c r="A11" s="222"/>
      <c r="B11" s="224"/>
      <c r="C11" s="70">
        <v>9.8000000000000004E-2</v>
      </c>
      <c r="D11" s="75">
        <v>-2</v>
      </c>
      <c r="E11" s="70">
        <v>0.31900000000000001</v>
      </c>
      <c r="F11" s="75">
        <v>6.3</v>
      </c>
      <c r="G11" s="70">
        <v>2.3540000000000001</v>
      </c>
      <c r="H11" s="75">
        <v>7</v>
      </c>
      <c r="I11" s="70">
        <v>16.308</v>
      </c>
      <c r="J11" s="75">
        <v>8.6999999999999993</v>
      </c>
      <c r="K11" s="70">
        <v>41.131999999999998</v>
      </c>
      <c r="L11" s="75">
        <v>9.6999999999999993</v>
      </c>
      <c r="M11" s="66"/>
      <c r="N11" s="66"/>
      <c r="O11" s="66"/>
      <c r="P11" s="66"/>
    </row>
    <row r="12" spans="1:16" ht="15.75" customHeight="1">
      <c r="A12" s="222"/>
      <c r="B12" s="225"/>
      <c r="C12" s="70">
        <v>0.104</v>
      </c>
      <c r="D12" s="75">
        <v>4</v>
      </c>
      <c r="E12" s="70">
        <v>0.27500000000000002</v>
      </c>
      <c r="F12" s="75">
        <v>-8.3000000000000007</v>
      </c>
      <c r="G12" s="70">
        <v>2.4039999999999999</v>
      </c>
      <c r="H12" s="75">
        <v>9.3000000000000007</v>
      </c>
      <c r="I12" s="70">
        <v>15.491</v>
      </c>
      <c r="J12" s="75">
        <v>3.3</v>
      </c>
      <c r="K12" s="70">
        <v>41.524000000000001</v>
      </c>
      <c r="L12" s="75">
        <v>10.7</v>
      </c>
      <c r="M12" s="66"/>
      <c r="N12" s="66"/>
      <c r="O12" s="66"/>
      <c r="P12" s="66"/>
    </row>
    <row r="13" spans="1:16" ht="15.75" customHeight="1">
      <c r="A13" s="65" t="s">
        <v>181</v>
      </c>
      <c r="B13" s="203"/>
      <c r="C13" s="70">
        <v>9.8000000000000004E-2</v>
      </c>
      <c r="D13" s="226"/>
      <c r="E13" s="70">
        <v>0.311</v>
      </c>
      <c r="F13" s="226"/>
      <c r="G13" s="70">
        <v>2.3959999999999999</v>
      </c>
      <c r="H13" s="226"/>
      <c r="I13" s="70">
        <v>15.384</v>
      </c>
      <c r="J13" s="226"/>
      <c r="K13" s="70">
        <v>39.866</v>
      </c>
      <c r="L13" s="226"/>
      <c r="M13" s="66"/>
      <c r="N13" s="66"/>
      <c r="O13" s="66"/>
      <c r="P13" s="66"/>
    </row>
    <row r="14" spans="1:16" ht="15.75" customHeight="1">
      <c r="A14" s="65" t="s">
        <v>182</v>
      </c>
      <c r="B14" s="204"/>
      <c r="C14" s="70">
        <v>6.0000000000000001E-3</v>
      </c>
      <c r="D14" s="227"/>
      <c r="E14" s="70">
        <v>2.5999999999999999E-2</v>
      </c>
      <c r="F14" s="227"/>
      <c r="G14" s="70">
        <v>8.6999999999999994E-2</v>
      </c>
      <c r="H14" s="227"/>
      <c r="I14" s="70">
        <v>0.53700000000000003</v>
      </c>
      <c r="J14" s="227"/>
      <c r="K14" s="70">
        <v>1.3919999999999999</v>
      </c>
      <c r="L14" s="227"/>
      <c r="M14" s="66"/>
      <c r="N14" s="66"/>
      <c r="O14" s="66"/>
      <c r="P14" s="66"/>
    </row>
    <row r="15" spans="1:16" ht="15.75" customHeight="1">
      <c r="A15" s="65" t="s">
        <v>183</v>
      </c>
      <c r="B15" s="204"/>
      <c r="C15" s="75">
        <v>6.1</v>
      </c>
      <c r="D15" s="227"/>
      <c r="E15" s="75">
        <v>8.4</v>
      </c>
      <c r="F15" s="227"/>
      <c r="G15" s="75">
        <v>3.6</v>
      </c>
      <c r="H15" s="227"/>
      <c r="I15" s="75">
        <v>3.5</v>
      </c>
      <c r="J15" s="227"/>
      <c r="K15" s="75">
        <v>3.5</v>
      </c>
      <c r="L15" s="227"/>
      <c r="M15" s="66"/>
      <c r="N15" s="66"/>
      <c r="O15" s="66"/>
      <c r="P15" s="66"/>
    </row>
    <row r="16" spans="1:16" ht="15.75" customHeight="1">
      <c r="A16" s="65" t="s">
        <v>184</v>
      </c>
      <c r="B16" s="204"/>
      <c r="C16" s="75">
        <v>-2</v>
      </c>
      <c r="D16" s="227"/>
      <c r="E16" s="75">
        <v>3.7</v>
      </c>
      <c r="F16" s="227"/>
      <c r="G16" s="75">
        <v>8.9</v>
      </c>
      <c r="H16" s="227"/>
      <c r="I16" s="75">
        <v>2.6</v>
      </c>
      <c r="J16" s="227"/>
      <c r="K16" s="75">
        <v>6.3</v>
      </c>
      <c r="L16" s="227"/>
      <c r="M16" s="66"/>
      <c r="N16" s="66"/>
      <c r="O16" s="66"/>
      <c r="P16" s="66"/>
    </row>
    <row r="17" spans="1:16" ht="15.75" customHeight="1">
      <c r="A17" s="65" t="s">
        <v>4</v>
      </c>
      <c r="B17" s="205"/>
      <c r="C17" s="53">
        <v>6</v>
      </c>
      <c r="D17" s="228"/>
      <c r="E17" s="53">
        <v>6</v>
      </c>
      <c r="F17" s="228"/>
      <c r="G17" s="53">
        <v>6</v>
      </c>
      <c r="H17" s="228"/>
      <c r="I17" s="53">
        <v>6</v>
      </c>
      <c r="J17" s="228"/>
      <c r="K17" s="53">
        <v>6</v>
      </c>
      <c r="L17" s="228"/>
      <c r="M17" s="66"/>
      <c r="N17" s="66"/>
      <c r="O17" s="66"/>
      <c r="P17" s="66"/>
    </row>
    <row r="18" spans="1:16" ht="15.75" customHeight="1">
      <c r="A18" s="222">
        <v>45903</v>
      </c>
      <c r="B18" s="216">
        <v>2</v>
      </c>
      <c r="C18" s="70">
        <v>8.8999999999999996E-2</v>
      </c>
      <c r="D18" s="75">
        <v>-11</v>
      </c>
      <c r="E18" s="70">
        <v>0.30299999999999999</v>
      </c>
      <c r="F18" s="75">
        <v>1</v>
      </c>
      <c r="G18" s="70">
        <v>2.101</v>
      </c>
      <c r="H18" s="75">
        <v>-4.5</v>
      </c>
      <c r="I18" s="70">
        <v>15.786</v>
      </c>
      <c r="J18" s="75">
        <v>5.2</v>
      </c>
      <c r="K18" s="70">
        <v>39.539000000000001</v>
      </c>
      <c r="L18" s="75">
        <v>5.4</v>
      </c>
      <c r="M18" s="66"/>
      <c r="N18" s="22" t="s">
        <v>185</v>
      </c>
    </row>
    <row r="19" spans="1:16" ht="15.75" customHeight="1">
      <c r="A19" s="222"/>
      <c r="B19" s="217"/>
      <c r="C19" s="70">
        <v>9.8000000000000004E-2</v>
      </c>
      <c r="D19" s="75">
        <v>-2</v>
      </c>
      <c r="E19" s="70">
        <v>0.33800000000000002</v>
      </c>
      <c r="F19" s="75">
        <v>12.7</v>
      </c>
      <c r="G19" s="70">
        <v>2.1709999999999998</v>
      </c>
      <c r="H19" s="75">
        <v>-1.3</v>
      </c>
      <c r="I19" s="70">
        <v>14.823</v>
      </c>
      <c r="J19" s="75">
        <v>-1.2</v>
      </c>
      <c r="K19" s="70">
        <v>39.277000000000001</v>
      </c>
      <c r="L19" s="75">
        <v>4.7</v>
      </c>
      <c r="M19" s="66"/>
      <c r="N19" s="71" t="s">
        <v>186</v>
      </c>
      <c r="O19" s="22" t="s">
        <v>187</v>
      </c>
      <c r="P19" s="22" t="s">
        <v>188</v>
      </c>
    </row>
    <row r="20" spans="1:16" ht="15.75" customHeight="1">
      <c r="A20" s="222"/>
      <c r="B20" s="217"/>
      <c r="C20" s="70">
        <v>0.113</v>
      </c>
      <c r="D20" s="75">
        <v>13</v>
      </c>
      <c r="E20" s="70">
        <v>0.33700000000000002</v>
      </c>
      <c r="F20" s="75">
        <v>12.3</v>
      </c>
      <c r="G20" s="70">
        <v>2.1469999999999998</v>
      </c>
      <c r="H20" s="75">
        <v>-2.4</v>
      </c>
      <c r="I20" s="70">
        <v>14.816000000000001</v>
      </c>
      <c r="J20" s="75">
        <v>-1.2</v>
      </c>
      <c r="K20" s="70">
        <v>40.439</v>
      </c>
      <c r="L20" s="75">
        <v>7.8</v>
      </c>
      <c r="M20" s="66"/>
      <c r="N20" s="71" t="s">
        <v>189</v>
      </c>
      <c r="O20" s="72">
        <f>MAX(E16,G16,I16,K16,E27,G27,I27,K27,E38,G38,I38,K38,E49,G49,I49,K49)</f>
        <v>11.2</v>
      </c>
      <c r="P20" s="72">
        <f>MIN(E16,G16,I16,K16,E27,G27,I27,K27,E38,G38,I38,K38,E49,G49,I49,K49)</f>
        <v>0.2</v>
      </c>
    </row>
    <row r="21" spans="1:16" ht="15.75" customHeight="1">
      <c r="A21" s="222"/>
      <c r="B21" s="217"/>
      <c r="C21" s="70">
        <v>9.9000000000000005E-2</v>
      </c>
      <c r="D21" s="75">
        <v>-1</v>
      </c>
      <c r="E21" s="70">
        <v>0.29599999999999999</v>
      </c>
      <c r="F21" s="75">
        <v>-1.3</v>
      </c>
      <c r="G21" s="70">
        <v>2.3029999999999999</v>
      </c>
      <c r="H21" s="75">
        <v>4.7</v>
      </c>
      <c r="I21" s="70">
        <v>14.045999999999999</v>
      </c>
      <c r="J21" s="75">
        <v>-6.4</v>
      </c>
      <c r="K21" s="70">
        <v>40.179000000000002</v>
      </c>
      <c r="L21" s="75">
        <v>7.1</v>
      </c>
      <c r="M21" s="66"/>
      <c r="N21" s="22" t="s">
        <v>190</v>
      </c>
      <c r="O21" s="72">
        <f>MAX(E15,G15,I15,K15,E26,G26,I26,K26,E37,G37,I37,K37,E48,G48,I48,K48)</f>
        <v>8.4</v>
      </c>
      <c r="P21" s="72">
        <f>MIN(E15,G15,I15,K15,E26,G26,I26,K26,E37,G37,I37,K37,E48,G48,I48,K48)</f>
        <v>2.7</v>
      </c>
    </row>
    <row r="22" spans="1:16" ht="15.75" customHeight="1">
      <c r="A22" s="222"/>
      <c r="B22" s="217"/>
      <c r="C22" s="70">
        <v>0.10100000000000001</v>
      </c>
      <c r="D22" s="75">
        <v>1</v>
      </c>
      <c r="E22" s="70">
        <v>0.29799999999999999</v>
      </c>
      <c r="F22" s="75">
        <v>-0.7</v>
      </c>
      <c r="G22" s="70">
        <v>2.234</v>
      </c>
      <c r="H22" s="75">
        <v>1.5</v>
      </c>
      <c r="I22" s="70">
        <v>15.718999999999999</v>
      </c>
      <c r="J22" s="75">
        <v>4.8</v>
      </c>
      <c r="K22" s="70">
        <v>37.668999999999997</v>
      </c>
      <c r="L22" s="75">
        <v>0.5</v>
      </c>
      <c r="M22" s="66"/>
    </row>
    <row r="23" spans="1:16" ht="15.75" customHeight="1">
      <c r="A23" s="222"/>
      <c r="B23" s="218"/>
      <c r="C23" s="70">
        <v>9.2999999999999999E-2</v>
      </c>
      <c r="D23" s="75">
        <v>-7</v>
      </c>
      <c r="E23" s="70">
        <v>0.315</v>
      </c>
      <c r="F23" s="75">
        <v>5</v>
      </c>
      <c r="G23" s="70">
        <v>2.2690000000000001</v>
      </c>
      <c r="H23" s="75">
        <v>3.1</v>
      </c>
      <c r="I23" s="70">
        <v>15.021000000000001</v>
      </c>
      <c r="J23" s="75">
        <v>0.1</v>
      </c>
      <c r="K23" s="70">
        <v>42.08</v>
      </c>
      <c r="L23" s="75">
        <v>12.2</v>
      </c>
      <c r="M23" s="66"/>
      <c r="N23" s="71" t="s">
        <v>191</v>
      </c>
      <c r="O23" s="22" t="s">
        <v>187</v>
      </c>
      <c r="P23" s="22" t="s">
        <v>188</v>
      </c>
    </row>
    <row r="24" spans="1:16" ht="15.75" customHeight="1">
      <c r="A24" s="65" t="s">
        <v>181</v>
      </c>
      <c r="B24" s="203"/>
      <c r="C24" s="70">
        <v>9.9000000000000005E-2</v>
      </c>
      <c r="D24" s="226"/>
      <c r="E24" s="70">
        <v>0.315</v>
      </c>
      <c r="F24" s="226"/>
      <c r="G24" s="70">
        <v>2.2040000000000002</v>
      </c>
      <c r="H24" s="226"/>
      <c r="I24" s="70">
        <v>15.035</v>
      </c>
      <c r="J24" s="226"/>
      <c r="K24" s="70">
        <v>39.863999999999997</v>
      </c>
      <c r="L24" s="226"/>
      <c r="M24" s="66"/>
      <c r="N24" s="71" t="s">
        <v>189</v>
      </c>
      <c r="O24" s="72">
        <f>MAX(E54,G54,I54,K54,)</f>
        <v>6.8</v>
      </c>
      <c r="P24" s="72">
        <f>MIN(E54,G54,I54,K54)</f>
        <v>2.8</v>
      </c>
    </row>
    <row r="25" spans="1:16" ht="15.75" customHeight="1">
      <c r="A25" s="65" t="s">
        <v>182</v>
      </c>
      <c r="B25" s="204"/>
      <c r="C25" s="70">
        <v>8.0000000000000002E-3</v>
      </c>
      <c r="D25" s="227"/>
      <c r="E25" s="70">
        <v>1.9E-2</v>
      </c>
      <c r="F25" s="227"/>
      <c r="G25" s="70">
        <v>7.6999999999999999E-2</v>
      </c>
      <c r="H25" s="227"/>
      <c r="I25" s="70">
        <v>0.64900000000000002</v>
      </c>
      <c r="J25" s="227"/>
      <c r="K25" s="70">
        <v>1.4570000000000001</v>
      </c>
      <c r="L25" s="227"/>
      <c r="M25" s="66"/>
      <c r="N25" s="22" t="s">
        <v>190</v>
      </c>
      <c r="O25" s="72">
        <f>MAX(E53,G53,I53,K53)</f>
        <v>6.1</v>
      </c>
      <c r="P25" s="72">
        <f>MIN(E53,G53,I53,K53)</f>
        <v>4</v>
      </c>
    </row>
    <row r="26" spans="1:16" ht="15.75" customHeight="1">
      <c r="A26" s="65" t="s">
        <v>183</v>
      </c>
      <c r="B26" s="204"/>
      <c r="C26" s="75">
        <v>8.1</v>
      </c>
      <c r="D26" s="227"/>
      <c r="E26" s="75">
        <v>6</v>
      </c>
      <c r="F26" s="227"/>
      <c r="G26" s="75">
        <v>3.5</v>
      </c>
      <c r="H26" s="227"/>
      <c r="I26" s="75">
        <v>4.3</v>
      </c>
      <c r="J26" s="227"/>
      <c r="K26" s="75">
        <v>3.7</v>
      </c>
      <c r="L26" s="227"/>
      <c r="M26" s="66"/>
    </row>
    <row r="27" spans="1:16" ht="15.75" customHeight="1">
      <c r="A27" s="65" t="s">
        <v>184</v>
      </c>
      <c r="B27" s="204"/>
      <c r="C27" s="75">
        <v>-1</v>
      </c>
      <c r="D27" s="227"/>
      <c r="E27" s="75">
        <v>5</v>
      </c>
      <c r="F27" s="227"/>
      <c r="G27" s="75">
        <v>0.2</v>
      </c>
      <c r="H27" s="227"/>
      <c r="I27" s="75">
        <v>0.2</v>
      </c>
      <c r="J27" s="227"/>
      <c r="K27" s="75">
        <v>6.3</v>
      </c>
      <c r="L27" s="227"/>
      <c r="M27" s="66"/>
      <c r="N27" s="22" t="s">
        <v>192</v>
      </c>
    </row>
    <row r="28" spans="1:16" ht="15.75" customHeight="1">
      <c r="A28" s="65" t="s">
        <v>4</v>
      </c>
      <c r="B28" s="205"/>
      <c r="C28" s="53">
        <v>6</v>
      </c>
      <c r="D28" s="228"/>
      <c r="E28" s="53">
        <v>6</v>
      </c>
      <c r="F28" s="228"/>
      <c r="G28" s="53">
        <v>6</v>
      </c>
      <c r="H28" s="228"/>
      <c r="I28" s="53">
        <v>6</v>
      </c>
      <c r="J28" s="228"/>
      <c r="K28" s="53">
        <v>6</v>
      </c>
      <c r="L28" s="228"/>
      <c r="M28" s="66"/>
      <c r="N28" s="71" t="s">
        <v>186</v>
      </c>
      <c r="O28" s="22" t="s">
        <v>187</v>
      </c>
      <c r="P28" s="22" t="s">
        <v>188</v>
      </c>
    </row>
    <row r="29" spans="1:16" ht="15.75" customHeight="1">
      <c r="A29" s="222">
        <v>45905</v>
      </c>
      <c r="B29" s="216">
        <v>3</v>
      </c>
      <c r="C29" s="70" t="s">
        <v>193</v>
      </c>
      <c r="D29" s="75">
        <v>25</v>
      </c>
      <c r="E29" s="70">
        <v>0.311</v>
      </c>
      <c r="F29" s="75">
        <v>3.7</v>
      </c>
      <c r="G29" s="70" t="s">
        <v>194</v>
      </c>
      <c r="H29" s="75">
        <v>18.8</v>
      </c>
      <c r="I29" s="70">
        <v>16.38</v>
      </c>
      <c r="J29" s="75">
        <v>9.1999999999999993</v>
      </c>
      <c r="K29" s="70">
        <v>41.570999999999998</v>
      </c>
      <c r="L29" s="75">
        <v>10.9</v>
      </c>
      <c r="M29" s="66"/>
      <c r="N29" s="71" t="s">
        <v>189</v>
      </c>
      <c r="O29" s="72">
        <f>MAX(C16,C27,C38,C49)</f>
        <v>15</v>
      </c>
      <c r="P29" s="72">
        <f>MIN(C16,C27,C38,C49)</f>
        <v>-2</v>
      </c>
    </row>
    <row r="30" spans="1:16" ht="15.75" customHeight="1">
      <c r="A30" s="222"/>
      <c r="B30" s="217"/>
      <c r="C30" s="70" t="s">
        <v>195</v>
      </c>
      <c r="D30" s="75">
        <v>21</v>
      </c>
      <c r="E30" s="70">
        <v>0.34200000000000003</v>
      </c>
      <c r="F30" s="75">
        <v>14</v>
      </c>
      <c r="G30" s="70">
        <v>2.3340000000000001</v>
      </c>
      <c r="H30" s="75">
        <v>6.1</v>
      </c>
      <c r="I30" s="70">
        <v>15.74</v>
      </c>
      <c r="J30" s="75">
        <v>4.9000000000000004</v>
      </c>
      <c r="K30" s="70">
        <v>40.613999999999997</v>
      </c>
      <c r="L30" s="75">
        <v>8.3000000000000007</v>
      </c>
      <c r="M30" s="66"/>
      <c r="N30" s="22" t="s">
        <v>190</v>
      </c>
      <c r="O30" s="72">
        <f>MAX(C15,C26,C37,C48)</f>
        <v>8.6999999999999993</v>
      </c>
      <c r="P30" s="72">
        <f>MIN(C15,C26,C37,C48)</f>
        <v>6.1</v>
      </c>
    </row>
    <row r="31" spans="1:16" ht="15.75" customHeight="1">
      <c r="A31" s="222"/>
      <c r="B31" s="217"/>
      <c r="C31" s="70">
        <v>0.10100000000000001</v>
      </c>
      <c r="D31" s="75">
        <v>1</v>
      </c>
      <c r="E31" s="70">
        <v>0.315</v>
      </c>
      <c r="F31" s="75">
        <v>5</v>
      </c>
      <c r="G31" s="70">
        <v>2.33</v>
      </c>
      <c r="H31" s="75">
        <v>5.9</v>
      </c>
      <c r="I31" s="70">
        <v>15.413</v>
      </c>
      <c r="J31" s="75">
        <v>2.8</v>
      </c>
      <c r="K31" s="70">
        <v>42.140999999999998</v>
      </c>
      <c r="L31" s="75">
        <v>12.4</v>
      </c>
      <c r="M31" s="66"/>
    </row>
    <row r="32" spans="1:16" ht="15.75" customHeight="1">
      <c r="A32" s="222"/>
      <c r="B32" s="217"/>
      <c r="C32" s="70">
        <v>0.112</v>
      </c>
      <c r="D32" s="75">
        <v>12</v>
      </c>
      <c r="E32" s="70">
        <v>0.32500000000000001</v>
      </c>
      <c r="F32" s="75">
        <v>8.3000000000000007</v>
      </c>
      <c r="G32" s="70">
        <v>2.4220000000000002</v>
      </c>
      <c r="H32" s="75">
        <v>10.1</v>
      </c>
      <c r="I32" s="70">
        <v>15.9</v>
      </c>
      <c r="J32" s="75">
        <v>6</v>
      </c>
      <c r="K32" s="70">
        <v>39.933</v>
      </c>
      <c r="L32" s="75">
        <v>6.5</v>
      </c>
      <c r="M32" s="66"/>
      <c r="N32" s="71" t="s">
        <v>191</v>
      </c>
      <c r="O32" s="22" t="s">
        <v>187</v>
      </c>
      <c r="P32" s="22" t="s">
        <v>188</v>
      </c>
    </row>
    <row r="33" spans="1:16" ht="15.75" customHeight="1">
      <c r="A33" s="222"/>
      <c r="B33" s="217"/>
      <c r="C33" s="70" t="s">
        <v>193</v>
      </c>
      <c r="D33" s="75">
        <v>25</v>
      </c>
      <c r="E33" s="70">
        <v>0.32</v>
      </c>
      <c r="F33" s="75">
        <v>6.7</v>
      </c>
      <c r="G33" s="70">
        <v>2.476</v>
      </c>
      <c r="H33" s="75">
        <v>12.5</v>
      </c>
      <c r="I33" s="70">
        <v>15.912000000000001</v>
      </c>
      <c r="J33" s="75">
        <v>6.1</v>
      </c>
      <c r="K33" s="70">
        <v>41.79</v>
      </c>
      <c r="L33" s="75">
        <v>11.4</v>
      </c>
      <c r="M33" s="66"/>
      <c r="N33" s="71" t="s">
        <v>189</v>
      </c>
      <c r="O33" s="72">
        <f>MAX(C54)</f>
        <v>4</v>
      </c>
      <c r="P33" s="72">
        <f>MIN(C54)</f>
        <v>4</v>
      </c>
    </row>
    <row r="34" spans="1:16" ht="15.75" customHeight="1">
      <c r="A34" s="222"/>
      <c r="B34" s="218"/>
      <c r="C34" s="70">
        <v>0.107</v>
      </c>
      <c r="D34" s="75">
        <v>7</v>
      </c>
      <c r="E34" s="70">
        <v>0.32400000000000001</v>
      </c>
      <c r="F34" s="75">
        <v>8</v>
      </c>
      <c r="G34" s="70">
        <v>2.5030000000000001</v>
      </c>
      <c r="H34" s="75">
        <v>13.8</v>
      </c>
      <c r="I34" s="70">
        <v>16.584</v>
      </c>
      <c r="J34" s="75">
        <v>10.6</v>
      </c>
      <c r="K34" s="70" t="s">
        <v>196</v>
      </c>
      <c r="L34" s="75">
        <v>15.9</v>
      </c>
      <c r="M34" s="66"/>
      <c r="N34" s="22" t="s">
        <v>190</v>
      </c>
      <c r="O34" s="72">
        <f>MAX(C53)</f>
        <v>9.6</v>
      </c>
      <c r="P34" s="72">
        <f>MIN(C53)</f>
        <v>9.6</v>
      </c>
    </row>
    <row r="35" spans="1:16" ht="15.75" customHeight="1">
      <c r="A35" s="65" t="s">
        <v>181</v>
      </c>
      <c r="B35" s="203"/>
      <c r="C35" s="70">
        <v>0.115</v>
      </c>
      <c r="D35" s="226"/>
      <c r="E35" s="70">
        <v>0.32300000000000001</v>
      </c>
      <c r="F35" s="226"/>
      <c r="G35" s="70">
        <v>2.4460000000000002</v>
      </c>
      <c r="H35" s="226"/>
      <c r="I35" s="70">
        <v>15.988</v>
      </c>
      <c r="J35" s="226"/>
      <c r="K35" s="70">
        <v>41.582999999999998</v>
      </c>
      <c r="L35" s="226"/>
      <c r="M35" s="66"/>
      <c r="N35" s="66"/>
      <c r="O35" s="66"/>
      <c r="P35" s="66"/>
    </row>
    <row r="36" spans="1:16" ht="15.75" customHeight="1">
      <c r="A36" s="65" t="s">
        <v>182</v>
      </c>
      <c r="B36" s="204"/>
      <c r="C36" s="70">
        <v>0.01</v>
      </c>
      <c r="D36" s="227"/>
      <c r="E36" s="70">
        <v>1.0999999999999999E-2</v>
      </c>
      <c r="F36" s="227"/>
      <c r="G36" s="70">
        <v>0.108</v>
      </c>
      <c r="H36" s="227"/>
      <c r="I36" s="70">
        <v>0.42799999999999999</v>
      </c>
      <c r="J36" s="227"/>
      <c r="K36" s="70">
        <v>1.2250000000000001</v>
      </c>
      <c r="L36" s="227"/>
      <c r="M36" s="66"/>
      <c r="N36" s="66"/>
      <c r="O36" s="66"/>
      <c r="P36" s="66"/>
    </row>
    <row r="37" spans="1:16" ht="15.75" customHeight="1">
      <c r="A37" s="65" t="s">
        <v>183</v>
      </c>
      <c r="B37" s="204"/>
      <c r="C37" s="75">
        <v>8.6999999999999993</v>
      </c>
      <c r="D37" s="227"/>
      <c r="E37" s="75">
        <v>3.4</v>
      </c>
      <c r="F37" s="227"/>
      <c r="G37" s="75">
        <v>4.4000000000000004</v>
      </c>
      <c r="H37" s="227"/>
      <c r="I37" s="75">
        <v>2.7</v>
      </c>
      <c r="J37" s="227"/>
      <c r="K37" s="75">
        <v>2.9</v>
      </c>
      <c r="L37" s="227"/>
      <c r="M37" s="66"/>
      <c r="N37" s="66"/>
      <c r="O37" s="66"/>
      <c r="P37" s="66"/>
    </row>
    <row r="38" spans="1:16" ht="15.75" customHeight="1">
      <c r="A38" s="65" t="s">
        <v>184</v>
      </c>
      <c r="B38" s="204"/>
      <c r="C38" s="75">
        <v>15</v>
      </c>
      <c r="D38" s="227"/>
      <c r="E38" s="75">
        <v>7.7</v>
      </c>
      <c r="F38" s="227"/>
      <c r="G38" s="75">
        <v>11.2</v>
      </c>
      <c r="H38" s="227"/>
      <c r="I38" s="75">
        <v>6.6</v>
      </c>
      <c r="J38" s="227"/>
      <c r="K38" s="75">
        <v>10.9</v>
      </c>
      <c r="L38" s="227"/>
      <c r="M38" s="66"/>
      <c r="N38" s="66"/>
      <c r="O38" s="66"/>
      <c r="P38" s="66"/>
    </row>
    <row r="39" spans="1:16" ht="15.75" customHeight="1">
      <c r="A39" s="65" t="s">
        <v>4</v>
      </c>
      <c r="B39" s="205"/>
      <c r="C39" s="53">
        <v>6</v>
      </c>
      <c r="D39" s="228"/>
      <c r="E39" s="53">
        <v>6</v>
      </c>
      <c r="F39" s="228"/>
      <c r="G39" s="53">
        <v>6</v>
      </c>
      <c r="H39" s="228"/>
      <c r="I39" s="53">
        <v>6</v>
      </c>
      <c r="J39" s="228"/>
      <c r="K39" s="53">
        <v>6</v>
      </c>
      <c r="L39" s="228"/>
      <c r="M39" s="66"/>
      <c r="N39" s="66"/>
      <c r="O39" s="66"/>
      <c r="P39" s="66"/>
    </row>
    <row r="40" spans="1:16" ht="15.75" customHeight="1">
      <c r="A40" s="222">
        <v>46007</v>
      </c>
      <c r="B40" s="216">
        <v>9</v>
      </c>
      <c r="C40" s="70">
        <v>9.5000000000000001E-2</v>
      </c>
      <c r="D40" s="75">
        <v>-5</v>
      </c>
      <c r="E40" s="70">
        <v>0.29699999999999999</v>
      </c>
      <c r="F40" s="75">
        <v>-1</v>
      </c>
      <c r="G40" s="70">
        <v>2.1949999999999998</v>
      </c>
      <c r="H40" s="75">
        <v>-0.2</v>
      </c>
      <c r="I40" s="70">
        <v>14.78</v>
      </c>
      <c r="J40" s="75">
        <v>-1.5</v>
      </c>
      <c r="K40" s="70">
        <v>37.008000000000003</v>
      </c>
      <c r="L40" s="75">
        <v>-1.3</v>
      </c>
      <c r="M40" s="66"/>
      <c r="N40" s="71"/>
      <c r="O40" s="72"/>
      <c r="P40" s="72"/>
    </row>
    <row r="41" spans="1:16" ht="15.75" customHeight="1">
      <c r="A41" s="222"/>
      <c r="B41" s="217"/>
      <c r="C41" s="70">
        <v>0.104</v>
      </c>
      <c r="D41" s="75">
        <v>4</v>
      </c>
      <c r="E41" s="70">
        <v>0.29499999999999998</v>
      </c>
      <c r="F41" s="75">
        <v>-1.7</v>
      </c>
      <c r="G41" s="70">
        <v>2.234</v>
      </c>
      <c r="H41" s="75">
        <v>1.5</v>
      </c>
      <c r="I41" s="70">
        <v>15.308999999999999</v>
      </c>
      <c r="J41" s="75">
        <v>2.1</v>
      </c>
      <c r="K41" s="70">
        <v>39.154000000000003</v>
      </c>
      <c r="L41" s="75">
        <v>4.4000000000000004</v>
      </c>
      <c r="M41" s="66"/>
      <c r="O41" s="72"/>
      <c r="P41" s="72"/>
    </row>
    <row r="42" spans="1:16" ht="15.75" customHeight="1">
      <c r="A42" s="222"/>
      <c r="B42" s="217"/>
      <c r="C42" s="70">
        <v>0.11899999999999999</v>
      </c>
      <c r="D42" s="75">
        <v>19</v>
      </c>
      <c r="E42" s="70">
        <v>0.32700000000000001</v>
      </c>
      <c r="F42" s="75">
        <v>9</v>
      </c>
      <c r="G42" s="70">
        <v>2.2040000000000002</v>
      </c>
      <c r="H42" s="75">
        <v>0.2</v>
      </c>
      <c r="I42" s="70">
        <v>14.381</v>
      </c>
      <c r="J42" s="75">
        <v>-4.0999999999999996</v>
      </c>
      <c r="K42" s="70">
        <v>38.676000000000002</v>
      </c>
      <c r="L42" s="75">
        <v>3.1</v>
      </c>
      <c r="M42" s="66"/>
    </row>
    <row r="43" spans="1:16" ht="15.75" customHeight="1">
      <c r="A43" s="222"/>
      <c r="B43" s="217"/>
      <c r="C43" s="70">
        <v>0.106</v>
      </c>
      <c r="D43" s="75">
        <v>6</v>
      </c>
      <c r="E43" s="70">
        <v>0.28199999999999997</v>
      </c>
      <c r="F43" s="75">
        <v>-6</v>
      </c>
      <c r="G43" s="70">
        <v>2.1779999999999999</v>
      </c>
      <c r="H43" s="75">
        <v>-1</v>
      </c>
      <c r="I43" s="70">
        <v>16.667999999999999</v>
      </c>
      <c r="J43" s="75">
        <v>11.1</v>
      </c>
      <c r="K43" s="70">
        <v>37.658999999999999</v>
      </c>
      <c r="L43" s="75">
        <v>0.4</v>
      </c>
      <c r="M43" s="66"/>
      <c r="N43" s="71"/>
    </row>
    <row r="44" spans="1:16" ht="15.75" customHeight="1">
      <c r="A44" s="222"/>
      <c r="B44" s="217"/>
      <c r="C44" s="70">
        <v>0.106</v>
      </c>
      <c r="D44" s="75">
        <v>6</v>
      </c>
      <c r="E44" s="70">
        <v>0.307</v>
      </c>
      <c r="F44" s="75">
        <v>2.2999999999999998</v>
      </c>
      <c r="G44" s="70">
        <v>2.4060000000000001</v>
      </c>
      <c r="H44" s="75">
        <v>9.4</v>
      </c>
      <c r="I44" s="70">
        <v>15.053000000000001</v>
      </c>
      <c r="J44" s="75">
        <v>0.4</v>
      </c>
      <c r="K44" s="70">
        <v>40.374000000000002</v>
      </c>
      <c r="L44" s="75">
        <v>7.7</v>
      </c>
      <c r="M44" s="66"/>
      <c r="N44" s="71"/>
      <c r="O44" s="72"/>
      <c r="P44" s="72"/>
    </row>
    <row r="45" spans="1:16" ht="15.75" customHeight="1">
      <c r="A45" s="222"/>
      <c r="B45" s="218"/>
      <c r="C45" s="70">
        <v>0.10100000000000001</v>
      </c>
      <c r="D45" s="75">
        <v>1</v>
      </c>
      <c r="E45" s="70">
        <v>0.30299999999999999</v>
      </c>
      <c r="F45" s="75">
        <v>1</v>
      </c>
      <c r="G45" s="70">
        <v>2.2410000000000001</v>
      </c>
      <c r="H45" s="75">
        <v>1.9</v>
      </c>
      <c r="I45" s="70">
        <v>15.567</v>
      </c>
      <c r="J45" s="75">
        <v>3.8</v>
      </c>
      <c r="K45" s="70">
        <v>40.220999999999997</v>
      </c>
      <c r="L45" s="75">
        <v>7.3</v>
      </c>
      <c r="M45" s="66"/>
      <c r="O45" s="72"/>
      <c r="P45" s="72"/>
    </row>
    <row r="46" spans="1:16" ht="15.75" customHeight="1">
      <c r="A46" s="65" t="s">
        <v>181</v>
      </c>
      <c r="B46" s="203"/>
      <c r="C46" s="70">
        <v>0.105</v>
      </c>
      <c r="D46" s="226"/>
      <c r="E46" s="70">
        <v>0.30199999999999999</v>
      </c>
      <c r="F46" s="226"/>
      <c r="G46" s="70">
        <v>2.2429999999999999</v>
      </c>
      <c r="H46" s="226"/>
      <c r="I46" s="70">
        <v>15.292999999999999</v>
      </c>
      <c r="J46" s="226"/>
      <c r="K46" s="70">
        <v>38.848999999999997</v>
      </c>
      <c r="L46" s="226"/>
      <c r="M46" s="66"/>
      <c r="N46" s="66"/>
      <c r="O46" s="66"/>
      <c r="P46" s="66"/>
    </row>
    <row r="47" spans="1:16" ht="15.75" customHeight="1">
      <c r="A47" s="65" t="s">
        <v>182</v>
      </c>
      <c r="B47" s="204"/>
      <c r="C47" s="70">
        <v>8.0000000000000002E-3</v>
      </c>
      <c r="D47" s="227"/>
      <c r="E47" s="70">
        <v>1.4999999999999999E-2</v>
      </c>
      <c r="F47" s="227"/>
      <c r="G47" s="70">
        <v>8.3000000000000004E-2</v>
      </c>
      <c r="H47" s="227"/>
      <c r="I47" s="70">
        <v>0.79</v>
      </c>
      <c r="J47" s="227"/>
      <c r="K47" s="70">
        <v>1.3520000000000001</v>
      </c>
      <c r="L47" s="227"/>
      <c r="M47" s="66"/>
      <c r="N47" s="66"/>
      <c r="O47" s="66"/>
      <c r="P47" s="66"/>
    </row>
    <row r="48" spans="1:16" ht="15.75" customHeight="1">
      <c r="A48" s="65" t="s">
        <v>183</v>
      </c>
      <c r="B48" s="204"/>
      <c r="C48" s="75">
        <v>7.6</v>
      </c>
      <c r="D48" s="227"/>
      <c r="E48" s="75">
        <v>5</v>
      </c>
      <c r="F48" s="227"/>
      <c r="G48" s="75">
        <v>3.7</v>
      </c>
      <c r="H48" s="227"/>
      <c r="I48" s="75">
        <v>5.2</v>
      </c>
      <c r="J48" s="227"/>
      <c r="K48" s="75">
        <v>3.5</v>
      </c>
      <c r="L48" s="227"/>
      <c r="M48" s="66"/>
      <c r="N48" s="66"/>
      <c r="O48" s="66"/>
      <c r="P48" s="66"/>
    </row>
    <row r="49" spans="1:16" ht="15.75" customHeight="1">
      <c r="A49" s="65" t="s">
        <v>184</v>
      </c>
      <c r="B49" s="204"/>
      <c r="C49" s="75">
        <v>5</v>
      </c>
      <c r="D49" s="227"/>
      <c r="E49" s="75">
        <v>0.7</v>
      </c>
      <c r="F49" s="227"/>
      <c r="G49" s="75">
        <v>2</v>
      </c>
      <c r="H49" s="227"/>
      <c r="I49" s="75">
        <v>2</v>
      </c>
      <c r="J49" s="227"/>
      <c r="K49" s="75">
        <v>3.6</v>
      </c>
      <c r="L49" s="227"/>
      <c r="M49" s="66"/>
      <c r="N49" s="66"/>
      <c r="O49" s="66"/>
      <c r="P49" s="66"/>
    </row>
    <row r="50" spans="1:16" ht="15.75" customHeight="1">
      <c r="A50" s="65" t="s">
        <v>4</v>
      </c>
      <c r="B50" s="205"/>
      <c r="C50" s="53">
        <v>6</v>
      </c>
      <c r="D50" s="228"/>
      <c r="E50" s="53">
        <v>6</v>
      </c>
      <c r="F50" s="228"/>
      <c r="G50" s="53">
        <v>6</v>
      </c>
      <c r="H50" s="228"/>
      <c r="I50" s="53">
        <v>6</v>
      </c>
      <c r="J50" s="228"/>
      <c r="K50" s="53">
        <v>6</v>
      </c>
      <c r="L50" s="228"/>
      <c r="M50" s="66"/>
      <c r="N50" s="66"/>
      <c r="O50" s="66"/>
      <c r="P50" s="66"/>
    </row>
    <row r="51" spans="1:16" ht="15.75" customHeight="1">
      <c r="A51" s="65" t="s">
        <v>197</v>
      </c>
      <c r="B51" s="229"/>
      <c r="C51" s="70">
        <v>0.104</v>
      </c>
      <c r="D51" s="226"/>
      <c r="E51" s="70">
        <v>0.313</v>
      </c>
      <c r="F51" s="226"/>
      <c r="G51" s="70">
        <v>2.3220000000000001</v>
      </c>
      <c r="H51" s="226"/>
      <c r="I51" s="70">
        <v>15.425000000000001</v>
      </c>
      <c r="J51" s="226"/>
      <c r="K51" s="70">
        <v>40.04</v>
      </c>
      <c r="L51" s="226"/>
      <c r="M51" s="66"/>
      <c r="N51" s="66"/>
      <c r="O51" s="66"/>
      <c r="P51" s="66"/>
    </row>
    <row r="52" spans="1:16" ht="15.75" customHeight="1">
      <c r="A52" s="65" t="s">
        <v>198</v>
      </c>
      <c r="B52" s="229"/>
      <c r="C52" s="70">
        <v>0.01</v>
      </c>
      <c r="D52" s="227"/>
      <c r="E52" s="70">
        <v>1.9E-2</v>
      </c>
      <c r="F52" s="227"/>
      <c r="G52" s="70">
        <v>0.13300000000000001</v>
      </c>
      <c r="H52" s="227"/>
      <c r="I52" s="70">
        <v>0.67600000000000005</v>
      </c>
      <c r="J52" s="227"/>
      <c r="K52" s="70">
        <v>1.617</v>
      </c>
      <c r="L52" s="227"/>
      <c r="M52" s="66"/>
      <c r="N52" s="66"/>
      <c r="O52" s="66"/>
      <c r="P52" s="66"/>
    </row>
    <row r="53" spans="1:16" ht="15.75" customHeight="1">
      <c r="A53" s="65" t="s">
        <v>199</v>
      </c>
      <c r="B53" s="229"/>
      <c r="C53" s="75">
        <v>9.6</v>
      </c>
      <c r="D53" s="227"/>
      <c r="E53" s="75">
        <v>6.1</v>
      </c>
      <c r="F53" s="227"/>
      <c r="G53" s="75">
        <v>5.7</v>
      </c>
      <c r="H53" s="227"/>
      <c r="I53" s="75">
        <v>4.4000000000000004</v>
      </c>
      <c r="J53" s="227"/>
      <c r="K53" s="75">
        <v>4</v>
      </c>
      <c r="L53" s="227"/>
      <c r="M53" s="66"/>
      <c r="N53" s="66"/>
      <c r="O53" s="66"/>
      <c r="P53" s="66"/>
    </row>
    <row r="54" spans="1:16" ht="15.75" customHeight="1">
      <c r="A54" s="65" t="s">
        <v>200</v>
      </c>
      <c r="B54" s="229"/>
      <c r="C54" s="75">
        <v>4</v>
      </c>
      <c r="D54" s="227"/>
      <c r="E54" s="75">
        <v>4.3</v>
      </c>
      <c r="F54" s="227"/>
      <c r="G54" s="75">
        <v>5.5</v>
      </c>
      <c r="H54" s="227"/>
      <c r="I54" s="75">
        <v>2.8</v>
      </c>
      <c r="J54" s="227"/>
      <c r="K54" s="75">
        <v>6.8</v>
      </c>
      <c r="L54" s="227"/>
      <c r="M54" s="66"/>
      <c r="N54" s="66"/>
      <c r="O54" s="66"/>
      <c r="P54" s="66"/>
    </row>
    <row r="55" spans="1:16" ht="15.75" customHeight="1">
      <c r="A55" s="65" t="s">
        <v>4</v>
      </c>
      <c r="B55" s="229"/>
      <c r="C55" s="53">
        <v>24</v>
      </c>
      <c r="D55" s="228"/>
      <c r="E55" s="53">
        <v>24</v>
      </c>
      <c r="F55" s="228"/>
      <c r="G55" s="53">
        <v>24</v>
      </c>
      <c r="H55" s="228"/>
      <c r="I55" s="53">
        <v>24</v>
      </c>
      <c r="J55" s="228"/>
      <c r="K55" s="53">
        <v>24</v>
      </c>
      <c r="L55" s="228"/>
      <c r="M55" s="66"/>
      <c r="N55" s="66"/>
      <c r="O55" s="66"/>
      <c r="P55" s="66"/>
    </row>
    <row r="56" spans="1:16" ht="15.75" customHeight="1">
      <c r="A56" s="73" t="s">
        <v>201</v>
      </c>
    </row>
    <row r="61" spans="1:16" ht="15.75" customHeight="1">
      <c r="M61" s="66"/>
      <c r="N61" s="66"/>
      <c r="O61" s="66"/>
      <c r="P61" s="66"/>
    </row>
    <row r="62" spans="1:16" ht="15.75" customHeight="1">
      <c r="M62" s="66"/>
      <c r="N62" s="66"/>
      <c r="O62" s="66"/>
      <c r="P62" s="66"/>
    </row>
    <row r="63" spans="1:16" ht="15.75" customHeight="1">
      <c r="M63" s="66"/>
      <c r="N63" s="66"/>
      <c r="O63" s="66"/>
      <c r="P63" s="66"/>
    </row>
    <row r="64" spans="1:16" ht="15.75" customHeight="1">
      <c r="M64" s="66"/>
      <c r="N64" s="66"/>
      <c r="O64" s="66"/>
      <c r="P64" s="66"/>
    </row>
    <row r="65" spans="13:16" ht="15.75" customHeight="1">
      <c r="M65" s="66"/>
      <c r="N65" s="66"/>
      <c r="O65" s="66"/>
      <c r="P65" s="66"/>
    </row>
    <row r="66" spans="13:16" ht="15.75" customHeight="1">
      <c r="M66" s="66"/>
      <c r="N66" s="66"/>
      <c r="O66" s="66"/>
      <c r="P66" s="66"/>
    </row>
  </sheetData>
  <mergeCells count="46">
    <mergeCell ref="J51:J55"/>
    <mergeCell ref="J46:J50"/>
    <mergeCell ref="L46:L50"/>
    <mergeCell ref="A40:A45"/>
    <mergeCell ref="B40:B45"/>
    <mergeCell ref="B46:B50"/>
    <mergeCell ref="D46:D50"/>
    <mergeCell ref="F46:F50"/>
    <mergeCell ref="H46:H50"/>
    <mergeCell ref="L51:L55"/>
    <mergeCell ref="J24:J28"/>
    <mergeCell ref="L24:L28"/>
    <mergeCell ref="A29:A34"/>
    <mergeCell ref="B29:B34"/>
    <mergeCell ref="B35:B39"/>
    <mergeCell ref="D35:D39"/>
    <mergeCell ref="F35:F39"/>
    <mergeCell ref="H35:H39"/>
    <mergeCell ref="J35:J39"/>
    <mergeCell ref="L35:L39"/>
    <mergeCell ref="H24:H28"/>
    <mergeCell ref="B51:B55"/>
    <mergeCell ref="D51:D55"/>
    <mergeCell ref="F51:F55"/>
    <mergeCell ref="H51:H55"/>
    <mergeCell ref="A18:A23"/>
    <mergeCell ref="B18:B23"/>
    <mergeCell ref="B24:B28"/>
    <mergeCell ref="D24:D28"/>
    <mergeCell ref="F24:F28"/>
    <mergeCell ref="J4:J6"/>
    <mergeCell ref="L4:L6"/>
    <mergeCell ref="A7:A12"/>
    <mergeCell ref="B7:B12"/>
    <mergeCell ref="B13:B17"/>
    <mergeCell ref="D13:D17"/>
    <mergeCell ref="F13:F17"/>
    <mergeCell ref="H13:H17"/>
    <mergeCell ref="J13:J17"/>
    <mergeCell ref="L13:L17"/>
    <mergeCell ref="H4:H6"/>
    <mergeCell ref="A2:E2"/>
    <mergeCell ref="A4:A6"/>
    <mergeCell ref="B4:B6"/>
    <mergeCell ref="D4:D6"/>
    <mergeCell ref="F4:F6"/>
  </mergeCells>
  <phoneticPr fontId="1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127D-37C6-4C76-86A4-47B4EBF03E4E}">
  <dimension ref="A2:J19"/>
  <sheetViews>
    <sheetView topLeftCell="A4" zoomScaleNormal="100" zoomScaleSheetLayoutView="100" workbookViewId="0">
      <selection activeCell="A4" sqref="A4:J19"/>
    </sheetView>
  </sheetViews>
  <sheetFormatPr defaultColWidth="8.75" defaultRowHeight="15.75" customHeight="1"/>
  <cols>
    <col min="1" max="1" width="18.75" style="142" customWidth="1"/>
    <col min="2" max="3" width="10.75" style="22" customWidth="1"/>
    <col min="4" max="4" width="10.75" style="25" customWidth="1"/>
    <col min="5" max="5" width="10.75" style="22" customWidth="1"/>
    <col min="6" max="6" width="10.75" style="25" customWidth="1"/>
    <col min="7" max="7" width="10.75" style="22" customWidth="1"/>
    <col min="8" max="8" width="10.75" style="25" customWidth="1"/>
    <col min="9" max="9" width="10.75" style="22" customWidth="1"/>
    <col min="10" max="10" width="10.75" style="25" customWidth="1"/>
    <col min="11" max="12" width="10.75" style="22" customWidth="1"/>
    <col min="13" max="16384" width="8.75" style="22"/>
  </cols>
  <sheetData>
    <row r="2" spans="1:10" ht="15.75" customHeight="1">
      <c r="A2" s="184" t="s">
        <v>301</v>
      </c>
      <c r="B2" s="184"/>
      <c r="C2" s="184"/>
      <c r="D2" s="184"/>
      <c r="E2" s="16"/>
      <c r="F2" s="138"/>
      <c r="G2" s="16"/>
      <c r="H2" s="138"/>
      <c r="I2" s="16"/>
      <c r="J2" s="138"/>
    </row>
    <row r="3" spans="1:10" ht="15.75" customHeight="1">
      <c r="A3" s="139"/>
      <c r="B3" s="19"/>
      <c r="C3" s="19"/>
      <c r="D3" s="33"/>
      <c r="E3" s="16"/>
      <c r="F3" s="138"/>
      <c r="G3" s="16"/>
      <c r="H3" s="138"/>
      <c r="I3" s="16"/>
      <c r="J3" s="138"/>
    </row>
    <row r="4" spans="1:10" ht="15.75" customHeight="1">
      <c r="A4" s="239" t="s">
        <v>79</v>
      </c>
      <c r="B4" s="175" t="s">
        <v>76</v>
      </c>
      <c r="C4" s="6" t="s">
        <v>2</v>
      </c>
      <c r="D4" s="230" t="s">
        <v>24</v>
      </c>
      <c r="E4" s="6" t="s">
        <v>302</v>
      </c>
      <c r="F4" s="230" t="s">
        <v>24</v>
      </c>
      <c r="G4" s="6" t="s">
        <v>1</v>
      </c>
      <c r="H4" s="230" t="s">
        <v>24</v>
      </c>
      <c r="I4" s="6" t="s">
        <v>0</v>
      </c>
      <c r="J4" s="230" t="s">
        <v>24</v>
      </c>
    </row>
    <row r="5" spans="1:10" ht="15.75" customHeight="1">
      <c r="A5" s="239"/>
      <c r="B5" s="175"/>
      <c r="C5" s="34">
        <v>0.3</v>
      </c>
      <c r="D5" s="230"/>
      <c r="E5" s="34">
        <v>2.2000000000000002</v>
      </c>
      <c r="F5" s="230"/>
      <c r="G5" s="34">
        <v>15</v>
      </c>
      <c r="H5" s="230"/>
      <c r="I5" s="34">
        <v>37.5</v>
      </c>
      <c r="J5" s="230"/>
    </row>
    <row r="6" spans="1:10" ht="15.75" customHeight="1">
      <c r="A6" s="239"/>
      <c r="B6" s="175"/>
      <c r="C6" s="29" t="s">
        <v>5</v>
      </c>
      <c r="D6" s="230"/>
      <c r="E6" s="29" t="s">
        <v>5</v>
      </c>
      <c r="F6" s="230"/>
      <c r="G6" s="29" t="s">
        <v>5</v>
      </c>
      <c r="H6" s="230"/>
      <c r="I6" s="29" t="s">
        <v>5</v>
      </c>
      <c r="J6" s="230"/>
    </row>
    <row r="7" spans="1:10" ht="15.75" customHeight="1">
      <c r="A7" s="231">
        <v>45906</v>
      </c>
      <c r="B7" s="234">
        <v>6</v>
      </c>
      <c r="C7" s="3">
        <v>0.30299999999999999</v>
      </c>
      <c r="D7" s="140">
        <v>1</v>
      </c>
      <c r="E7" s="3">
        <v>2.1469999999999998</v>
      </c>
      <c r="F7" s="3">
        <v>-2.4</v>
      </c>
      <c r="G7" s="121">
        <v>14.941000000000001</v>
      </c>
      <c r="H7" s="3">
        <v>-0.4</v>
      </c>
      <c r="I7" s="3">
        <v>38.704999999999998</v>
      </c>
      <c r="J7" s="3">
        <v>3.2</v>
      </c>
    </row>
    <row r="8" spans="1:10" ht="15.75" customHeight="1">
      <c r="A8" s="232"/>
      <c r="B8" s="232"/>
      <c r="C8" s="3">
        <v>0.318</v>
      </c>
      <c r="D8" s="140">
        <v>6</v>
      </c>
      <c r="E8" s="3">
        <v>2.165</v>
      </c>
      <c r="F8" s="3">
        <v>-1.6</v>
      </c>
      <c r="G8" s="121">
        <v>15.57</v>
      </c>
      <c r="H8" s="3">
        <v>3.8</v>
      </c>
      <c r="I8" s="3">
        <v>39.201999999999998</v>
      </c>
      <c r="J8" s="3">
        <v>4.5</v>
      </c>
    </row>
    <row r="9" spans="1:10" ht="15.75" customHeight="1">
      <c r="A9" s="232"/>
      <c r="B9" s="232"/>
      <c r="C9" s="3">
        <v>0.29499999999999998</v>
      </c>
      <c r="D9" s="140">
        <v>-1.7</v>
      </c>
      <c r="E9" s="3">
        <v>2.2490000000000001</v>
      </c>
      <c r="F9" s="3">
        <v>2.2000000000000002</v>
      </c>
      <c r="G9" s="3">
        <v>14.752000000000001</v>
      </c>
      <c r="H9" s="3">
        <v>-1.7</v>
      </c>
      <c r="I9" s="3">
        <v>41.603999999999999</v>
      </c>
      <c r="J9" s="3">
        <v>10.9</v>
      </c>
    </row>
    <row r="10" spans="1:10" ht="15.75" customHeight="1">
      <c r="A10" s="232"/>
      <c r="B10" s="232"/>
      <c r="C10" s="3">
        <v>0.32400000000000001</v>
      </c>
      <c r="D10" s="140">
        <v>8</v>
      </c>
      <c r="E10" s="3">
        <v>2.2789999999999999</v>
      </c>
      <c r="F10" s="3">
        <v>3.6</v>
      </c>
      <c r="G10" s="3">
        <v>14.656000000000001</v>
      </c>
      <c r="H10" s="3">
        <v>-2.2999999999999998</v>
      </c>
      <c r="I10" s="3">
        <v>40.911000000000001</v>
      </c>
      <c r="J10" s="3">
        <v>9.1</v>
      </c>
    </row>
    <row r="11" spans="1:10" ht="15.75" customHeight="1">
      <c r="A11" s="232"/>
      <c r="B11" s="232"/>
      <c r="C11" s="3">
        <v>0.316</v>
      </c>
      <c r="D11" s="140">
        <v>5.3</v>
      </c>
      <c r="E11" s="141">
        <v>2.2000000000000002</v>
      </c>
      <c r="F11" s="140">
        <v>0</v>
      </c>
      <c r="G11" s="121">
        <v>15.66</v>
      </c>
      <c r="H11" s="3">
        <v>4.4000000000000004</v>
      </c>
      <c r="I11" s="3">
        <v>39.662999999999997</v>
      </c>
      <c r="J11" s="3">
        <v>5.8</v>
      </c>
    </row>
    <row r="12" spans="1:10" ht="15.75" customHeight="1">
      <c r="A12" s="233"/>
      <c r="B12" s="233"/>
      <c r="C12" s="3">
        <v>0.32200000000000001</v>
      </c>
      <c r="D12" s="140">
        <v>7.3</v>
      </c>
      <c r="E12" s="3">
        <v>2.2719999999999998</v>
      </c>
      <c r="F12" s="140">
        <v>3.3</v>
      </c>
      <c r="G12" s="3">
        <v>15.378</v>
      </c>
      <c r="H12" s="3">
        <v>2.5</v>
      </c>
      <c r="I12" s="3">
        <v>41.021999999999998</v>
      </c>
      <c r="J12" s="3">
        <v>9.4</v>
      </c>
    </row>
    <row r="13" spans="1:10" ht="15.75" customHeight="1">
      <c r="A13" s="235">
        <v>45998</v>
      </c>
      <c r="B13" s="237">
        <v>8</v>
      </c>
      <c r="C13" s="3">
        <v>0.28100000000000003</v>
      </c>
      <c r="D13" s="140">
        <v>-6.3</v>
      </c>
      <c r="E13" s="3">
        <v>2.0960000000000001</v>
      </c>
      <c r="F13" s="3">
        <v>-4.7</v>
      </c>
      <c r="G13" s="121">
        <v>14.72</v>
      </c>
      <c r="H13" s="3">
        <v>-1.9</v>
      </c>
      <c r="I13" s="3">
        <v>35.033000000000001</v>
      </c>
      <c r="J13" s="3">
        <v>-6.6</v>
      </c>
    </row>
    <row r="14" spans="1:10" ht="15.75" customHeight="1">
      <c r="A14" s="236"/>
      <c r="B14" s="238"/>
      <c r="C14" s="3">
        <v>0.33200000000000002</v>
      </c>
      <c r="D14" s="140">
        <v>10.7</v>
      </c>
      <c r="E14" s="3">
        <v>2.1669999999999998</v>
      </c>
      <c r="F14" s="3">
        <v>-1.5</v>
      </c>
      <c r="G14" s="121">
        <v>14.554</v>
      </c>
      <c r="H14" s="140">
        <v>-3</v>
      </c>
      <c r="I14" s="3">
        <v>36.793999999999997</v>
      </c>
      <c r="J14" s="3">
        <v>-1.9</v>
      </c>
    </row>
    <row r="15" spans="1:10" ht="15.75" customHeight="1">
      <c r="A15" s="7" t="s">
        <v>41</v>
      </c>
      <c r="B15" s="208"/>
      <c r="C15" s="3">
        <v>0.311</v>
      </c>
      <c r="D15" s="199"/>
      <c r="E15" s="3">
        <v>2.1970000000000001</v>
      </c>
      <c r="F15" s="199"/>
      <c r="G15" s="3">
        <v>15.029</v>
      </c>
      <c r="H15" s="199"/>
      <c r="I15" s="3">
        <v>39.116999999999997</v>
      </c>
      <c r="J15" s="212" t="s">
        <v>303</v>
      </c>
    </row>
    <row r="16" spans="1:10" ht="15.75" customHeight="1">
      <c r="A16" s="7" t="s">
        <v>3</v>
      </c>
      <c r="B16" s="208"/>
      <c r="C16" s="3">
        <v>1.7000000000000001E-2</v>
      </c>
      <c r="D16" s="200"/>
      <c r="E16" s="3">
        <v>6.5000000000000002E-2</v>
      </c>
      <c r="F16" s="200"/>
      <c r="G16" s="3">
        <v>0.44</v>
      </c>
      <c r="H16" s="200"/>
      <c r="I16" s="3">
        <v>2.2549999999999999</v>
      </c>
      <c r="J16" s="213" t="s">
        <v>303</v>
      </c>
    </row>
    <row r="17" spans="1:10" s="25" customFormat="1" ht="15.75" customHeight="1">
      <c r="A17" s="7" t="s">
        <v>7</v>
      </c>
      <c r="B17" s="208"/>
      <c r="C17" s="3">
        <v>5.5</v>
      </c>
      <c r="D17" s="200"/>
      <c r="E17" s="27">
        <v>3</v>
      </c>
      <c r="F17" s="200"/>
      <c r="G17" s="3">
        <v>2.9</v>
      </c>
      <c r="H17" s="200"/>
      <c r="I17" s="3">
        <v>5.8</v>
      </c>
      <c r="J17" s="213" t="s">
        <v>303</v>
      </c>
    </row>
    <row r="18" spans="1:10" s="25" customFormat="1" ht="15.75" customHeight="1">
      <c r="A18" s="7" t="s">
        <v>24</v>
      </c>
      <c r="B18" s="208"/>
      <c r="C18" s="3">
        <v>3.7</v>
      </c>
      <c r="D18" s="200"/>
      <c r="E18" s="3">
        <v>-0.1</v>
      </c>
      <c r="F18" s="200"/>
      <c r="G18" s="3">
        <v>0.2</v>
      </c>
      <c r="H18" s="200"/>
      <c r="I18" s="3">
        <v>4.3</v>
      </c>
      <c r="J18" s="213" t="s">
        <v>303</v>
      </c>
    </row>
    <row r="19" spans="1:10" ht="15.75" customHeight="1">
      <c r="A19" s="7" t="s">
        <v>4</v>
      </c>
      <c r="B19" s="208"/>
      <c r="C19" s="27">
        <v>8</v>
      </c>
      <c r="D19" s="201"/>
      <c r="E19" s="27">
        <v>8</v>
      </c>
      <c r="F19" s="201"/>
      <c r="G19" s="27">
        <v>8</v>
      </c>
      <c r="H19" s="201"/>
      <c r="I19" s="27">
        <v>8</v>
      </c>
      <c r="J19" s="214" t="s">
        <v>303</v>
      </c>
    </row>
  </sheetData>
  <mergeCells count="16">
    <mergeCell ref="A2:D2"/>
    <mergeCell ref="A4:A6"/>
    <mergeCell ref="B4:B6"/>
    <mergeCell ref="D4:D6"/>
    <mergeCell ref="F4:F6"/>
    <mergeCell ref="B15:B19"/>
    <mergeCell ref="D15:D19"/>
    <mergeCell ref="F15:F19"/>
    <mergeCell ref="H15:H19"/>
    <mergeCell ref="J15:J19"/>
    <mergeCell ref="J4:J6"/>
    <mergeCell ref="A7:A12"/>
    <mergeCell ref="B7:B12"/>
    <mergeCell ref="A13:A14"/>
    <mergeCell ref="B13:B14"/>
    <mergeCell ref="H4:H6"/>
  </mergeCells>
  <phoneticPr fontId="12" type="noConversion"/>
  <pageMargins left="0.7" right="0.7" top="0.75" bottom="0.75" header="0.3" footer="0.3"/>
  <pageSetup paperSize="9" scale="68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47FD-B3D3-4803-9C4E-4765920879CD}">
  <dimension ref="A2:J45"/>
  <sheetViews>
    <sheetView zoomScaleNormal="100" zoomScaleSheetLayoutView="100" workbookViewId="0">
      <selection activeCell="A4" sqref="A4:J17"/>
    </sheetView>
  </sheetViews>
  <sheetFormatPr defaultColWidth="8.75" defaultRowHeight="15.75" customHeight="1"/>
  <cols>
    <col min="1" max="1" width="13.58203125" style="12" customWidth="1"/>
    <col min="2" max="2" width="13.4140625" style="12" customWidth="1"/>
    <col min="3" max="3" width="17.75" style="12" customWidth="1"/>
    <col min="4" max="4" width="13.4140625" style="12" customWidth="1"/>
    <col min="5" max="5" width="13.08203125" style="12" customWidth="1"/>
    <col min="6" max="6" width="13.4140625" style="12" customWidth="1"/>
    <col min="7" max="7" width="16.75" style="12" customWidth="1"/>
    <col min="8" max="8" width="9.58203125" style="12" customWidth="1"/>
    <col min="9" max="9" width="11" style="12" customWidth="1"/>
    <col min="10" max="10" width="12" style="12" customWidth="1"/>
    <col min="11" max="11" width="10" style="12" customWidth="1"/>
    <col min="12" max="12" width="9.58203125" style="12" customWidth="1"/>
    <col min="13" max="16384" width="8.75" style="12"/>
  </cols>
  <sheetData>
    <row r="2" spans="1:10" ht="15.75" customHeight="1">
      <c r="A2" s="110" t="s">
        <v>254</v>
      </c>
    </row>
    <row r="4" spans="1:10" ht="15.75" customHeight="1">
      <c r="A4" s="242" t="s">
        <v>255</v>
      </c>
      <c r="B4" s="243"/>
      <c r="C4" s="243"/>
      <c r="D4" s="243"/>
      <c r="E4" s="243"/>
      <c r="F4" s="243"/>
      <c r="G4" s="243"/>
      <c r="H4" s="243"/>
      <c r="I4" s="243"/>
      <c r="J4" s="244"/>
    </row>
    <row r="5" spans="1:10" ht="15.75" customHeight="1">
      <c r="A5" s="245"/>
      <c r="B5" s="246" t="s">
        <v>2</v>
      </c>
      <c r="C5" s="246"/>
      <c r="D5" s="246"/>
      <c r="E5" s="247" t="s">
        <v>1</v>
      </c>
      <c r="F5" s="248"/>
      <c r="G5" s="249"/>
      <c r="H5" s="247" t="s">
        <v>0</v>
      </c>
      <c r="I5" s="248"/>
      <c r="J5" s="249"/>
    </row>
    <row r="6" spans="1:10" ht="15.75" customHeight="1">
      <c r="A6" s="245"/>
      <c r="B6" s="112" t="s">
        <v>256</v>
      </c>
      <c r="C6" s="113" t="s">
        <v>257</v>
      </c>
      <c r="D6" s="111" t="s">
        <v>258</v>
      </c>
      <c r="E6" s="113" t="s">
        <v>259</v>
      </c>
      <c r="F6" s="113" t="s">
        <v>257</v>
      </c>
      <c r="G6" s="111" t="s">
        <v>258</v>
      </c>
      <c r="H6" s="111" t="s">
        <v>260</v>
      </c>
      <c r="I6" s="111" t="s">
        <v>261</v>
      </c>
      <c r="J6" s="111" t="s">
        <v>258</v>
      </c>
    </row>
    <row r="7" spans="1:10" ht="15.75" customHeight="1">
      <c r="A7" s="111">
        <v>1</v>
      </c>
      <c r="B7" s="114">
        <v>0.105013</v>
      </c>
      <c r="C7" s="114">
        <v>0.15670600000000001</v>
      </c>
      <c r="D7" s="115">
        <f>ROUND(B7/C$13*100,1)</f>
        <v>68.400000000000006</v>
      </c>
      <c r="E7" s="114">
        <v>3.9412780000000001</v>
      </c>
      <c r="F7" s="114">
        <v>6.2359059999999999</v>
      </c>
      <c r="G7" s="115">
        <f>ROUND(E7/F$13*100,1)</f>
        <v>62</v>
      </c>
      <c r="H7" s="114">
        <v>9.3267120000000006</v>
      </c>
      <c r="I7" s="114">
        <v>15.943820000000001</v>
      </c>
      <c r="J7" s="115">
        <f>ROUND(H7/I$13*100,1)</f>
        <v>57.4</v>
      </c>
    </row>
    <row r="8" spans="1:10" ht="15.75" customHeight="1">
      <c r="A8" s="111">
        <v>2</v>
      </c>
      <c r="B8" s="114">
        <v>9.9807999999999994E-2</v>
      </c>
      <c r="C8" s="114">
        <v>0.15256600000000001</v>
      </c>
      <c r="D8" s="115">
        <f t="shared" ref="D8:D11" si="0">ROUND(B8/C$13*100,1)</f>
        <v>65</v>
      </c>
      <c r="E8" s="114">
        <v>4.0151560000000002</v>
      </c>
      <c r="F8" s="114">
        <v>6.2885619999999998</v>
      </c>
      <c r="G8" s="115">
        <f t="shared" ref="G8:G11" si="1">ROUND(E8/F$13*100,1)</f>
        <v>63.2</v>
      </c>
      <c r="H8" s="114">
        <v>9.9013270000000002</v>
      </c>
      <c r="I8" s="114">
        <v>16.540095000000001</v>
      </c>
      <c r="J8" s="115">
        <f t="shared" ref="J8:J11" si="2">ROUND(H8/I$13*100,1)</f>
        <v>61</v>
      </c>
    </row>
    <row r="9" spans="1:10" ht="15.75" customHeight="1">
      <c r="A9" s="111">
        <v>3</v>
      </c>
      <c r="B9" s="114">
        <v>9.6408999999999995E-2</v>
      </c>
      <c r="C9" s="114">
        <v>0.15376300000000001</v>
      </c>
      <c r="D9" s="115">
        <f t="shared" si="0"/>
        <v>62.8</v>
      </c>
      <c r="E9" s="114">
        <v>4.0570750000000002</v>
      </c>
      <c r="F9" s="114">
        <v>6.1742759999999999</v>
      </c>
      <c r="G9" s="115">
        <f t="shared" si="1"/>
        <v>63.9</v>
      </c>
      <c r="H9" s="114">
        <v>10.451625</v>
      </c>
      <c r="I9" s="114">
        <v>15.839295999999999</v>
      </c>
      <c r="J9" s="115">
        <f t="shared" si="2"/>
        <v>64.400000000000006</v>
      </c>
    </row>
    <row r="10" spans="1:10" ht="15.75" customHeight="1">
      <c r="A10" s="111">
        <v>4</v>
      </c>
      <c r="B10" s="114">
        <v>9.6572000000000005E-2</v>
      </c>
      <c r="C10" s="114">
        <v>0.149148</v>
      </c>
      <c r="D10" s="115">
        <f t="shared" si="0"/>
        <v>62.9</v>
      </c>
      <c r="E10" s="114">
        <v>4.1630729999999998</v>
      </c>
      <c r="F10" s="114">
        <v>6.4415810000000002</v>
      </c>
      <c r="G10" s="115">
        <f t="shared" si="1"/>
        <v>65.5</v>
      </c>
      <c r="H10" s="114">
        <v>9.6204330000000002</v>
      </c>
      <c r="I10" s="114">
        <v>16.461366999999999</v>
      </c>
      <c r="J10" s="115">
        <f t="shared" si="2"/>
        <v>59.2</v>
      </c>
    </row>
    <row r="11" spans="1:10" ht="15.75" customHeight="1">
      <c r="A11" s="111">
        <v>5</v>
      </c>
      <c r="B11" s="114">
        <v>9.6206E-2</v>
      </c>
      <c r="C11" s="114">
        <v>0.15270300000000001</v>
      </c>
      <c r="D11" s="115">
        <f t="shared" si="0"/>
        <v>62.7</v>
      </c>
      <c r="E11" s="114">
        <v>4.3189099999999998</v>
      </c>
      <c r="F11" s="114">
        <v>6.6258280000000003</v>
      </c>
      <c r="G11" s="115">
        <f t="shared" si="1"/>
        <v>68</v>
      </c>
      <c r="H11" s="114">
        <v>10.768405</v>
      </c>
      <c r="I11" s="114">
        <v>16.280660000000001</v>
      </c>
      <c r="J11" s="115">
        <f t="shared" si="2"/>
        <v>66.3</v>
      </c>
    </row>
    <row r="12" spans="1:10" ht="15.75" customHeight="1">
      <c r="A12" s="111">
        <v>6</v>
      </c>
      <c r="B12" s="114">
        <v>0.10595</v>
      </c>
      <c r="C12" s="114">
        <v>0.15626599999999999</v>
      </c>
      <c r="D12" s="115">
        <f>ROUND(B12/C$13*100,1)</f>
        <v>69</v>
      </c>
      <c r="E12" s="114">
        <v>4.4571040000000002</v>
      </c>
      <c r="F12" s="114">
        <v>6.3575900000000001</v>
      </c>
      <c r="G12" s="115">
        <f>ROUND(E12/F$13*100,1)</f>
        <v>70.099999999999994</v>
      </c>
      <c r="H12" s="114">
        <v>11.132690999999999</v>
      </c>
      <c r="I12" s="114">
        <v>16.37603</v>
      </c>
      <c r="J12" s="115">
        <f>ROUND(H12/I$13*100,1)</f>
        <v>68.599999999999994</v>
      </c>
    </row>
    <row r="13" spans="1:10" ht="15.75" customHeight="1">
      <c r="A13" s="111" t="s">
        <v>262</v>
      </c>
      <c r="B13" s="116">
        <f>ROUND(AVERAGEA(B7:B12),6)</f>
        <v>9.9992999999999999E-2</v>
      </c>
      <c r="C13" s="116">
        <f>ROUND(AVERAGEA(C7:C12),6)</f>
        <v>0.15352499999999999</v>
      </c>
      <c r="D13" s="117">
        <f>ROUND(AVERAGE(D7:D12),1)</f>
        <v>65.099999999999994</v>
      </c>
      <c r="E13" s="116">
        <f>ROUND(AVERAGEA(E7:E12),6)</f>
        <v>4.158766</v>
      </c>
      <c r="F13" s="116">
        <f>ROUND(AVERAGEA(F7:F12),6)</f>
        <v>6.3539570000000003</v>
      </c>
      <c r="G13" s="117">
        <f>ROUND(AVERAGE(G7:G12),1)</f>
        <v>65.5</v>
      </c>
      <c r="H13" s="116">
        <f>ROUND(AVERAGEA(H7:H12),6)</f>
        <v>10.200199</v>
      </c>
      <c r="I13" s="116">
        <f>ROUND(AVERAGEA(I7:I12),6)</f>
        <v>16.240210999999999</v>
      </c>
      <c r="J13" s="117">
        <f>ROUND(AVERAGE(J7:J12),1)</f>
        <v>62.8</v>
      </c>
    </row>
    <row r="14" spans="1:10" ht="15.75" customHeight="1">
      <c r="A14" s="111" t="s">
        <v>3</v>
      </c>
      <c r="B14" s="250"/>
      <c r="C14" s="251"/>
      <c r="D14" s="117">
        <f>ROUND(STDEV(D7:D12),1)</f>
        <v>2.9</v>
      </c>
      <c r="E14" s="250"/>
      <c r="F14" s="251"/>
      <c r="G14" s="117">
        <f>ROUND(STDEV(G7:G12),1)</f>
        <v>3.1</v>
      </c>
      <c r="H14" s="250"/>
      <c r="I14" s="251"/>
      <c r="J14" s="117">
        <f>ROUND(STDEV(J7:J12),1)</f>
        <v>4.3</v>
      </c>
    </row>
    <row r="15" spans="1:10" ht="15.75" customHeight="1">
      <c r="A15" s="111" t="s">
        <v>7</v>
      </c>
      <c r="B15" s="252"/>
      <c r="C15" s="253"/>
      <c r="D15" s="111">
        <f>ROUND(D14/D13*100,1)</f>
        <v>4.5</v>
      </c>
      <c r="E15" s="252"/>
      <c r="F15" s="253"/>
      <c r="G15" s="111">
        <f>ROUND(G14/G13*100,1)</f>
        <v>4.7</v>
      </c>
      <c r="H15" s="252"/>
      <c r="I15" s="253"/>
      <c r="J15" s="111">
        <f>ROUND(J14/J13*100,1)</f>
        <v>6.8</v>
      </c>
    </row>
    <row r="16" spans="1:10" ht="15.75" customHeight="1">
      <c r="A16" s="118" t="s">
        <v>263</v>
      </c>
      <c r="B16" s="240">
        <f>ROUND(AVERAGE(D13,G13,J13),1)</f>
        <v>64.5</v>
      </c>
      <c r="C16" s="241"/>
      <c r="D16" s="241"/>
      <c r="E16" s="241"/>
      <c r="F16" s="241"/>
      <c r="G16" s="241"/>
      <c r="H16" s="241"/>
      <c r="I16" s="241"/>
      <c r="J16" s="241"/>
    </row>
    <row r="17" spans="1:10" ht="15.75" customHeight="1">
      <c r="A17" s="118" t="s">
        <v>264</v>
      </c>
      <c r="B17" s="185">
        <f>ROUND(STDEV(D13,G13,J13)/B16*100,1)</f>
        <v>2.2999999999999998</v>
      </c>
      <c r="C17" s="241"/>
      <c r="D17" s="241"/>
      <c r="E17" s="241"/>
      <c r="F17" s="241"/>
      <c r="G17" s="241"/>
      <c r="H17" s="241"/>
      <c r="I17" s="241"/>
      <c r="J17" s="241"/>
    </row>
    <row r="18" spans="1:10" ht="15.75" customHeight="1">
      <c r="B18" s="119"/>
      <c r="C18" s="120"/>
      <c r="D18" s="120"/>
      <c r="E18" s="120"/>
      <c r="F18" s="120"/>
      <c r="G18" s="120"/>
    </row>
    <row r="19" spans="1:10" ht="15.75" customHeight="1">
      <c r="B19" s="119"/>
      <c r="C19" s="120"/>
      <c r="D19" s="120"/>
      <c r="E19" s="120"/>
      <c r="F19" s="120"/>
      <c r="G19" s="120"/>
    </row>
    <row r="20" spans="1:10" ht="15.75" customHeight="1">
      <c r="B20" s="119"/>
      <c r="C20" s="120"/>
      <c r="D20" s="120"/>
      <c r="E20" s="120"/>
      <c r="F20" s="120"/>
      <c r="G20" s="120"/>
    </row>
    <row r="21" spans="1:10" ht="15.75" customHeight="1">
      <c r="B21" s="119"/>
      <c r="C21" s="120"/>
      <c r="D21" s="120"/>
      <c r="E21" s="120"/>
      <c r="F21" s="120"/>
      <c r="G21" s="120"/>
    </row>
    <row r="22" spans="1:10" ht="15.75" customHeight="1">
      <c r="B22" s="119"/>
      <c r="C22" s="120"/>
      <c r="D22" s="120"/>
      <c r="E22" s="120"/>
      <c r="F22" s="120"/>
      <c r="G22" s="120"/>
    </row>
    <row r="23" spans="1:10" ht="15.75" customHeight="1">
      <c r="B23" s="119"/>
      <c r="C23" s="120"/>
      <c r="D23" s="120"/>
      <c r="E23" s="120"/>
      <c r="F23" s="120"/>
      <c r="G23" s="120"/>
    </row>
    <row r="24" spans="1:10" ht="15.75" customHeight="1">
      <c r="B24" s="119"/>
      <c r="C24" s="120"/>
      <c r="D24" s="120"/>
      <c r="E24" s="120"/>
      <c r="F24" s="120"/>
      <c r="G24" s="120"/>
    </row>
    <row r="25" spans="1:10" ht="15.75" customHeight="1">
      <c r="B25" s="119"/>
      <c r="C25" s="120"/>
      <c r="D25" s="120"/>
      <c r="E25" s="120"/>
      <c r="F25" s="120"/>
      <c r="G25" s="120"/>
    </row>
    <row r="26" spans="1:10" ht="15.75" customHeight="1">
      <c r="B26" s="119"/>
      <c r="C26" s="120"/>
      <c r="D26" s="120"/>
      <c r="E26" s="120"/>
      <c r="F26" s="120"/>
      <c r="G26" s="120"/>
    </row>
    <row r="27" spans="1:10" ht="15.75" customHeight="1">
      <c r="B27" s="119"/>
      <c r="C27" s="120"/>
      <c r="D27" s="120"/>
      <c r="E27" s="120"/>
      <c r="F27" s="120"/>
      <c r="G27" s="120"/>
    </row>
    <row r="28" spans="1:10" ht="15.75" customHeight="1">
      <c r="B28" s="119"/>
      <c r="C28" s="120"/>
      <c r="D28" s="120"/>
      <c r="E28" s="120"/>
      <c r="F28" s="120"/>
      <c r="G28" s="120"/>
    </row>
    <row r="29" spans="1:10" ht="15.75" customHeight="1">
      <c r="B29" s="119"/>
      <c r="C29" s="120"/>
      <c r="D29" s="120"/>
      <c r="E29" s="120"/>
      <c r="F29" s="120"/>
      <c r="G29" s="120"/>
    </row>
    <row r="30" spans="1:10" ht="15.75" customHeight="1">
      <c r="B30" s="119"/>
      <c r="C30" s="120"/>
      <c r="D30" s="120"/>
      <c r="E30" s="120"/>
      <c r="F30" s="120"/>
      <c r="G30" s="120"/>
    </row>
    <row r="31" spans="1:10" ht="15.75" customHeight="1">
      <c r="B31" s="119"/>
      <c r="C31" s="120"/>
      <c r="D31" s="120"/>
      <c r="E31" s="120"/>
      <c r="F31" s="120"/>
      <c r="G31" s="120"/>
    </row>
    <row r="32" spans="1:10" ht="15.75" customHeight="1">
      <c r="B32" s="119"/>
      <c r="C32" s="120"/>
      <c r="D32" s="120"/>
      <c r="E32" s="120"/>
      <c r="F32" s="120"/>
      <c r="G32" s="120"/>
    </row>
    <row r="33" spans="2:7" ht="15.75" customHeight="1">
      <c r="B33" s="119"/>
      <c r="C33" s="120"/>
      <c r="D33" s="120"/>
      <c r="E33" s="120"/>
      <c r="F33" s="120"/>
      <c r="G33" s="120"/>
    </row>
    <row r="34" spans="2:7" ht="15.75" customHeight="1">
      <c r="B34" s="119"/>
      <c r="C34" s="120"/>
      <c r="D34" s="120"/>
      <c r="E34" s="120"/>
      <c r="F34" s="120"/>
      <c r="G34" s="120"/>
    </row>
    <row r="35" spans="2:7" ht="15.75" customHeight="1">
      <c r="B35" s="119"/>
      <c r="C35" s="120"/>
      <c r="D35" s="120"/>
      <c r="E35" s="120"/>
      <c r="F35" s="120"/>
      <c r="G35" s="120"/>
    </row>
    <row r="36" spans="2:7" ht="15.75" customHeight="1">
      <c r="B36" s="119"/>
      <c r="C36" s="120"/>
      <c r="D36" s="120"/>
      <c r="E36" s="120"/>
      <c r="F36" s="120"/>
      <c r="G36" s="120"/>
    </row>
    <row r="37" spans="2:7" ht="15.75" customHeight="1">
      <c r="B37" s="119"/>
      <c r="C37" s="120"/>
      <c r="D37" s="120"/>
      <c r="E37" s="120"/>
      <c r="F37" s="120"/>
      <c r="G37" s="120"/>
    </row>
    <row r="38" spans="2:7" ht="15.75" customHeight="1">
      <c r="B38" s="119"/>
      <c r="C38" s="120"/>
      <c r="D38" s="120"/>
      <c r="E38" s="120"/>
      <c r="F38" s="120"/>
      <c r="G38" s="120"/>
    </row>
    <row r="39" spans="2:7" ht="15.75" customHeight="1">
      <c r="B39" s="119"/>
      <c r="C39" s="120"/>
      <c r="D39" s="120"/>
      <c r="E39" s="120"/>
      <c r="F39" s="120"/>
      <c r="G39" s="120"/>
    </row>
    <row r="40" spans="2:7" ht="15.75" customHeight="1">
      <c r="B40" s="119"/>
      <c r="C40" s="120"/>
      <c r="D40" s="120"/>
      <c r="E40" s="120"/>
      <c r="F40" s="120"/>
      <c r="G40" s="120"/>
    </row>
    <row r="41" spans="2:7" ht="15.75" customHeight="1">
      <c r="B41" s="119"/>
      <c r="C41" s="120"/>
      <c r="D41" s="120"/>
      <c r="E41" s="120"/>
      <c r="F41" s="120"/>
      <c r="G41" s="120"/>
    </row>
    <row r="42" spans="2:7" ht="15.75" customHeight="1">
      <c r="B42" s="119"/>
      <c r="C42" s="120"/>
      <c r="D42" s="120"/>
      <c r="E42" s="120"/>
      <c r="F42" s="120"/>
      <c r="G42" s="120"/>
    </row>
    <row r="43" spans="2:7" ht="15.75" customHeight="1">
      <c r="B43" s="119"/>
      <c r="C43" s="120"/>
      <c r="D43" s="120"/>
      <c r="E43" s="120"/>
      <c r="F43" s="120"/>
      <c r="G43" s="120"/>
    </row>
    <row r="44" spans="2:7" ht="15.75" customHeight="1">
      <c r="B44" s="119"/>
      <c r="C44" s="120"/>
      <c r="D44" s="120"/>
      <c r="E44" s="120"/>
      <c r="F44" s="120"/>
      <c r="G44" s="120"/>
    </row>
    <row r="45" spans="2:7" ht="15.75" customHeight="1">
      <c r="B45" s="119"/>
      <c r="C45" s="120"/>
      <c r="D45" s="120"/>
      <c r="E45" s="120"/>
      <c r="F45" s="120"/>
      <c r="G45" s="120"/>
    </row>
  </sheetData>
  <mergeCells count="10">
    <mergeCell ref="B16:J16"/>
    <mergeCell ref="B17:J17"/>
    <mergeCell ref="A4:J4"/>
    <mergeCell ref="A5:A6"/>
    <mergeCell ref="B5:D5"/>
    <mergeCell ref="E5:G5"/>
    <mergeCell ref="H5:J5"/>
    <mergeCell ref="B14:C15"/>
    <mergeCell ref="E14:F15"/>
    <mergeCell ref="H14:I15"/>
  </mergeCells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scale="84" orientation="landscape" r:id="rId1"/>
  <headerFooter>
    <oddHeader>&amp;C18903MV01验证数据汇总</oddHeader>
    <oddFooter>&amp;C第&amp;P页，共&amp;N页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7AC33-1375-49FE-A7D9-A9D3B009FDB0}">
  <sheetPr>
    <pageSetUpPr fitToPage="1"/>
  </sheetPr>
  <dimension ref="A2:D41"/>
  <sheetViews>
    <sheetView zoomScaleNormal="100" zoomScaleSheetLayoutView="100" workbookViewId="0">
      <selection activeCell="A4" sqref="A4:D17"/>
    </sheetView>
  </sheetViews>
  <sheetFormatPr defaultColWidth="8.75" defaultRowHeight="15.75" customHeight="1"/>
  <cols>
    <col min="1" max="1" width="17" style="2" customWidth="1"/>
    <col min="2" max="2" width="17.58203125" style="12" customWidth="1"/>
    <col min="3" max="3" width="20" style="2" customWidth="1"/>
    <col min="4" max="4" width="17.58203125" style="2" customWidth="1"/>
    <col min="5" max="16384" width="8.75" style="2"/>
  </cols>
  <sheetData>
    <row r="2" spans="1:4" ht="15.75" customHeight="1">
      <c r="A2" s="172" t="s">
        <v>265</v>
      </c>
      <c r="B2" s="172"/>
      <c r="C2" s="172"/>
      <c r="D2" s="172"/>
    </row>
    <row r="3" spans="1:4" ht="15.75" customHeight="1">
      <c r="A3" s="1"/>
      <c r="B3" s="1"/>
      <c r="C3" s="1"/>
      <c r="D3" s="1"/>
    </row>
    <row r="4" spans="1:4" ht="15.75" customHeight="1">
      <c r="A4" s="179" t="s">
        <v>73</v>
      </c>
      <c r="B4" s="179" t="s">
        <v>76</v>
      </c>
      <c r="C4" s="6" t="s">
        <v>266</v>
      </c>
      <c r="D4" s="179" t="s">
        <v>241</v>
      </c>
    </row>
    <row r="5" spans="1:4" ht="15.75" customHeight="1">
      <c r="A5" s="207"/>
      <c r="B5" s="207"/>
      <c r="C5" s="100">
        <v>500</v>
      </c>
      <c r="D5" s="207"/>
    </row>
    <row r="6" spans="1:4" ht="15.75" customHeight="1">
      <c r="A6" s="180"/>
      <c r="B6" s="180"/>
      <c r="C6" s="29" t="s">
        <v>5</v>
      </c>
      <c r="D6" s="180"/>
    </row>
    <row r="7" spans="1:4" ht="15.75" customHeight="1">
      <c r="A7" s="202">
        <v>45902</v>
      </c>
      <c r="B7" s="179">
        <v>1</v>
      </c>
      <c r="C7" s="3">
        <v>459.38299999999998</v>
      </c>
      <c r="D7" s="37">
        <f t="shared" ref="D7:D12" si="0">ROUND((C7-C$5)/C$5*100,1)</f>
        <v>-8.1</v>
      </c>
    </row>
    <row r="8" spans="1:4" ht="15.75" customHeight="1">
      <c r="A8" s="202"/>
      <c r="B8" s="207"/>
      <c r="C8" s="121">
        <v>468.02199999999999</v>
      </c>
      <c r="D8" s="37">
        <f t="shared" si="0"/>
        <v>-6.4</v>
      </c>
    </row>
    <row r="9" spans="1:4" ht="15.75" customHeight="1">
      <c r="A9" s="202"/>
      <c r="B9" s="207"/>
      <c r="C9" s="121">
        <v>481.66</v>
      </c>
      <c r="D9" s="37">
        <f t="shared" si="0"/>
        <v>-3.7</v>
      </c>
    </row>
    <row r="10" spans="1:4" ht="15.75" customHeight="1">
      <c r="A10" s="202"/>
      <c r="B10" s="207"/>
      <c r="C10" s="121">
        <v>494.51799999999997</v>
      </c>
      <c r="D10" s="37">
        <f t="shared" si="0"/>
        <v>-1.1000000000000001</v>
      </c>
    </row>
    <row r="11" spans="1:4" ht="15.75" customHeight="1">
      <c r="A11" s="202"/>
      <c r="B11" s="207"/>
      <c r="C11" s="121">
        <v>495.25599999999997</v>
      </c>
      <c r="D11" s="37">
        <f t="shared" si="0"/>
        <v>-0.9</v>
      </c>
    </row>
    <row r="12" spans="1:4" ht="15.75" customHeight="1">
      <c r="A12" s="202"/>
      <c r="B12" s="180"/>
      <c r="C12" s="3">
        <v>484.12200000000001</v>
      </c>
      <c r="D12" s="37">
        <f t="shared" si="0"/>
        <v>-3.2</v>
      </c>
    </row>
    <row r="13" spans="1:4" ht="15.75" customHeight="1">
      <c r="A13" s="6" t="s">
        <v>77</v>
      </c>
      <c r="B13" s="199"/>
      <c r="C13" s="36">
        <f>ROUND(AVERAGE(C7:C12),3)</f>
        <v>480.49400000000003</v>
      </c>
      <c r="D13" s="199"/>
    </row>
    <row r="14" spans="1:4" ht="15.75" customHeight="1">
      <c r="A14" s="6" t="s">
        <v>3</v>
      </c>
      <c r="B14" s="200"/>
      <c r="C14" s="36">
        <f>ROUND(STDEV(C7:C12),3)</f>
        <v>14.355</v>
      </c>
      <c r="D14" s="200"/>
    </row>
    <row r="15" spans="1:4" ht="15.75" customHeight="1">
      <c r="A15" s="65" t="s">
        <v>7</v>
      </c>
      <c r="B15" s="200"/>
      <c r="C15" s="37">
        <f>ROUND(C14/C13*100,1)</f>
        <v>3</v>
      </c>
      <c r="D15" s="200"/>
    </row>
    <row r="16" spans="1:4" ht="15.75" customHeight="1">
      <c r="A16" s="65" t="s">
        <v>267</v>
      </c>
      <c r="B16" s="200"/>
      <c r="C16" s="37">
        <f>ROUND(C13/C$5*100,1)</f>
        <v>96.1</v>
      </c>
      <c r="D16" s="200"/>
    </row>
    <row r="17" spans="1:4" ht="15.75" customHeight="1">
      <c r="A17" s="6" t="s">
        <v>4</v>
      </c>
      <c r="B17" s="201"/>
      <c r="C17" s="6">
        <v>6</v>
      </c>
      <c r="D17" s="201"/>
    </row>
    <row r="40" spans="2:2" ht="15.75" customHeight="1">
      <c r="B40" s="99"/>
    </row>
    <row r="41" spans="2:2" ht="15.75" customHeight="1">
      <c r="B41" s="99"/>
    </row>
  </sheetData>
  <mergeCells count="8">
    <mergeCell ref="B13:B17"/>
    <mergeCell ref="D13:D17"/>
    <mergeCell ref="A2:D2"/>
    <mergeCell ref="A4:A6"/>
    <mergeCell ref="B4:B6"/>
    <mergeCell ref="D4:D6"/>
    <mergeCell ref="A7:A12"/>
    <mergeCell ref="B7:B12"/>
  </mergeCells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084F-5511-44E6-9429-5F2BFAAD01A0}">
  <dimension ref="A2:H22"/>
  <sheetViews>
    <sheetView topLeftCell="A5" workbookViewId="0">
      <selection activeCell="A4" sqref="A4:C20"/>
    </sheetView>
  </sheetViews>
  <sheetFormatPr defaultColWidth="8.75" defaultRowHeight="15.75" customHeight="1"/>
  <cols>
    <col min="1" max="1" width="14.58203125" style="2" customWidth="1"/>
    <col min="2" max="3" width="16.33203125" style="2" customWidth="1"/>
    <col min="4" max="6" width="8.75" style="2"/>
    <col min="7" max="7" width="15.25" style="2" customWidth="1"/>
    <col min="8" max="16384" width="8.75" style="2"/>
  </cols>
  <sheetData>
    <row r="2" spans="1:8" ht="15.75" customHeight="1">
      <c r="A2" s="1" t="s">
        <v>304</v>
      </c>
      <c r="B2" s="1"/>
    </row>
    <row r="3" spans="1:8" ht="15.75" customHeight="1">
      <c r="B3" s="1"/>
      <c r="F3" s="30" t="s">
        <v>305</v>
      </c>
      <c r="G3" s="143">
        <v>45988.740972222222</v>
      </c>
    </row>
    <row r="4" spans="1:8" ht="15.75" customHeight="1">
      <c r="A4" s="255" t="s">
        <v>306</v>
      </c>
      <c r="B4" s="157"/>
      <c r="C4" s="157"/>
      <c r="F4" s="30" t="s">
        <v>307</v>
      </c>
      <c r="G4" s="143">
        <v>45989.684027777781</v>
      </c>
    </row>
    <row r="5" spans="1:8" ht="15.75" customHeight="1">
      <c r="A5" s="199"/>
      <c r="B5" s="176" t="s">
        <v>78</v>
      </c>
      <c r="C5" s="178"/>
      <c r="F5" s="30" t="s">
        <v>308</v>
      </c>
      <c r="G5" s="136">
        <f>(G4-G3)*24</f>
        <v>22.633333333418705</v>
      </c>
    </row>
    <row r="6" spans="1:8" ht="15.75" customHeight="1">
      <c r="A6" s="200"/>
      <c r="B6" s="256" t="s">
        <v>309</v>
      </c>
      <c r="C6" s="178"/>
    </row>
    <row r="7" spans="1:8" ht="15.75" customHeight="1">
      <c r="A7" s="200"/>
      <c r="B7" s="176" t="s">
        <v>310</v>
      </c>
      <c r="C7" s="178"/>
    </row>
    <row r="8" spans="1:8" ht="15.75" customHeight="1">
      <c r="A8" s="200"/>
      <c r="B8" s="5">
        <v>1</v>
      </c>
      <c r="C8" s="6" t="s">
        <v>311</v>
      </c>
    </row>
    <row r="9" spans="1:8" ht="15.75" customHeight="1">
      <c r="A9" s="200"/>
      <c r="B9" s="176" t="s">
        <v>312</v>
      </c>
      <c r="C9" s="178"/>
    </row>
    <row r="10" spans="1:8" ht="15.75" customHeight="1">
      <c r="A10" s="201"/>
      <c r="B10" s="6" t="s">
        <v>313</v>
      </c>
      <c r="C10" s="6" t="s">
        <v>314</v>
      </c>
    </row>
    <row r="11" spans="1:8" ht="15.75" customHeight="1">
      <c r="A11" s="6">
        <v>1</v>
      </c>
      <c r="B11" s="144">
        <v>13.465960000000001</v>
      </c>
      <c r="C11" s="144">
        <v>12.731586</v>
      </c>
      <c r="D11" s="145"/>
      <c r="G11" s="146"/>
      <c r="H11" s="146"/>
    </row>
    <row r="12" spans="1:8" ht="15.75" customHeight="1">
      <c r="A12" s="6">
        <v>2</v>
      </c>
      <c r="B12" s="144">
        <v>13.400342</v>
      </c>
      <c r="C12" s="144">
        <v>13.265795000000001</v>
      </c>
      <c r="D12" s="145"/>
      <c r="G12" s="146"/>
      <c r="H12" s="146"/>
    </row>
    <row r="13" spans="1:8" ht="15.75" customHeight="1">
      <c r="A13" s="6">
        <v>3</v>
      </c>
      <c r="B13" s="144">
        <v>13.263249999999999</v>
      </c>
      <c r="C13" s="144">
        <v>13.033344</v>
      </c>
      <c r="D13" s="145"/>
      <c r="G13" s="146"/>
      <c r="H13" s="146"/>
    </row>
    <row r="14" spans="1:8" ht="15.75" customHeight="1">
      <c r="A14" s="6">
        <v>4</v>
      </c>
      <c r="B14" s="144">
        <v>13.327756000000001</v>
      </c>
      <c r="C14" s="144">
        <v>12.999860999999999</v>
      </c>
      <c r="D14" s="145"/>
      <c r="G14" s="146"/>
      <c r="H14" s="146"/>
    </row>
    <row r="15" spans="1:8" ht="15.75" customHeight="1">
      <c r="A15" s="6">
        <v>5</v>
      </c>
      <c r="B15" s="144">
        <v>13.815438</v>
      </c>
      <c r="C15" s="144">
        <v>13.349944000000001</v>
      </c>
      <c r="D15" s="145"/>
      <c r="G15" s="146"/>
      <c r="H15" s="146"/>
    </row>
    <row r="16" spans="1:8" ht="15.75" customHeight="1">
      <c r="A16" s="6">
        <v>6</v>
      </c>
      <c r="B16" s="144">
        <v>13.464649</v>
      </c>
      <c r="C16" s="144">
        <v>13.056284</v>
      </c>
      <c r="D16" s="145"/>
      <c r="G16" s="146"/>
      <c r="H16" s="146"/>
    </row>
    <row r="17" spans="1:4" ht="15.75" customHeight="1">
      <c r="A17" s="6" t="s">
        <v>77</v>
      </c>
      <c r="B17" s="147">
        <f>ROUND(AVERAGE(B11:B16),6)</f>
        <v>13.456232999999999</v>
      </c>
      <c r="C17" s="147">
        <f>ROUND(AVERAGE(C11:C16),6)</f>
        <v>13.072801999999999</v>
      </c>
      <c r="D17" s="145"/>
    </row>
    <row r="18" spans="1:4" ht="15.75" customHeight="1">
      <c r="A18" s="6" t="s">
        <v>3</v>
      </c>
      <c r="B18" s="147">
        <f>ROUND(STDEV(B11:B16),6)</f>
        <v>0.192907</v>
      </c>
      <c r="C18" s="147">
        <f>ROUND(STDEV(C11:C16),6)</f>
        <v>0.21800600000000001</v>
      </c>
      <c r="D18" s="145"/>
    </row>
    <row r="19" spans="1:4" ht="15.75" customHeight="1">
      <c r="A19" s="6" t="s">
        <v>7</v>
      </c>
      <c r="B19" s="148">
        <f>ROUND(B18/B17*100,1)</f>
        <v>1.4</v>
      </c>
      <c r="C19" s="148">
        <f>ROUND(C18/C17*100,1)</f>
        <v>1.7</v>
      </c>
      <c r="D19" s="145"/>
    </row>
    <row r="20" spans="1:4" ht="15.75" customHeight="1">
      <c r="A20" s="149" t="s">
        <v>315</v>
      </c>
      <c r="B20" s="254">
        <f>ROUND((C17-B17)/B17*100,1)</f>
        <v>-2.8</v>
      </c>
      <c r="C20" s="254"/>
      <c r="D20" s="145"/>
    </row>
    <row r="21" spans="1:4" ht="15.75" customHeight="1">
      <c r="D21" s="145"/>
    </row>
    <row r="22" spans="1:4" ht="15.75" customHeight="1">
      <c r="D22" s="145"/>
    </row>
  </sheetData>
  <mergeCells count="7">
    <mergeCell ref="B20:C20"/>
    <mergeCell ref="A4:C4"/>
    <mergeCell ref="A5:A10"/>
    <mergeCell ref="B5:C5"/>
    <mergeCell ref="B6:C6"/>
    <mergeCell ref="B7:C7"/>
    <mergeCell ref="B9:C9"/>
  </mergeCells>
  <phoneticPr fontId="12" type="noConversion"/>
  <conditionalFormatting sqref="E11:E22">
    <cfRule type="colorScale" priority="1">
      <colorScale>
        <cfvo type="num" val="0"/>
        <cfvo type="num" val="2"/>
        <color rgb="FFFF7128"/>
        <color rgb="FFFFEF9C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3F30-5635-45E6-8A59-A2FB30821F47}">
  <dimension ref="A2:I28"/>
  <sheetViews>
    <sheetView topLeftCell="A4" workbookViewId="0">
      <selection activeCell="A4" sqref="A4:E21"/>
    </sheetView>
  </sheetViews>
  <sheetFormatPr defaultColWidth="8.75" defaultRowHeight="15.75" customHeight="1"/>
  <cols>
    <col min="1" max="1" width="15.33203125" style="2" customWidth="1"/>
    <col min="2" max="2" width="12.4140625" style="2" customWidth="1"/>
    <col min="3" max="3" width="15.75" style="2" customWidth="1"/>
    <col min="4" max="4" width="12.75" style="2" customWidth="1"/>
    <col min="5" max="5" width="15.58203125" style="2" customWidth="1"/>
    <col min="6" max="6" width="8.75" style="2"/>
    <col min="7" max="7" width="13.08203125" style="2" customWidth="1"/>
    <col min="8" max="8" width="15.75" style="2" customWidth="1"/>
    <col min="9" max="16384" width="8.75" style="2"/>
  </cols>
  <sheetData>
    <row r="2" spans="1:9" ht="15.75" customHeight="1">
      <c r="A2" s="150" t="s">
        <v>316</v>
      </c>
    </row>
    <row r="3" spans="1:9" ht="15.75" customHeight="1">
      <c r="G3" s="30" t="s">
        <v>317</v>
      </c>
      <c r="H3" s="143">
        <v>45988.756249999999</v>
      </c>
    </row>
    <row r="4" spans="1:9" s="12" customFormat="1" ht="15.75" customHeight="1">
      <c r="A4" s="160" t="s">
        <v>306</v>
      </c>
      <c r="B4" s="206"/>
      <c r="C4" s="206"/>
      <c r="D4" s="206"/>
      <c r="E4" s="206"/>
      <c r="G4" s="30" t="s">
        <v>318</v>
      </c>
      <c r="H4" s="143">
        <v>45989.684027777781</v>
      </c>
    </row>
    <row r="5" spans="1:9" s="12" customFormat="1" ht="15.75" customHeight="1">
      <c r="A5" s="208"/>
      <c r="B5" s="175" t="s">
        <v>177</v>
      </c>
      <c r="C5" s="175"/>
      <c r="D5" s="175" t="s">
        <v>319</v>
      </c>
      <c r="E5" s="175"/>
      <c r="G5" s="30" t="s">
        <v>308</v>
      </c>
      <c r="H5" s="136">
        <f>(H4-H3)*24</f>
        <v>22.266666666779201</v>
      </c>
    </row>
    <row r="6" spans="1:9" s="12" customFormat="1" ht="15.75" customHeight="1">
      <c r="A6" s="208"/>
      <c r="B6" s="256" t="s">
        <v>309</v>
      </c>
      <c r="C6" s="178"/>
      <c r="D6" s="256" t="s">
        <v>309</v>
      </c>
      <c r="E6" s="178"/>
    </row>
    <row r="7" spans="1:9" s="12" customFormat="1" ht="15.75" customHeight="1">
      <c r="A7" s="208"/>
      <c r="B7" s="175" t="s">
        <v>310</v>
      </c>
      <c r="C7" s="175"/>
      <c r="D7" s="175" t="s">
        <v>310</v>
      </c>
      <c r="E7" s="175"/>
      <c r="G7" s="2"/>
      <c r="H7" s="2"/>
      <c r="I7" s="2"/>
    </row>
    <row r="8" spans="1:9" s="12" customFormat="1" ht="15.75" customHeight="1">
      <c r="A8" s="208"/>
      <c r="B8" s="5">
        <v>2</v>
      </c>
      <c r="C8" s="6" t="s">
        <v>288</v>
      </c>
      <c r="D8" s="5">
        <v>1000</v>
      </c>
      <c r="E8" s="6" t="s">
        <v>5</v>
      </c>
      <c r="G8" s="2"/>
      <c r="H8" s="2"/>
      <c r="I8" s="2"/>
    </row>
    <row r="9" spans="1:9" s="12" customFormat="1" ht="15.75" customHeight="1">
      <c r="A9" s="208"/>
      <c r="B9" s="175" t="s">
        <v>312</v>
      </c>
      <c r="C9" s="175"/>
      <c r="D9" s="175" t="s">
        <v>312</v>
      </c>
      <c r="E9" s="175"/>
      <c r="G9" s="2"/>
      <c r="H9" s="2"/>
      <c r="I9" s="2"/>
    </row>
    <row r="10" spans="1:9" s="12" customFormat="1" ht="15.75" customHeight="1">
      <c r="A10" s="208"/>
      <c r="B10" s="6" t="s">
        <v>313</v>
      </c>
      <c r="C10" s="6" t="s">
        <v>314</v>
      </c>
      <c r="D10" s="6" t="s">
        <v>313</v>
      </c>
      <c r="E10" s="6" t="s">
        <v>314</v>
      </c>
      <c r="G10" s="2"/>
      <c r="H10" s="2"/>
      <c r="I10" s="2"/>
    </row>
    <row r="11" spans="1:9" s="12" customFormat="1" ht="15.75" customHeight="1">
      <c r="A11" s="6">
        <v>1</v>
      </c>
      <c r="B11" s="144">
        <v>0.15945500000000001</v>
      </c>
      <c r="C11" s="144">
        <v>0.165496</v>
      </c>
      <c r="D11" s="144">
        <v>13.095146</v>
      </c>
      <c r="E11" s="144">
        <v>13.483779</v>
      </c>
      <c r="F11" s="145"/>
      <c r="G11" s="2"/>
      <c r="H11" s="145"/>
      <c r="I11" s="2"/>
    </row>
    <row r="12" spans="1:9" s="12" customFormat="1" ht="15.75" customHeight="1">
      <c r="A12" s="6">
        <v>2</v>
      </c>
      <c r="B12" s="144">
        <v>0.18415899999999999</v>
      </c>
      <c r="C12" s="144">
        <v>0.16531000000000001</v>
      </c>
      <c r="D12" s="144">
        <v>13.498661999999999</v>
      </c>
      <c r="E12" s="144">
        <v>13.587678</v>
      </c>
      <c r="F12" s="145"/>
      <c r="G12" s="2"/>
      <c r="H12" s="145"/>
      <c r="I12" s="2"/>
    </row>
    <row r="13" spans="1:9" s="12" customFormat="1" ht="15.75" customHeight="1">
      <c r="A13" s="6">
        <v>3</v>
      </c>
      <c r="B13" s="144">
        <v>0.166515</v>
      </c>
      <c r="C13" s="144">
        <v>0.15454100000000001</v>
      </c>
      <c r="D13" s="144">
        <v>13.578189</v>
      </c>
      <c r="E13" s="144">
        <v>13.535873</v>
      </c>
      <c r="F13" s="145"/>
      <c r="G13" s="2"/>
      <c r="H13" s="145"/>
      <c r="I13" s="2"/>
    </row>
    <row r="14" spans="1:9" s="12" customFormat="1" ht="15.75" customHeight="1">
      <c r="A14" s="6">
        <v>4</v>
      </c>
      <c r="B14" s="144">
        <v>0.16867499999999999</v>
      </c>
      <c r="C14" s="144">
        <v>0.17632600000000001</v>
      </c>
      <c r="D14" s="144">
        <v>13.274165</v>
      </c>
      <c r="E14" s="144">
        <v>13.207214</v>
      </c>
      <c r="F14" s="145"/>
      <c r="G14" s="2"/>
      <c r="H14" s="145"/>
      <c r="I14" s="2"/>
    </row>
    <row r="15" spans="1:9" s="12" customFormat="1" ht="15.75" customHeight="1">
      <c r="A15" s="6">
        <v>5</v>
      </c>
      <c r="B15" s="144">
        <v>0.14963199999999999</v>
      </c>
      <c r="C15" s="144">
        <v>0.17083499999999999</v>
      </c>
      <c r="D15" s="144">
        <v>13.60397</v>
      </c>
      <c r="E15" s="144">
        <v>12.886813999999999</v>
      </c>
      <c r="F15" s="145"/>
      <c r="G15" s="2"/>
      <c r="H15" s="145"/>
      <c r="I15" s="2"/>
    </row>
    <row r="16" spans="1:9" s="12" customFormat="1" ht="15.75" customHeight="1">
      <c r="A16" s="6">
        <v>6</v>
      </c>
      <c r="B16" s="144">
        <v>0.163136</v>
      </c>
      <c r="C16" s="144">
        <v>0.16669600000000001</v>
      </c>
      <c r="D16" s="144">
        <v>13.352702000000001</v>
      </c>
      <c r="E16" s="144">
        <v>13.376696000000001</v>
      </c>
      <c r="F16" s="145"/>
      <c r="G16" s="2"/>
      <c r="H16" s="145"/>
      <c r="I16" s="2"/>
    </row>
    <row r="17" spans="1:9" s="12" customFormat="1" ht="15.75" customHeight="1">
      <c r="A17" s="6" t="s">
        <v>77</v>
      </c>
      <c r="B17" s="147">
        <f t="shared" ref="B17:E17" si="0">ROUND(AVERAGE(B11:B16),6)</f>
        <v>0.16526199999999999</v>
      </c>
      <c r="C17" s="147">
        <f t="shared" si="0"/>
        <v>0.16653399999999999</v>
      </c>
      <c r="D17" s="147">
        <f t="shared" si="0"/>
        <v>13.400472000000001</v>
      </c>
      <c r="E17" s="147">
        <f t="shared" si="0"/>
        <v>13.346342</v>
      </c>
      <c r="F17" s="145"/>
      <c r="G17" s="2"/>
      <c r="H17" s="145"/>
      <c r="I17" s="2"/>
    </row>
    <row r="18" spans="1:9" s="12" customFormat="1" ht="15.75" customHeight="1">
      <c r="A18" s="6" t="s">
        <v>3</v>
      </c>
      <c r="B18" s="147">
        <f t="shared" ref="B18:E18" si="1">ROUND(STDEV(B11:B16),6)</f>
        <v>1.1427E-2</v>
      </c>
      <c r="C18" s="147">
        <f t="shared" si="1"/>
        <v>7.2220000000000001E-3</v>
      </c>
      <c r="D18" s="147">
        <f t="shared" si="1"/>
        <v>0.19702600000000001</v>
      </c>
      <c r="E18" s="147">
        <f t="shared" si="1"/>
        <v>0.26248700000000003</v>
      </c>
      <c r="F18" s="145"/>
      <c r="G18" s="2"/>
      <c r="H18" s="145"/>
      <c r="I18" s="2"/>
    </row>
    <row r="19" spans="1:9" s="12" customFormat="1" ht="15.75" customHeight="1">
      <c r="A19" s="6" t="s">
        <v>7</v>
      </c>
      <c r="B19" s="148">
        <f t="shared" ref="B19:E19" si="2">ROUND(B18/B17*100,1)</f>
        <v>6.9</v>
      </c>
      <c r="C19" s="148">
        <f t="shared" si="2"/>
        <v>4.3</v>
      </c>
      <c r="D19" s="148">
        <f t="shared" si="2"/>
        <v>1.5</v>
      </c>
      <c r="E19" s="148">
        <f t="shared" si="2"/>
        <v>2</v>
      </c>
      <c r="F19" s="145"/>
      <c r="G19" s="2"/>
      <c r="H19" s="145"/>
      <c r="I19" s="2"/>
    </row>
    <row r="20" spans="1:9" ht="15.75" customHeight="1">
      <c r="A20" s="149" t="s">
        <v>315</v>
      </c>
      <c r="B20" s="254">
        <f>ROUND((C17-B17)/B17*100,1)</f>
        <v>0.8</v>
      </c>
      <c r="C20" s="254"/>
      <c r="D20" s="254">
        <f>ROUND((E17-D17)/D17*100,1)</f>
        <v>-0.4</v>
      </c>
      <c r="E20" s="254"/>
      <c r="F20" s="145"/>
      <c r="H20" s="145"/>
    </row>
    <row r="21" spans="1:9" ht="15.75" customHeight="1">
      <c r="A21" s="151" t="s">
        <v>320</v>
      </c>
      <c r="B21" s="152"/>
      <c r="C21" s="152"/>
      <c r="D21" s="152"/>
      <c r="E21" s="152"/>
      <c r="F21" s="152"/>
      <c r="G21" s="152"/>
    </row>
    <row r="22" spans="1:9" ht="15.75" customHeight="1">
      <c r="F22" s="145"/>
      <c r="H22" s="145"/>
    </row>
    <row r="23" spans="1:9" ht="15.75" customHeight="1">
      <c r="H23" s="145"/>
    </row>
    <row r="24" spans="1:9" ht="15.75" customHeight="1">
      <c r="H24" s="145"/>
    </row>
    <row r="25" spans="1:9" ht="15.75" customHeight="1">
      <c r="H25" s="145"/>
    </row>
    <row r="26" spans="1:9" ht="15.75" customHeight="1">
      <c r="H26" s="145"/>
    </row>
    <row r="27" spans="1:9" ht="15.75" customHeight="1">
      <c r="H27" s="145"/>
    </row>
    <row r="28" spans="1:9" ht="15.75" customHeight="1">
      <c r="H28" s="145"/>
    </row>
  </sheetData>
  <mergeCells count="12">
    <mergeCell ref="B20:C20"/>
    <mergeCell ref="D20:E20"/>
    <mergeCell ref="A4:E4"/>
    <mergeCell ref="A5:A10"/>
    <mergeCell ref="B5:C5"/>
    <mergeCell ref="D5:E5"/>
    <mergeCell ref="B6:C6"/>
    <mergeCell ref="D6:E6"/>
    <mergeCell ref="B7:C7"/>
    <mergeCell ref="D7:E7"/>
    <mergeCell ref="B9:C9"/>
    <mergeCell ref="D9:E9"/>
  </mergeCells>
  <phoneticPr fontId="12" type="noConversion"/>
  <conditionalFormatting sqref="G11:G20 G22">
    <cfRule type="colorScale" priority="3">
      <colorScale>
        <cfvo type="num" val="0"/>
        <cfvo type="num" val="2"/>
        <color rgb="FFFF7128"/>
        <color rgb="FFFFEF9C"/>
      </colorScale>
    </cfRule>
  </conditionalFormatting>
  <conditionalFormatting sqref="I11:I20 I22">
    <cfRule type="colorScale" priority="2">
      <colorScale>
        <cfvo type="num" val="0"/>
        <cfvo type="num" val="2"/>
        <color rgb="FFFF7128"/>
        <color rgb="FFFFEF9C"/>
      </colorScale>
    </cfRule>
  </conditionalFormatting>
  <conditionalFormatting sqref="I21">
    <cfRule type="colorScale" priority="1">
      <colorScale>
        <cfvo type="num" val="0"/>
        <cfvo type="num" val="2"/>
        <color rgb="FFFF7128"/>
        <color rgb="FFFFEF9C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3421-0ABB-42C6-A284-01FA256E7F63}">
  <dimension ref="A2:G22"/>
  <sheetViews>
    <sheetView topLeftCell="A3" workbookViewId="0">
      <selection activeCell="A4" sqref="A4:C20"/>
    </sheetView>
  </sheetViews>
  <sheetFormatPr defaultColWidth="8.75" defaultRowHeight="15.75" customHeight="1"/>
  <cols>
    <col min="1" max="1" width="14.58203125" style="2" customWidth="1"/>
    <col min="2" max="3" width="19.25" style="2" customWidth="1"/>
    <col min="4" max="6" width="8.75" style="2"/>
    <col min="7" max="7" width="15.25" style="2" customWidth="1"/>
    <col min="8" max="16384" width="8.75" style="2"/>
  </cols>
  <sheetData>
    <row r="2" spans="1:7" ht="15.75" customHeight="1">
      <c r="A2" s="133" t="s">
        <v>321</v>
      </c>
      <c r="B2" s="1"/>
    </row>
    <row r="3" spans="1:7" ht="15.75" customHeight="1">
      <c r="B3" s="1"/>
      <c r="F3" s="30" t="s">
        <v>322</v>
      </c>
      <c r="G3" s="139">
        <v>45901</v>
      </c>
    </row>
    <row r="4" spans="1:7" ht="15.75" customHeight="1">
      <c r="A4" s="255" t="s">
        <v>306</v>
      </c>
      <c r="B4" s="157"/>
      <c r="C4" s="157"/>
      <c r="F4" s="30" t="s">
        <v>323</v>
      </c>
      <c r="G4" s="139">
        <v>45989</v>
      </c>
    </row>
    <row r="5" spans="1:7" ht="15.75" customHeight="1">
      <c r="A5" s="199"/>
      <c r="B5" s="176" t="s">
        <v>78</v>
      </c>
      <c r="C5" s="178"/>
      <c r="F5" s="30" t="s">
        <v>324</v>
      </c>
      <c r="G5" s="153">
        <f>G4-G3</f>
        <v>88</v>
      </c>
    </row>
    <row r="6" spans="1:7" ht="15.75" customHeight="1">
      <c r="A6" s="200"/>
      <c r="B6" s="256" t="s">
        <v>325</v>
      </c>
      <c r="C6" s="178"/>
    </row>
    <row r="7" spans="1:7" ht="15.75" customHeight="1">
      <c r="A7" s="200"/>
      <c r="B7" s="176" t="s">
        <v>310</v>
      </c>
      <c r="C7" s="178"/>
      <c r="F7" s="30"/>
      <c r="G7" s="154"/>
    </row>
    <row r="8" spans="1:7" ht="15.75" customHeight="1">
      <c r="A8" s="200"/>
      <c r="B8" s="5">
        <v>1</v>
      </c>
      <c r="C8" s="6" t="s">
        <v>311</v>
      </c>
      <c r="F8" s="30"/>
      <c r="G8" s="154"/>
    </row>
    <row r="9" spans="1:7" ht="15.75" customHeight="1">
      <c r="A9" s="200"/>
      <c r="B9" s="176" t="s">
        <v>312</v>
      </c>
      <c r="C9" s="178"/>
      <c r="F9" s="30"/>
      <c r="G9" s="153"/>
    </row>
    <row r="10" spans="1:7" ht="15.75" customHeight="1">
      <c r="A10" s="201"/>
      <c r="B10" s="6" t="s">
        <v>313</v>
      </c>
      <c r="C10" s="6" t="s">
        <v>314</v>
      </c>
    </row>
    <row r="11" spans="1:7" ht="15.75" customHeight="1">
      <c r="A11" s="6">
        <v>1</v>
      </c>
      <c r="B11" s="144">
        <v>13.465960000000001</v>
      </c>
      <c r="C11" s="144">
        <v>13.372564000000001</v>
      </c>
      <c r="D11" s="145"/>
      <c r="E11" s="146"/>
      <c r="F11" s="146"/>
    </row>
    <row r="12" spans="1:7" ht="15.75" customHeight="1">
      <c r="A12" s="6">
        <v>2</v>
      </c>
      <c r="B12" s="144">
        <v>13.400342</v>
      </c>
      <c r="C12" s="144">
        <v>13.167996</v>
      </c>
      <c r="D12" s="145"/>
      <c r="E12" s="146"/>
      <c r="F12" s="146"/>
    </row>
    <row r="13" spans="1:7" ht="15.75" customHeight="1">
      <c r="A13" s="6">
        <v>3</v>
      </c>
      <c r="B13" s="144">
        <v>13.263249999999999</v>
      </c>
      <c r="C13" s="144">
        <v>13.083569000000001</v>
      </c>
      <c r="D13" s="145"/>
      <c r="E13" s="146"/>
      <c r="F13" s="146"/>
    </row>
    <row r="14" spans="1:7" ht="15.75" customHeight="1">
      <c r="A14" s="6">
        <v>4</v>
      </c>
      <c r="B14" s="144">
        <v>13.327756000000001</v>
      </c>
      <c r="C14" s="144">
        <v>13.168179</v>
      </c>
      <c r="D14" s="145"/>
      <c r="E14" s="146"/>
      <c r="F14" s="146"/>
    </row>
    <row r="15" spans="1:7" ht="15.75" customHeight="1">
      <c r="A15" s="6">
        <v>5</v>
      </c>
      <c r="B15" s="144">
        <v>13.815438</v>
      </c>
      <c r="C15" s="144">
        <v>13.5288</v>
      </c>
      <c r="D15" s="145"/>
      <c r="E15" s="146"/>
      <c r="F15" s="146"/>
    </row>
    <row r="16" spans="1:7" ht="15.75" customHeight="1">
      <c r="A16" s="6">
        <v>6</v>
      </c>
      <c r="B16" s="144">
        <v>13.464649</v>
      </c>
      <c r="C16" s="144">
        <v>13.112155</v>
      </c>
      <c r="D16" s="145"/>
      <c r="E16" s="146"/>
      <c r="F16" s="146"/>
    </row>
    <row r="17" spans="1:4" ht="15.75" customHeight="1">
      <c r="A17" s="6" t="s">
        <v>77</v>
      </c>
      <c r="B17" s="147">
        <f>ROUND(AVERAGE(B11:B16),6)</f>
        <v>13.456232999999999</v>
      </c>
      <c r="C17" s="147">
        <f>ROUND(AVERAGE(C11:C16),6)</f>
        <v>13.238877</v>
      </c>
      <c r="D17" s="145"/>
    </row>
    <row r="18" spans="1:4" ht="15.75" customHeight="1">
      <c r="A18" s="6" t="s">
        <v>3</v>
      </c>
      <c r="B18" s="147">
        <f>ROUND(STDEV(B11:B16),6)</f>
        <v>0.192907</v>
      </c>
      <c r="C18" s="147">
        <f>ROUND(STDEV(C11:C16),6)</f>
        <v>0.17443</v>
      </c>
      <c r="D18" s="145"/>
    </row>
    <row r="19" spans="1:4" ht="15.75" customHeight="1">
      <c r="A19" s="6" t="s">
        <v>7</v>
      </c>
      <c r="B19" s="148">
        <f>ROUND(B18/B17*100,1)</f>
        <v>1.4</v>
      </c>
      <c r="C19" s="148">
        <f>ROUND(C18/C17*100,1)</f>
        <v>1.3</v>
      </c>
      <c r="D19" s="145"/>
    </row>
    <row r="20" spans="1:4" ht="15.75" customHeight="1">
      <c r="A20" s="149" t="s">
        <v>315</v>
      </c>
      <c r="B20" s="254">
        <f>ROUND((C17-B17)/B17*100,1)</f>
        <v>-1.6</v>
      </c>
      <c r="C20" s="254"/>
      <c r="D20" s="145"/>
    </row>
    <row r="21" spans="1:4" ht="15.75" customHeight="1">
      <c r="D21" s="145"/>
    </row>
    <row r="22" spans="1:4" ht="15.75" customHeight="1">
      <c r="D22" s="145"/>
    </row>
  </sheetData>
  <mergeCells count="7">
    <mergeCell ref="B20:C20"/>
    <mergeCell ref="A4:C4"/>
    <mergeCell ref="A5:A10"/>
    <mergeCell ref="B5:C5"/>
    <mergeCell ref="B6:C6"/>
    <mergeCell ref="B7:C7"/>
    <mergeCell ref="B9:C9"/>
  </mergeCells>
  <phoneticPr fontId="12" type="noConversion"/>
  <conditionalFormatting sqref="E17:E22">
    <cfRule type="colorScale" priority="1">
      <colorScale>
        <cfvo type="num" val="0"/>
        <cfvo type="num" val="2"/>
        <color rgb="FFFF7128"/>
        <color rgb="FFFFEF9C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7AB0-186A-4D9C-8E15-E08408344861}">
  <dimension ref="A2:I27"/>
  <sheetViews>
    <sheetView topLeftCell="A4" workbookViewId="0">
      <selection activeCell="A4" sqref="A4:E20"/>
    </sheetView>
  </sheetViews>
  <sheetFormatPr defaultColWidth="8.75" defaultRowHeight="15.75" customHeight="1"/>
  <cols>
    <col min="1" max="1" width="15.33203125" style="2" customWidth="1"/>
    <col min="2" max="2" width="12.4140625" style="2" customWidth="1"/>
    <col min="3" max="3" width="15.75" style="2" customWidth="1"/>
    <col min="4" max="4" width="12.75" style="2" customWidth="1"/>
    <col min="5" max="5" width="15.58203125" style="2" customWidth="1"/>
    <col min="6" max="6" width="8.75" style="2"/>
    <col min="7" max="7" width="33.4140625" style="2" customWidth="1"/>
    <col min="8" max="8" width="15.75" style="2" customWidth="1"/>
    <col min="9" max="16384" width="8.75" style="2"/>
  </cols>
  <sheetData>
    <row r="2" spans="1:9" ht="15.75" customHeight="1">
      <c r="A2" s="150" t="s">
        <v>326</v>
      </c>
    </row>
    <row r="3" spans="1:9" ht="15.75" customHeight="1">
      <c r="G3" s="30" t="s">
        <v>322</v>
      </c>
      <c r="H3" s="139">
        <v>45901</v>
      </c>
    </row>
    <row r="4" spans="1:9" s="12" customFormat="1" ht="15.75" customHeight="1">
      <c r="A4" s="160" t="s">
        <v>306</v>
      </c>
      <c r="B4" s="206"/>
      <c r="C4" s="206"/>
      <c r="D4" s="206"/>
      <c r="E4" s="206"/>
      <c r="G4" s="30" t="s">
        <v>323</v>
      </c>
      <c r="H4" s="139">
        <v>45989</v>
      </c>
    </row>
    <row r="5" spans="1:9" s="12" customFormat="1" ht="15.75" customHeight="1">
      <c r="A5" s="208"/>
      <c r="B5" s="175" t="s">
        <v>177</v>
      </c>
      <c r="C5" s="175"/>
      <c r="D5" s="175" t="s">
        <v>319</v>
      </c>
      <c r="E5" s="175"/>
      <c r="G5" s="30" t="s">
        <v>324</v>
      </c>
      <c r="H5" s="153">
        <f>H4-H3</f>
        <v>88</v>
      </c>
    </row>
    <row r="6" spans="1:9" s="12" customFormat="1" ht="15.75" customHeight="1">
      <c r="A6" s="208"/>
      <c r="B6" s="256" t="s">
        <v>327</v>
      </c>
      <c r="C6" s="257"/>
      <c r="D6" s="256" t="s">
        <v>328</v>
      </c>
      <c r="E6" s="257"/>
    </row>
    <row r="7" spans="1:9" s="12" customFormat="1" ht="15.75" customHeight="1">
      <c r="A7" s="208"/>
      <c r="B7" s="175" t="s">
        <v>310</v>
      </c>
      <c r="C7" s="175"/>
      <c r="D7" s="175" t="s">
        <v>310</v>
      </c>
      <c r="E7" s="175"/>
      <c r="G7" s="2"/>
      <c r="H7" s="2"/>
      <c r="I7" s="2"/>
    </row>
    <row r="8" spans="1:9" s="12" customFormat="1" ht="15.75" customHeight="1">
      <c r="A8" s="208"/>
      <c r="B8" s="5">
        <v>2</v>
      </c>
      <c r="C8" s="6" t="s">
        <v>288</v>
      </c>
      <c r="D8" s="5">
        <v>1000</v>
      </c>
      <c r="E8" s="6" t="s">
        <v>5</v>
      </c>
      <c r="G8" s="30"/>
      <c r="H8" s="154"/>
      <c r="I8" s="2"/>
    </row>
    <row r="9" spans="1:9" s="12" customFormat="1" ht="15.75" customHeight="1">
      <c r="A9" s="208"/>
      <c r="B9" s="175" t="s">
        <v>312</v>
      </c>
      <c r="C9" s="175"/>
      <c r="D9" s="175" t="s">
        <v>312</v>
      </c>
      <c r="E9" s="175"/>
      <c r="G9" s="30"/>
      <c r="H9" s="154"/>
      <c r="I9" s="2"/>
    </row>
    <row r="10" spans="1:9" s="12" customFormat="1" ht="15.75" customHeight="1">
      <c r="A10" s="208"/>
      <c r="B10" s="6" t="s">
        <v>313</v>
      </c>
      <c r="C10" s="6" t="s">
        <v>314</v>
      </c>
      <c r="D10" s="6" t="s">
        <v>313</v>
      </c>
      <c r="E10" s="6" t="s">
        <v>314</v>
      </c>
      <c r="G10" s="30"/>
      <c r="H10" s="153"/>
      <c r="I10" s="2"/>
    </row>
    <row r="11" spans="1:9" s="12" customFormat="1" ht="15.75" customHeight="1">
      <c r="A11" s="6">
        <v>1</v>
      </c>
      <c r="B11" s="144">
        <v>0.15945500000000001</v>
      </c>
      <c r="C11" s="144">
        <v>0.15958800000000001</v>
      </c>
      <c r="D11" s="144">
        <v>13.095146</v>
      </c>
      <c r="E11" s="144">
        <v>13.510109</v>
      </c>
      <c r="F11" s="145"/>
      <c r="G11" s="2"/>
      <c r="H11" s="145"/>
      <c r="I11" s="2"/>
    </row>
    <row r="12" spans="1:9" s="12" customFormat="1" ht="15.75" customHeight="1">
      <c r="A12" s="6">
        <v>2</v>
      </c>
      <c r="B12" s="144">
        <v>0.18415899999999999</v>
      </c>
      <c r="C12" s="144">
        <v>0.16208700000000001</v>
      </c>
      <c r="D12" s="144">
        <v>13.498661999999999</v>
      </c>
      <c r="E12" s="144">
        <v>13.036543999999999</v>
      </c>
      <c r="F12" s="145"/>
      <c r="G12" s="2"/>
      <c r="H12" s="145"/>
      <c r="I12" s="2"/>
    </row>
    <row r="13" spans="1:9" s="12" customFormat="1" ht="15.75" customHeight="1">
      <c r="A13" s="6">
        <v>3</v>
      </c>
      <c r="B13" s="144">
        <v>0.166515</v>
      </c>
      <c r="C13" s="144">
        <v>0.175428</v>
      </c>
      <c r="D13" s="144">
        <v>13.578189</v>
      </c>
      <c r="E13" s="144">
        <v>13.3605</v>
      </c>
      <c r="F13" s="145"/>
      <c r="G13" s="2"/>
      <c r="H13" s="145"/>
      <c r="I13" s="2"/>
    </row>
    <row r="14" spans="1:9" s="12" customFormat="1" ht="15.75" customHeight="1">
      <c r="A14" s="6">
        <v>4</v>
      </c>
      <c r="B14" s="144">
        <v>0.16867499999999999</v>
      </c>
      <c r="C14" s="144">
        <v>0.16577500000000001</v>
      </c>
      <c r="D14" s="144">
        <v>13.274165</v>
      </c>
      <c r="E14" s="144">
        <v>13.679592</v>
      </c>
      <c r="F14" s="145"/>
      <c r="G14" s="2"/>
      <c r="H14" s="145"/>
      <c r="I14" s="2"/>
    </row>
    <row r="15" spans="1:9" s="12" customFormat="1" ht="15.75" customHeight="1">
      <c r="A15" s="6">
        <v>5</v>
      </c>
      <c r="B15" s="144">
        <v>0.14963199999999999</v>
      </c>
      <c r="C15" s="144">
        <v>0.17501700000000001</v>
      </c>
      <c r="D15" s="144">
        <v>13.60397</v>
      </c>
      <c r="E15" s="144">
        <v>13.444566999999999</v>
      </c>
      <c r="F15" s="145"/>
      <c r="G15" s="2"/>
      <c r="H15" s="145"/>
      <c r="I15" s="2"/>
    </row>
    <row r="16" spans="1:9" s="12" customFormat="1" ht="15.75" customHeight="1">
      <c r="A16" s="6">
        <v>6</v>
      </c>
      <c r="B16" s="144">
        <v>0.163136</v>
      </c>
      <c r="C16" s="144">
        <v>0.171324</v>
      </c>
      <c r="D16" s="144">
        <v>13.352702000000001</v>
      </c>
      <c r="E16" s="144">
        <v>13.338668</v>
      </c>
      <c r="F16" s="145"/>
      <c r="G16" s="2"/>
      <c r="H16" s="145"/>
      <c r="I16" s="2"/>
    </row>
    <row r="17" spans="1:9" s="12" customFormat="1" ht="15.75" customHeight="1">
      <c r="A17" s="6" t="s">
        <v>77</v>
      </c>
      <c r="B17" s="147">
        <f t="shared" ref="B17:E17" si="0">ROUND(AVERAGE(B11:B16),6)</f>
        <v>0.16526199999999999</v>
      </c>
      <c r="C17" s="147">
        <f t="shared" si="0"/>
        <v>0.16820299999999999</v>
      </c>
      <c r="D17" s="147">
        <f t="shared" si="0"/>
        <v>13.400472000000001</v>
      </c>
      <c r="E17" s="147">
        <f t="shared" si="0"/>
        <v>13.394997</v>
      </c>
      <c r="F17" s="145"/>
      <c r="G17" s="2"/>
      <c r="H17" s="145"/>
      <c r="I17" s="2"/>
    </row>
    <row r="18" spans="1:9" s="12" customFormat="1" ht="15.75" customHeight="1">
      <c r="A18" s="6" t="s">
        <v>3</v>
      </c>
      <c r="B18" s="147">
        <f t="shared" ref="B18:E18" si="1">ROUND(STDEV(B11:B16),6)</f>
        <v>1.1427E-2</v>
      </c>
      <c r="C18" s="147">
        <f t="shared" si="1"/>
        <v>6.7210000000000004E-3</v>
      </c>
      <c r="D18" s="147">
        <f t="shared" si="1"/>
        <v>0.19702600000000001</v>
      </c>
      <c r="E18" s="147">
        <f t="shared" si="1"/>
        <v>0.21426799999999999</v>
      </c>
      <c r="F18" s="145"/>
      <c r="G18" s="2"/>
      <c r="H18" s="145"/>
      <c r="I18" s="2"/>
    </row>
    <row r="19" spans="1:9" s="12" customFormat="1" ht="15.75" customHeight="1">
      <c r="A19" s="6" t="s">
        <v>7</v>
      </c>
      <c r="B19" s="148">
        <f t="shared" ref="B19:E19" si="2">ROUND(B18/B17*100,1)</f>
        <v>6.9</v>
      </c>
      <c r="C19" s="148">
        <f t="shared" si="2"/>
        <v>4</v>
      </c>
      <c r="D19" s="148">
        <f t="shared" si="2"/>
        <v>1.5</v>
      </c>
      <c r="E19" s="148">
        <f t="shared" si="2"/>
        <v>1.6</v>
      </c>
      <c r="F19" s="145"/>
      <c r="G19" s="2"/>
      <c r="H19" s="145"/>
      <c r="I19" s="2"/>
    </row>
    <row r="20" spans="1:9" ht="15.75" customHeight="1">
      <c r="A20" s="149" t="s">
        <v>315</v>
      </c>
      <c r="B20" s="254">
        <f>ROUND((C17-B17)/B17*100,1)</f>
        <v>1.8</v>
      </c>
      <c r="C20" s="254"/>
      <c r="D20" s="254">
        <f>ROUND((E17-D17)/D17*100,1)</f>
        <v>0</v>
      </c>
      <c r="E20" s="254"/>
      <c r="F20" s="145"/>
      <c r="H20" s="145"/>
    </row>
    <row r="21" spans="1:9" ht="15.75" customHeight="1">
      <c r="F21" s="145"/>
      <c r="H21" s="145"/>
    </row>
    <row r="22" spans="1:9" ht="15.75" customHeight="1">
      <c r="F22" s="145"/>
    </row>
    <row r="23" spans="1:9" ht="15.75" customHeight="1">
      <c r="F23" s="145"/>
    </row>
    <row r="24" spans="1:9" ht="15.75" customHeight="1">
      <c r="F24" s="145"/>
    </row>
    <row r="25" spans="1:9" ht="15.75" customHeight="1">
      <c r="F25" s="145"/>
    </row>
    <row r="26" spans="1:9" ht="15.75" customHeight="1">
      <c r="F26" s="145"/>
    </row>
    <row r="27" spans="1:9" ht="15.75" customHeight="1">
      <c r="F27" s="145"/>
    </row>
  </sheetData>
  <mergeCells count="12">
    <mergeCell ref="B20:C20"/>
    <mergeCell ref="D20:E20"/>
    <mergeCell ref="A4:E4"/>
    <mergeCell ref="A5:A10"/>
    <mergeCell ref="B5:C5"/>
    <mergeCell ref="D5:E5"/>
    <mergeCell ref="B6:C6"/>
    <mergeCell ref="D6:E6"/>
    <mergeCell ref="B7:C7"/>
    <mergeCell ref="D7:E7"/>
    <mergeCell ref="B9:C9"/>
    <mergeCell ref="D9:E9"/>
  </mergeCells>
  <phoneticPr fontId="12" type="noConversion"/>
  <conditionalFormatting sqref="G11:G21">
    <cfRule type="colorScale" priority="2">
      <colorScale>
        <cfvo type="num" val="0"/>
        <cfvo type="num" val="2"/>
        <color rgb="FFFF7128"/>
        <color rgb="FFFFEF9C"/>
      </colorScale>
    </cfRule>
  </conditionalFormatting>
  <conditionalFormatting sqref="I11:I21">
    <cfRule type="colorScale" priority="1">
      <colorScale>
        <cfvo type="num" val="0"/>
        <cfvo type="num" val="2"/>
        <color rgb="FFFF7128"/>
        <color rgb="FFFFEF9C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9109-1787-4323-9A6F-DDC3FE3FC08C}">
  <sheetPr>
    <pageSetUpPr fitToPage="1"/>
  </sheetPr>
  <dimension ref="A2:I33"/>
  <sheetViews>
    <sheetView zoomScaleNormal="100" zoomScaleSheetLayoutView="100" workbookViewId="0">
      <selection activeCell="A4" sqref="A4:F18"/>
    </sheetView>
  </sheetViews>
  <sheetFormatPr defaultColWidth="8.75" defaultRowHeight="15.75" customHeight="1"/>
  <cols>
    <col min="1" max="6" width="14.58203125" style="2" customWidth="1"/>
    <col min="7" max="7" width="12.33203125" style="2" customWidth="1"/>
    <col min="8" max="8" width="8.75" style="2"/>
    <col min="9" max="9" width="16.75" style="2" customWidth="1"/>
    <col min="10" max="16384" width="8.75" style="2"/>
  </cols>
  <sheetData>
    <row r="2" spans="1:9" ht="15.75" customHeight="1">
      <c r="A2" s="172" t="s">
        <v>268</v>
      </c>
      <c r="B2" s="172"/>
      <c r="C2" s="172"/>
    </row>
    <row r="3" spans="1:9" ht="15.75" customHeight="1">
      <c r="A3" s="1"/>
      <c r="B3" s="1"/>
      <c r="C3" s="1"/>
    </row>
    <row r="4" spans="1:9" s="123" customFormat="1" ht="15.75" customHeight="1">
      <c r="A4" s="122" t="s">
        <v>269</v>
      </c>
      <c r="B4" s="122" t="s">
        <v>270</v>
      </c>
      <c r="C4" s="99"/>
      <c r="D4" s="99"/>
      <c r="E4" s="99"/>
      <c r="F4" s="99"/>
      <c r="G4" s="99"/>
      <c r="H4" s="99"/>
      <c r="I4" s="99"/>
    </row>
    <row r="5" spans="1:9" ht="15.75" customHeight="1">
      <c r="A5" s="216" t="s">
        <v>175</v>
      </c>
      <c r="B5" s="216" t="s">
        <v>271</v>
      </c>
      <c r="C5" s="65" t="s">
        <v>2</v>
      </c>
      <c r="D5" s="189" t="s">
        <v>178</v>
      </c>
      <c r="E5" s="65" t="s">
        <v>0</v>
      </c>
      <c r="F5" s="216" t="s">
        <v>178</v>
      </c>
      <c r="G5" s="99"/>
      <c r="H5" s="124" t="s">
        <v>272</v>
      </c>
      <c r="I5" s="125">
        <v>45903.712500000001</v>
      </c>
    </row>
    <row r="6" spans="1:9" ht="15.75" customHeight="1">
      <c r="A6" s="217"/>
      <c r="B6" s="217"/>
      <c r="C6" s="67">
        <v>0.3</v>
      </c>
      <c r="D6" s="189"/>
      <c r="E6" s="67">
        <v>37.5</v>
      </c>
      <c r="F6" s="217"/>
      <c r="G6" s="99"/>
      <c r="H6" s="124" t="s">
        <v>273</v>
      </c>
      <c r="I6" s="125">
        <v>45904.38958333333</v>
      </c>
    </row>
    <row r="7" spans="1:9" ht="15.75" customHeight="1">
      <c r="A7" s="218"/>
      <c r="B7" s="218"/>
      <c r="C7" s="69" t="s">
        <v>5</v>
      </c>
      <c r="D7" s="189"/>
      <c r="E7" s="69" t="s">
        <v>5</v>
      </c>
      <c r="F7" s="218"/>
      <c r="G7" s="99"/>
      <c r="H7" s="124" t="s">
        <v>274</v>
      </c>
      <c r="I7" s="126">
        <f>(I6-I5)*24</f>
        <v>16.249999999883585</v>
      </c>
    </row>
    <row r="8" spans="1:9" ht="15.75" customHeight="1">
      <c r="A8" s="222">
        <v>45905</v>
      </c>
      <c r="B8" s="216">
        <v>3</v>
      </c>
      <c r="C8" s="121">
        <v>0.29699999999999999</v>
      </c>
      <c r="D8" s="37">
        <f>ROUND((C8-C$6)/C$6*100,1)</f>
        <v>-1</v>
      </c>
      <c r="E8" s="3">
        <v>39.246000000000002</v>
      </c>
      <c r="F8" s="37">
        <f>ROUND((E8-E$6)/E$6*100,1)</f>
        <v>4.7</v>
      </c>
      <c r="G8" s="99"/>
      <c r="H8" s="99"/>
      <c r="I8" s="99"/>
    </row>
    <row r="9" spans="1:9" ht="15.75" customHeight="1">
      <c r="A9" s="222"/>
      <c r="B9" s="217"/>
      <c r="C9" s="121">
        <v>0.29699999999999999</v>
      </c>
      <c r="D9" s="37">
        <f t="shared" ref="D9:D13" si="0">ROUND((C9-C$6)/C$6*100,1)</f>
        <v>-1</v>
      </c>
      <c r="E9" s="3">
        <v>37.865000000000002</v>
      </c>
      <c r="F9" s="37">
        <f t="shared" ref="F9:F13" si="1">ROUND((E9-E$6)/E$6*100,1)</f>
        <v>1</v>
      </c>
      <c r="G9" s="99"/>
      <c r="H9" s="99"/>
      <c r="I9" s="99"/>
    </row>
    <row r="10" spans="1:9" ht="15.75" customHeight="1">
      <c r="A10" s="222"/>
      <c r="B10" s="217"/>
      <c r="C10" s="121">
        <v>0.27900000000000003</v>
      </c>
      <c r="D10" s="37">
        <f t="shared" si="0"/>
        <v>-7</v>
      </c>
      <c r="E10" s="3">
        <v>38.024000000000001</v>
      </c>
      <c r="F10" s="37">
        <f t="shared" si="1"/>
        <v>1.4</v>
      </c>
      <c r="G10" s="99"/>
      <c r="H10" s="99"/>
      <c r="I10" s="99"/>
    </row>
    <row r="11" spans="1:9" ht="15.75" customHeight="1">
      <c r="A11" s="222"/>
      <c r="B11" s="217"/>
      <c r="C11" s="121">
        <v>0.28599999999999998</v>
      </c>
      <c r="D11" s="37">
        <f t="shared" si="0"/>
        <v>-4.7</v>
      </c>
      <c r="E11" s="3">
        <v>41.734000000000002</v>
      </c>
      <c r="F11" s="37">
        <f t="shared" si="1"/>
        <v>11.3</v>
      </c>
      <c r="G11" s="99"/>
      <c r="H11" s="99"/>
      <c r="I11" s="99"/>
    </row>
    <row r="12" spans="1:9" ht="15.75" customHeight="1">
      <c r="A12" s="222"/>
      <c r="B12" s="217"/>
      <c r="C12" s="121">
        <v>0.33600000000000002</v>
      </c>
      <c r="D12" s="37">
        <f t="shared" si="0"/>
        <v>12</v>
      </c>
      <c r="E12" s="121">
        <v>37.503999999999998</v>
      </c>
      <c r="F12" s="37">
        <f t="shared" si="1"/>
        <v>0</v>
      </c>
      <c r="G12" s="99"/>
      <c r="H12" s="99"/>
      <c r="I12" s="99"/>
    </row>
    <row r="13" spans="1:9" ht="15.75" customHeight="1">
      <c r="A13" s="222"/>
      <c r="B13" s="218"/>
      <c r="C13" s="121">
        <v>0.317</v>
      </c>
      <c r="D13" s="37">
        <f t="shared" si="0"/>
        <v>5.7</v>
      </c>
      <c r="E13" s="121">
        <v>40.088000000000001</v>
      </c>
      <c r="F13" s="37">
        <f t="shared" si="1"/>
        <v>6.9</v>
      </c>
      <c r="G13" s="99"/>
      <c r="H13" s="99"/>
      <c r="I13" s="99"/>
    </row>
    <row r="14" spans="1:9" ht="15.75" customHeight="1">
      <c r="A14" s="65" t="s">
        <v>246</v>
      </c>
      <c r="B14" s="203"/>
      <c r="C14" s="36">
        <f>ROUND(AVERAGE(C8:C13),3)</f>
        <v>0.30199999999999999</v>
      </c>
      <c r="D14" s="199"/>
      <c r="E14" s="36">
        <f>ROUND(AVERAGE(E8:E13),3)</f>
        <v>39.076999999999998</v>
      </c>
      <c r="F14" s="199"/>
      <c r="G14" s="99"/>
      <c r="H14" s="99"/>
      <c r="I14" s="99"/>
    </row>
    <row r="15" spans="1:9" ht="15.75" customHeight="1">
      <c r="A15" s="65" t="s">
        <v>3</v>
      </c>
      <c r="B15" s="204"/>
      <c r="C15" s="36">
        <f>ROUND(STDEV(C8:C13),3)</f>
        <v>2.1000000000000001E-2</v>
      </c>
      <c r="D15" s="200"/>
      <c r="E15" s="36">
        <f>ROUND(STDEV(E8:E13),3)</f>
        <v>1.6220000000000001</v>
      </c>
      <c r="F15" s="200"/>
      <c r="G15" s="99"/>
      <c r="H15" s="99"/>
      <c r="I15" s="99"/>
    </row>
    <row r="16" spans="1:9" ht="15.75" customHeight="1">
      <c r="A16" s="65" t="s">
        <v>7</v>
      </c>
      <c r="B16" s="204"/>
      <c r="C16" s="37">
        <f>ROUND(C15/C14*100,1)</f>
        <v>7</v>
      </c>
      <c r="D16" s="200"/>
      <c r="E16" s="37">
        <f>ROUND(E15/E14*100,1)</f>
        <v>4.2</v>
      </c>
      <c r="F16" s="200"/>
      <c r="G16" s="99"/>
      <c r="H16" s="99"/>
      <c r="I16" s="99"/>
    </row>
    <row r="17" spans="1:9" ht="15.75" customHeight="1">
      <c r="A17" s="65" t="s">
        <v>267</v>
      </c>
      <c r="B17" s="204"/>
      <c r="C17" s="37">
        <f>ROUND(C14/C$6*100,1)</f>
        <v>100.7</v>
      </c>
      <c r="D17" s="200"/>
      <c r="E17" s="37">
        <f>ROUND(E14/E$6*100,1)</f>
        <v>104.2</v>
      </c>
      <c r="F17" s="200"/>
      <c r="G17" s="99"/>
      <c r="H17" s="99"/>
      <c r="I17" s="99"/>
    </row>
    <row r="18" spans="1:9" ht="15.75" customHeight="1">
      <c r="A18" s="65" t="s">
        <v>4</v>
      </c>
      <c r="B18" s="205"/>
      <c r="C18" s="6">
        <v>6</v>
      </c>
      <c r="D18" s="201"/>
      <c r="E18" s="6">
        <v>6</v>
      </c>
      <c r="F18" s="201"/>
      <c r="G18" s="99"/>
      <c r="H18" s="99"/>
      <c r="I18" s="99"/>
    </row>
    <row r="19" spans="1:9" ht="15.75" customHeight="1">
      <c r="A19" s="39"/>
      <c r="B19" s="39"/>
      <c r="C19" s="39"/>
      <c r="D19" s="39"/>
      <c r="E19" s="39"/>
      <c r="H19" s="123"/>
    </row>
    <row r="20" spans="1:9" ht="15.75" customHeight="1">
      <c r="H20" s="123"/>
    </row>
    <row r="32" spans="1:9" ht="15.75" customHeight="1">
      <c r="B32" s="96"/>
    </row>
    <row r="33" spans="2:2" ht="15.75" customHeight="1">
      <c r="B33" s="96"/>
    </row>
  </sheetData>
  <mergeCells count="10">
    <mergeCell ref="B14:B18"/>
    <mergeCell ref="D14:D18"/>
    <mergeCell ref="F14:F18"/>
    <mergeCell ref="A2:C2"/>
    <mergeCell ref="A5:A7"/>
    <mergeCell ref="B5:B7"/>
    <mergeCell ref="D5:D7"/>
    <mergeCell ref="F5:F7"/>
    <mergeCell ref="A8:A13"/>
    <mergeCell ref="B8:B13"/>
  </mergeCells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scale="67" orientation="portrait" r:id="rId1"/>
  <headerFooter>
    <oddHeader>&amp;C 1632MV7生物分析方法学验证数据</oddHeader>
    <oddFooter>&amp;C第&amp;P页，共&amp;N页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5FAE-32B4-4453-B2E4-296D79B77F76}">
  <sheetPr>
    <pageSetUpPr fitToPage="1"/>
  </sheetPr>
  <dimension ref="A2:G46"/>
  <sheetViews>
    <sheetView zoomScaleNormal="100" zoomScaleSheetLayoutView="100" workbookViewId="0">
      <selection activeCell="A4" sqref="A4:G18"/>
    </sheetView>
  </sheetViews>
  <sheetFormatPr defaultColWidth="8.75" defaultRowHeight="15.75" customHeight="1"/>
  <cols>
    <col min="1" max="7" width="12.75" style="2" customWidth="1"/>
    <col min="8" max="8" width="13.4140625" style="2" customWidth="1"/>
    <col min="9" max="16384" width="8.75" style="2"/>
  </cols>
  <sheetData>
    <row r="2" spans="1:7" ht="15.75" customHeight="1">
      <c r="A2" s="172" t="s">
        <v>275</v>
      </c>
      <c r="B2" s="172"/>
      <c r="C2" s="172"/>
      <c r="D2" s="172"/>
      <c r="E2" s="172"/>
      <c r="F2" s="172"/>
    </row>
    <row r="3" spans="1:7" ht="15.75" customHeight="1">
      <c r="A3" s="1"/>
      <c r="B3" s="1"/>
      <c r="C3" s="1"/>
      <c r="D3" s="1"/>
      <c r="E3" s="1"/>
      <c r="F3" s="1"/>
    </row>
    <row r="4" spans="1:7" s="12" customFormat="1" ht="15.75" customHeight="1">
      <c r="A4" s="60" t="s">
        <v>276</v>
      </c>
      <c r="B4" s="19"/>
      <c r="C4" s="19"/>
      <c r="D4" s="19"/>
      <c r="E4" s="19"/>
      <c r="F4" s="19"/>
    </row>
    <row r="5" spans="1:7" s="22" customFormat="1" ht="15.75" customHeight="1">
      <c r="A5" s="175" t="s">
        <v>73</v>
      </c>
      <c r="B5" s="175" t="s">
        <v>76</v>
      </c>
      <c r="C5" s="179" t="s">
        <v>277</v>
      </c>
      <c r="D5" s="65" t="s">
        <v>2</v>
      </c>
      <c r="E5" s="189" t="s">
        <v>178</v>
      </c>
      <c r="F5" s="65" t="s">
        <v>0</v>
      </c>
      <c r="G5" s="175" t="s">
        <v>241</v>
      </c>
    </row>
    <row r="6" spans="1:7" s="22" customFormat="1" ht="15.75" customHeight="1">
      <c r="A6" s="175"/>
      <c r="B6" s="175"/>
      <c r="C6" s="207"/>
      <c r="D6" s="67">
        <v>0.3</v>
      </c>
      <c r="E6" s="189"/>
      <c r="F6" s="67">
        <v>37.5</v>
      </c>
      <c r="G6" s="175"/>
    </row>
    <row r="7" spans="1:7" s="22" customFormat="1" ht="15.75" customHeight="1">
      <c r="A7" s="175"/>
      <c r="B7" s="175"/>
      <c r="C7" s="180"/>
      <c r="D7" s="69" t="s">
        <v>5</v>
      </c>
      <c r="E7" s="189"/>
      <c r="F7" s="69" t="s">
        <v>5</v>
      </c>
      <c r="G7" s="175"/>
    </row>
    <row r="8" spans="1:7" s="22" customFormat="1" ht="15.75" customHeight="1">
      <c r="A8" s="222">
        <v>45905</v>
      </c>
      <c r="B8" s="216">
        <v>3</v>
      </c>
      <c r="C8" s="259" t="s">
        <v>278</v>
      </c>
      <c r="D8" s="121">
        <v>0.312</v>
      </c>
      <c r="E8" s="37">
        <f t="shared" ref="E8:E13" si="0">ROUND((D8-D$6)/D$6*100,1)</f>
        <v>4</v>
      </c>
      <c r="F8" s="121">
        <v>38.97</v>
      </c>
      <c r="G8" s="37">
        <f t="shared" ref="G8:G13" si="1">ROUND((F8-F$6)/F$6*100,1)</f>
        <v>3.9</v>
      </c>
    </row>
    <row r="9" spans="1:7" s="22" customFormat="1" ht="15.75" customHeight="1">
      <c r="A9" s="222"/>
      <c r="B9" s="217"/>
      <c r="C9" s="260"/>
      <c r="D9" s="121">
        <v>0.30399999999999999</v>
      </c>
      <c r="E9" s="37">
        <f t="shared" si="0"/>
        <v>1.3</v>
      </c>
      <c r="F9" s="121">
        <v>41.564999999999998</v>
      </c>
      <c r="G9" s="37">
        <f t="shared" si="1"/>
        <v>10.8</v>
      </c>
    </row>
    <row r="10" spans="1:7" s="22" customFormat="1" ht="15.75" customHeight="1">
      <c r="A10" s="222"/>
      <c r="B10" s="217"/>
      <c r="C10" s="260"/>
      <c r="D10" s="121">
        <v>0.30299999999999999</v>
      </c>
      <c r="E10" s="37">
        <f t="shared" si="0"/>
        <v>1</v>
      </c>
      <c r="F10" s="121">
        <v>41.531999999999996</v>
      </c>
      <c r="G10" s="37">
        <f t="shared" si="1"/>
        <v>10.8</v>
      </c>
    </row>
    <row r="11" spans="1:7" s="22" customFormat="1" ht="15.75" customHeight="1">
      <c r="A11" s="222"/>
      <c r="B11" s="217"/>
      <c r="C11" s="260"/>
      <c r="D11" s="121">
        <v>0.34200000000000003</v>
      </c>
      <c r="E11" s="37">
        <f t="shared" si="0"/>
        <v>14</v>
      </c>
      <c r="F11" s="121">
        <v>38.558</v>
      </c>
      <c r="G11" s="37">
        <f t="shared" si="1"/>
        <v>2.8</v>
      </c>
    </row>
    <row r="12" spans="1:7" s="22" customFormat="1" ht="15.75" customHeight="1">
      <c r="A12" s="222"/>
      <c r="B12" s="217"/>
      <c r="C12" s="260"/>
      <c r="D12" s="121">
        <v>0.34200000000000003</v>
      </c>
      <c r="E12" s="37">
        <f t="shared" si="0"/>
        <v>14</v>
      </c>
      <c r="F12" s="121">
        <v>38.045999999999999</v>
      </c>
      <c r="G12" s="37">
        <f t="shared" si="1"/>
        <v>1.5</v>
      </c>
    </row>
    <row r="13" spans="1:7" s="22" customFormat="1" ht="15.75" customHeight="1">
      <c r="A13" s="222"/>
      <c r="B13" s="218"/>
      <c r="C13" s="261"/>
      <c r="D13" s="121">
        <v>0.313</v>
      </c>
      <c r="E13" s="37">
        <f t="shared" si="0"/>
        <v>4.3</v>
      </c>
      <c r="F13" s="121">
        <v>39.241</v>
      </c>
      <c r="G13" s="37">
        <f t="shared" si="1"/>
        <v>4.5999999999999996</v>
      </c>
    </row>
    <row r="14" spans="1:7" s="22" customFormat="1" ht="15.75" customHeight="1">
      <c r="A14" s="6" t="s">
        <v>77</v>
      </c>
      <c r="B14" s="199"/>
      <c r="C14" s="199"/>
      <c r="D14" s="36">
        <f>ROUND(AVERAGE(D8:D13),3)</f>
        <v>0.31900000000000001</v>
      </c>
      <c r="E14" s="199"/>
      <c r="F14" s="36">
        <f>ROUND(AVERAGE(F8:F13),3)</f>
        <v>39.652000000000001</v>
      </c>
      <c r="G14" s="199"/>
    </row>
    <row r="15" spans="1:7" s="22" customFormat="1" ht="15.75" customHeight="1">
      <c r="A15" s="6" t="s">
        <v>3</v>
      </c>
      <c r="B15" s="200"/>
      <c r="C15" s="200"/>
      <c r="D15" s="36">
        <f>ROUND(STDEV(D8:D13),3)</f>
        <v>1.7999999999999999E-2</v>
      </c>
      <c r="E15" s="200"/>
      <c r="F15" s="36">
        <f>ROUND(STDEV(F8:F13),3)</f>
        <v>1.5229999999999999</v>
      </c>
      <c r="G15" s="200"/>
    </row>
    <row r="16" spans="1:7" s="22" customFormat="1" ht="15.75" customHeight="1">
      <c r="A16" s="65" t="s">
        <v>7</v>
      </c>
      <c r="B16" s="200"/>
      <c r="C16" s="200"/>
      <c r="D16" s="37">
        <f>ROUND(D15/D14*100,1)</f>
        <v>5.6</v>
      </c>
      <c r="E16" s="200"/>
      <c r="F16" s="37">
        <f>ROUND(F15/F14*100,1)</f>
        <v>3.8</v>
      </c>
      <c r="G16" s="200"/>
    </row>
    <row r="17" spans="1:7" s="22" customFormat="1" ht="15.75" customHeight="1">
      <c r="A17" s="65" t="s">
        <v>267</v>
      </c>
      <c r="B17" s="200"/>
      <c r="C17" s="200"/>
      <c r="D17" s="37">
        <f>ROUND(D14/D$6*100,1)</f>
        <v>106.3</v>
      </c>
      <c r="E17" s="200"/>
      <c r="F17" s="37">
        <f>ROUND(F14/F$6*100,1)</f>
        <v>105.7</v>
      </c>
      <c r="G17" s="200"/>
    </row>
    <row r="18" spans="1:7" s="22" customFormat="1" ht="15.75" customHeight="1">
      <c r="A18" s="6" t="s">
        <v>4</v>
      </c>
      <c r="B18" s="201"/>
      <c r="C18" s="201"/>
      <c r="D18" s="6">
        <v>6</v>
      </c>
      <c r="E18" s="201"/>
      <c r="F18" s="6">
        <v>6</v>
      </c>
      <c r="G18" s="201"/>
    </row>
    <row r="19" spans="1:7" ht="15.75" customHeight="1">
      <c r="A19" s="39"/>
      <c r="B19" s="39"/>
      <c r="C19" s="39"/>
      <c r="D19" s="39"/>
      <c r="E19" s="39"/>
      <c r="F19" s="16"/>
    </row>
    <row r="20" spans="1:7" ht="15.75" customHeight="1">
      <c r="A20" s="258"/>
      <c r="B20" s="258"/>
      <c r="C20" s="258"/>
      <c r="D20" s="258"/>
    </row>
    <row r="45" spans="2:2" ht="15.75" customHeight="1">
      <c r="B45" s="96"/>
    </row>
    <row r="46" spans="2:2" ht="15.75" customHeight="1">
      <c r="B46" s="96"/>
    </row>
  </sheetData>
  <mergeCells count="14">
    <mergeCell ref="G5:G7"/>
    <mergeCell ref="A2:F2"/>
    <mergeCell ref="A5:A7"/>
    <mergeCell ref="B5:B7"/>
    <mergeCell ref="C5:C7"/>
    <mergeCell ref="E5:E7"/>
    <mergeCell ref="G14:G18"/>
    <mergeCell ref="A20:D20"/>
    <mergeCell ref="A8:A13"/>
    <mergeCell ref="B8:B13"/>
    <mergeCell ref="C8:C13"/>
    <mergeCell ref="B14:B18"/>
    <mergeCell ref="C14:C18"/>
    <mergeCell ref="E14:E18"/>
  </mergeCells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scale="94" orientation="portrait" r:id="rId1"/>
  <headerFooter>
    <oddHeader>&amp;C 1632MV7生物分析方法学验证数据</oddHeader>
    <oddFooter>&amp;C第&amp;P页，共&amp;N页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51AA-8A9C-47E1-A583-CDA0AE09B666}">
  <sheetPr>
    <pageSetUpPr fitToPage="1"/>
  </sheetPr>
  <dimension ref="A2:I38"/>
  <sheetViews>
    <sheetView zoomScaleNormal="100" zoomScaleSheetLayoutView="100" workbookViewId="0">
      <selection activeCell="A4" sqref="A4:F18"/>
    </sheetView>
  </sheetViews>
  <sheetFormatPr defaultColWidth="8.75" defaultRowHeight="15.75" customHeight="1"/>
  <cols>
    <col min="1" max="1" width="17.33203125" style="12" customWidth="1"/>
    <col min="2" max="8" width="13.4140625" style="12" customWidth="1"/>
    <col min="9" max="9" width="21.25" style="12" customWidth="1"/>
    <col min="10" max="230" width="13.4140625" style="12" customWidth="1"/>
    <col min="231" max="16384" width="8.75" style="12"/>
  </cols>
  <sheetData>
    <row r="2" spans="1:9" ht="15.75" customHeight="1">
      <c r="A2" s="12" t="s">
        <v>279</v>
      </c>
    </row>
    <row r="4" spans="1:9" ht="15.75" customHeight="1">
      <c r="A4" s="127" t="s">
        <v>280</v>
      </c>
    </row>
    <row r="5" spans="1:9" ht="15.75" customHeight="1">
      <c r="A5" s="179" t="s">
        <v>73</v>
      </c>
      <c r="B5" s="179" t="s">
        <v>76</v>
      </c>
      <c r="C5" s="65" t="s">
        <v>240</v>
      </c>
      <c r="D5" s="216" t="s">
        <v>178</v>
      </c>
      <c r="E5" s="118" t="s">
        <v>0</v>
      </c>
      <c r="F5" s="179" t="s">
        <v>241</v>
      </c>
      <c r="H5" s="128" t="s">
        <v>281</v>
      </c>
      <c r="I5" s="125">
        <v>45902.734027777777</v>
      </c>
    </row>
    <row r="6" spans="1:9" ht="15.75" customHeight="1">
      <c r="A6" s="207"/>
      <c r="B6" s="207"/>
      <c r="C6" s="67">
        <v>0.3</v>
      </c>
      <c r="D6" s="217"/>
      <c r="E6" s="67">
        <v>37.5</v>
      </c>
      <c r="F6" s="207"/>
      <c r="H6" s="128" t="s">
        <v>282</v>
      </c>
      <c r="I6" s="125">
        <v>45906.007407407407</v>
      </c>
    </row>
    <row r="7" spans="1:9" ht="15.75" customHeight="1">
      <c r="A7" s="180"/>
      <c r="B7" s="180"/>
      <c r="C7" s="69" t="s">
        <v>5</v>
      </c>
      <c r="D7" s="218"/>
      <c r="E7" s="69" t="s">
        <v>5</v>
      </c>
      <c r="F7" s="180"/>
      <c r="H7" s="124" t="s">
        <v>274</v>
      </c>
      <c r="I7" s="126">
        <f>(I6-I5)*24</f>
        <v>78.561111111135688</v>
      </c>
    </row>
    <row r="8" spans="1:9" ht="15.75" customHeight="1">
      <c r="A8" s="222">
        <v>45905</v>
      </c>
      <c r="B8" s="216">
        <v>3</v>
      </c>
      <c r="C8" s="121">
        <v>0.31900000000000001</v>
      </c>
      <c r="D8" s="37">
        <f>ROUND((C8-C$6)/C$6*100,1)</f>
        <v>6.3</v>
      </c>
      <c r="E8" s="3">
        <v>40.262</v>
      </c>
      <c r="F8" s="37">
        <f>ROUND((E8-E6)/E$6*100,1)</f>
        <v>7.4</v>
      </c>
    </row>
    <row r="9" spans="1:9" ht="15.75" customHeight="1">
      <c r="A9" s="222"/>
      <c r="B9" s="217"/>
      <c r="C9" s="121">
        <v>0.33200000000000002</v>
      </c>
      <c r="D9" s="37">
        <f t="shared" ref="D9:D13" si="0">ROUND((C9-C$6)/C$6*100,1)</f>
        <v>10.7</v>
      </c>
      <c r="E9" s="3">
        <v>39.143999999999998</v>
      </c>
      <c r="F9" s="37">
        <f>ROUND((E9-E$6)/E$6*100,1)</f>
        <v>4.4000000000000004</v>
      </c>
    </row>
    <row r="10" spans="1:9" ht="15.75" customHeight="1">
      <c r="A10" s="222"/>
      <c r="B10" s="217"/>
      <c r="C10" s="121">
        <v>0.33900000000000002</v>
      </c>
      <c r="D10" s="37">
        <f t="shared" si="0"/>
        <v>13</v>
      </c>
      <c r="E10" s="3">
        <v>39.688000000000002</v>
      </c>
      <c r="F10" s="37">
        <f>ROUND((E10-E$6)/E$6*100,1)</f>
        <v>5.8</v>
      </c>
    </row>
    <row r="11" spans="1:9" ht="15.75" customHeight="1">
      <c r="A11" s="222"/>
      <c r="B11" s="217"/>
      <c r="C11" s="121">
        <v>0.31900000000000001</v>
      </c>
      <c r="D11" s="37">
        <f t="shared" si="0"/>
        <v>6.3</v>
      </c>
      <c r="E11" s="3">
        <v>39.843000000000004</v>
      </c>
      <c r="F11" s="37">
        <f>ROUND((E11-E$6)/E$6*100,1)</f>
        <v>6.2</v>
      </c>
    </row>
    <row r="12" spans="1:9" ht="15.75" customHeight="1">
      <c r="A12" s="222"/>
      <c r="B12" s="217"/>
      <c r="C12" s="121">
        <v>0.29899999999999999</v>
      </c>
      <c r="D12" s="37">
        <f t="shared" si="0"/>
        <v>-0.3</v>
      </c>
      <c r="E12" s="3">
        <v>41.892000000000003</v>
      </c>
      <c r="F12" s="37">
        <f>ROUND((E12-E$6)/E$6*100,1)</f>
        <v>11.7</v>
      </c>
    </row>
    <row r="13" spans="1:9" ht="15.75" customHeight="1">
      <c r="A13" s="222"/>
      <c r="B13" s="218"/>
      <c r="C13" s="121">
        <v>0.30299999999999999</v>
      </c>
      <c r="D13" s="37">
        <f t="shared" si="0"/>
        <v>1</v>
      </c>
      <c r="E13" s="121">
        <v>42.689</v>
      </c>
      <c r="F13" s="37">
        <f>ROUND((E13-E$6)/E$6*100,1)</f>
        <v>13.8</v>
      </c>
      <c r="I13" s="12" t="s">
        <v>283</v>
      </c>
    </row>
    <row r="14" spans="1:9" ht="15.75" customHeight="1">
      <c r="A14" s="6" t="s">
        <v>77</v>
      </c>
      <c r="B14" s="199"/>
      <c r="C14" s="36">
        <f>ROUND(AVERAGE(C8:C13),3)</f>
        <v>0.31900000000000001</v>
      </c>
      <c r="D14" s="199"/>
      <c r="E14" s="36">
        <f>ROUND(AVERAGE(E8:E13),3)</f>
        <v>40.585999999999999</v>
      </c>
      <c r="F14" s="199"/>
    </row>
    <row r="15" spans="1:9" ht="15.75" customHeight="1">
      <c r="A15" s="6" t="s">
        <v>3</v>
      </c>
      <c r="B15" s="200"/>
      <c r="C15" s="36">
        <f>ROUND(STDEV(C8:C13),3)</f>
        <v>1.6E-2</v>
      </c>
      <c r="D15" s="200"/>
      <c r="E15" s="36">
        <f>ROUND(STDEV(E8:E13),3)</f>
        <v>1.391</v>
      </c>
      <c r="F15" s="200"/>
    </row>
    <row r="16" spans="1:9" ht="15.75" customHeight="1">
      <c r="A16" s="65" t="s">
        <v>7</v>
      </c>
      <c r="B16" s="200"/>
      <c r="C16" s="37">
        <f>ROUND(C15/C14*100,1)</f>
        <v>5</v>
      </c>
      <c r="D16" s="200"/>
      <c r="E16" s="37">
        <f>ROUND(E15/E14*100,1)</f>
        <v>3.4</v>
      </c>
      <c r="F16" s="200"/>
    </row>
    <row r="17" spans="1:6" ht="15.75" customHeight="1">
      <c r="A17" s="65" t="s">
        <v>267</v>
      </c>
      <c r="B17" s="200"/>
      <c r="C17" s="37">
        <f>ROUND(C14/C$6*100,1)</f>
        <v>106.3</v>
      </c>
      <c r="D17" s="200"/>
      <c r="E17" s="37">
        <f>ROUND(E14/E$6*100,1)</f>
        <v>108.2</v>
      </c>
      <c r="F17" s="200"/>
    </row>
    <row r="18" spans="1:6" ht="15.75" customHeight="1">
      <c r="A18" s="6" t="s">
        <v>4</v>
      </c>
      <c r="B18" s="201"/>
      <c r="C18" s="6">
        <v>6</v>
      </c>
      <c r="D18" s="201"/>
      <c r="E18" s="6">
        <v>6</v>
      </c>
      <c r="F18" s="201"/>
    </row>
    <row r="19" spans="1:6" ht="15.75" customHeight="1">
      <c r="A19" s="262"/>
      <c r="B19" s="262"/>
      <c r="C19" s="262"/>
      <c r="D19" s="262"/>
    </row>
    <row r="21" spans="1:6" ht="15.75" customHeight="1">
      <c r="C21" s="120"/>
    </row>
    <row r="22" spans="1:6" ht="15.75" customHeight="1">
      <c r="C22" s="120"/>
    </row>
    <row r="23" spans="1:6" ht="15.75" customHeight="1">
      <c r="C23" s="120"/>
    </row>
    <row r="24" spans="1:6" ht="15.75" customHeight="1">
      <c r="C24" s="120"/>
    </row>
    <row r="25" spans="1:6" ht="15.75" customHeight="1">
      <c r="C25" s="120"/>
    </row>
    <row r="26" spans="1:6" ht="15.75" customHeight="1">
      <c r="C26" s="120"/>
    </row>
    <row r="27" spans="1:6" ht="15.75" customHeight="1">
      <c r="C27" s="120"/>
    </row>
    <row r="28" spans="1:6" ht="15.75" customHeight="1">
      <c r="C28" s="120"/>
    </row>
    <row r="29" spans="1:6" ht="15.75" customHeight="1">
      <c r="C29" s="120"/>
    </row>
    <row r="30" spans="1:6" ht="15.75" customHeight="1">
      <c r="C30" s="120"/>
    </row>
    <row r="31" spans="1:6" ht="15.75" customHeight="1">
      <c r="C31" s="120"/>
    </row>
    <row r="32" spans="1:6" ht="15.75" customHeight="1">
      <c r="C32" s="120"/>
    </row>
    <row r="33" spans="3:3" ht="15.75" customHeight="1">
      <c r="C33" s="120"/>
    </row>
    <row r="34" spans="3:3" ht="15.75" customHeight="1">
      <c r="C34" s="120"/>
    </row>
    <row r="35" spans="3:3" ht="15.75" customHeight="1">
      <c r="C35" s="120"/>
    </row>
    <row r="36" spans="3:3" ht="15.75" customHeight="1">
      <c r="C36" s="120"/>
    </row>
    <row r="37" spans="3:3" ht="15.75" customHeight="1">
      <c r="C37" s="120"/>
    </row>
    <row r="38" spans="3:3" ht="15.75" customHeight="1">
      <c r="C38" s="120"/>
    </row>
  </sheetData>
  <mergeCells count="10">
    <mergeCell ref="B14:B18"/>
    <mergeCell ref="D14:D18"/>
    <mergeCell ref="F14:F18"/>
    <mergeCell ref="A19:D19"/>
    <mergeCell ref="A5:A7"/>
    <mergeCell ref="B5:B7"/>
    <mergeCell ref="D5:D7"/>
    <mergeCell ref="F5:F7"/>
    <mergeCell ref="A8:A13"/>
    <mergeCell ref="B8:B13"/>
  </mergeCells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scale="63" orientation="portrait" r:id="rId1"/>
  <headerFooter>
    <oddHeader>&amp;C 1632MV7生物分析方法学验证数据</oddHeader>
    <oddFooter>&amp;C第&amp;P页，共&amp;N页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37D8-1C6D-430C-B520-8DDC662C9937}">
  <dimension ref="A2:I19"/>
  <sheetViews>
    <sheetView zoomScaleNormal="100" zoomScaleSheetLayoutView="100" workbookViewId="0">
      <selection activeCell="A4" sqref="A4:F19"/>
    </sheetView>
  </sheetViews>
  <sheetFormatPr defaultColWidth="8.75" defaultRowHeight="15.75" customHeight="1"/>
  <cols>
    <col min="1" max="6" width="14.58203125" style="2" customWidth="1"/>
    <col min="7" max="7" width="22.25" style="2" customWidth="1"/>
    <col min="8" max="8" width="8.75" style="2"/>
    <col min="9" max="9" width="20" style="2" customWidth="1"/>
    <col min="10" max="16384" width="8.75" style="2"/>
  </cols>
  <sheetData>
    <row r="2" spans="1:9" ht="15.75" customHeight="1">
      <c r="A2" s="172" t="s">
        <v>329</v>
      </c>
      <c r="B2" s="172"/>
      <c r="C2" s="172"/>
    </row>
    <row r="3" spans="1:9" ht="15.75" customHeight="1">
      <c r="A3" s="1"/>
      <c r="B3" s="1"/>
      <c r="C3" s="1"/>
    </row>
    <row r="4" spans="1:9" ht="15.75" customHeight="1">
      <c r="A4" s="11" t="s">
        <v>330</v>
      </c>
      <c r="B4" s="12"/>
      <c r="C4" s="12"/>
      <c r="D4" s="12"/>
      <c r="E4" s="12"/>
      <c r="F4" s="12"/>
      <c r="G4" s="12"/>
      <c r="H4" s="12"/>
      <c r="I4" s="12"/>
    </row>
    <row r="5" spans="1:9" ht="15.75" customHeight="1">
      <c r="A5" s="179" t="s">
        <v>73</v>
      </c>
      <c r="B5" s="179" t="s">
        <v>76</v>
      </c>
      <c r="C5" s="6" t="s">
        <v>331</v>
      </c>
      <c r="D5" s="175" t="s">
        <v>241</v>
      </c>
      <c r="E5" s="6" t="s">
        <v>0</v>
      </c>
      <c r="F5" s="179" t="s">
        <v>241</v>
      </c>
      <c r="G5" s="12"/>
      <c r="H5" s="30" t="s">
        <v>322</v>
      </c>
      <c r="I5" s="139">
        <v>45902</v>
      </c>
    </row>
    <row r="6" spans="1:9" ht="15.75" customHeight="1">
      <c r="A6" s="207"/>
      <c r="B6" s="207"/>
      <c r="C6" s="100">
        <v>0.3</v>
      </c>
      <c r="D6" s="175"/>
      <c r="E6" s="100">
        <v>37.5</v>
      </c>
      <c r="F6" s="207"/>
      <c r="G6" s="12"/>
      <c r="H6" s="30" t="s">
        <v>323</v>
      </c>
      <c r="I6" s="139">
        <v>45997</v>
      </c>
    </row>
    <row r="7" spans="1:9" ht="15.75" customHeight="1">
      <c r="A7" s="180"/>
      <c r="B7" s="180"/>
      <c r="C7" s="29" t="s">
        <v>5</v>
      </c>
      <c r="D7" s="175"/>
      <c r="E7" s="29" t="s">
        <v>5</v>
      </c>
      <c r="F7" s="180"/>
      <c r="G7" s="12"/>
      <c r="H7" s="30" t="s">
        <v>324</v>
      </c>
      <c r="I7" s="153">
        <f>I6-I5</f>
        <v>95</v>
      </c>
    </row>
    <row r="8" spans="1:9" ht="15.75" customHeight="1">
      <c r="A8" s="202">
        <v>45998</v>
      </c>
      <c r="B8" s="179">
        <v>7</v>
      </c>
      <c r="C8" s="3">
        <v>0.32800000000000001</v>
      </c>
      <c r="D8" s="4">
        <f>ROUND((C8-C$6)/C$6*100,1)</f>
        <v>9.3000000000000007</v>
      </c>
      <c r="E8" s="3">
        <v>38.106999999999999</v>
      </c>
      <c r="F8" s="4">
        <f>ROUND((E8-E$6)/E$6*100,1)</f>
        <v>1.6</v>
      </c>
      <c r="G8" s="12"/>
      <c r="H8" s="12"/>
      <c r="I8" s="12"/>
    </row>
    <row r="9" spans="1:9" ht="15.75" customHeight="1">
      <c r="A9" s="202"/>
      <c r="B9" s="207"/>
      <c r="C9" s="3">
        <v>0.28399999999999997</v>
      </c>
      <c r="D9" s="4">
        <f t="shared" ref="D9:F13" si="0">ROUND((C9-C$6)/C$6*100,1)</f>
        <v>-5.3</v>
      </c>
      <c r="E9" s="3">
        <v>37.246000000000002</v>
      </c>
      <c r="F9" s="4">
        <f t="shared" si="0"/>
        <v>-0.7</v>
      </c>
      <c r="G9" s="12"/>
      <c r="H9" s="12"/>
      <c r="I9" s="12"/>
    </row>
    <row r="10" spans="1:9" ht="15.75" customHeight="1">
      <c r="A10" s="202"/>
      <c r="B10" s="207"/>
      <c r="C10" s="121">
        <v>0.29299999999999998</v>
      </c>
      <c r="D10" s="4">
        <f t="shared" si="0"/>
        <v>-2.2999999999999998</v>
      </c>
      <c r="E10" s="3">
        <v>37.924999999999997</v>
      </c>
      <c r="F10" s="4">
        <f t="shared" si="0"/>
        <v>1.1000000000000001</v>
      </c>
      <c r="G10" s="12"/>
      <c r="H10" s="30"/>
      <c r="I10" s="154"/>
    </row>
    <row r="11" spans="1:9" ht="15.75" customHeight="1">
      <c r="A11" s="202"/>
      <c r="B11" s="207"/>
      <c r="C11" s="121">
        <v>0.314</v>
      </c>
      <c r="D11" s="4">
        <f t="shared" si="0"/>
        <v>4.7</v>
      </c>
      <c r="E11" s="121">
        <v>40.369</v>
      </c>
      <c r="F11" s="4">
        <f t="shared" si="0"/>
        <v>7.7</v>
      </c>
      <c r="G11" s="12"/>
      <c r="H11" s="30"/>
      <c r="I11" s="154"/>
    </row>
    <row r="12" spans="1:9" ht="15.75" customHeight="1">
      <c r="A12" s="202"/>
      <c r="B12" s="207"/>
      <c r="C12" s="3">
        <v>0.28499999999999998</v>
      </c>
      <c r="D12" s="4">
        <f t="shared" si="0"/>
        <v>-5</v>
      </c>
      <c r="E12" s="3">
        <v>41.183</v>
      </c>
      <c r="F12" s="4">
        <f t="shared" si="0"/>
        <v>9.8000000000000007</v>
      </c>
      <c r="G12" s="12"/>
      <c r="H12" s="30"/>
      <c r="I12" s="153"/>
    </row>
    <row r="13" spans="1:9" ht="15.75" customHeight="1">
      <c r="A13" s="202"/>
      <c r="B13" s="180"/>
      <c r="C13" s="3">
        <v>0.32900000000000001</v>
      </c>
      <c r="D13" s="4">
        <f t="shared" si="0"/>
        <v>9.6999999999999993</v>
      </c>
      <c r="E13" s="3">
        <v>38.325000000000003</v>
      </c>
      <c r="F13" s="4">
        <f t="shared" si="0"/>
        <v>2.2000000000000002</v>
      </c>
      <c r="G13" s="12"/>
      <c r="H13" s="12"/>
      <c r="I13" s="12"/>
    </row>
    <row r="14" spans="1:9" ht="15.75" customHeight="1">
      <c r="A14" s="6" t="s">
        <v>77</v>
      </c>
      <c r="B14" s="199"/>
      <c r="C14" s="5">
        <f>ROUND(AVERAGE(C8:C13),3)</f>
        <v>0.30599999999999999</v>
      </c>
      <c r="D14" s="199"/>
      <c r="E14" s="5">
        <f>ROUND(AVERAGE(E8:E13),3)</f>
        <v>38.859000000000002</v>
      </c>
      <c r="F14" s="199"/>
      <c r="G14" s="12"/>
      <c r="H14" s="12"/>
      <c r="I14" s="12"/>
    </row>
    <row r="15" spans="1:9" ht="15.75" customHeight="1">
      <c r="A15" s="6" t="s">
        <v>3</v>
      </c>
      <c r="B15" s="200"/>
      <c r="C15" s="5">
        <f>ROUND(STDEV(C8:C13),3)</f>
        <v>2.1000000000000001E-2</v>
      </c>
      <c r="D15" s="200"/>
      <c r="E15" s="5">
        <f>ROUND(STDEV(E8:E13),3)</f>
        <v>1.55</v>
      </c>
      <c r="F15" s="200"/>
      <c r="G15" s="12"/>
      <c r="H15" s="12"/>
      <c r="I15" s="12"/>
    </row>
    <row r="16" spans="1:9" ht="15.75" customHeight="1">
      <c r="A16" s="6" t="s">
        <v>247</v>
      </c>
      <c r="B16" s="200"/>
      <c r="C16" s="4">
        <f>ROUND(C15/C14*100,1)</f>
        <v>6.9</v>
      </c>
      <c r="D16" s="200"/>
      <c r="E16" s="4">
        <f>ROUND(E15/E14*100,1)</f>
        <v>4</v>
      </c>
      <c r="F16" s="200"/>
      <c r="G16" s="12"/>
      <c r="H16" s="12"/>
      <c r="I16" s="12"/>
    </row>
    <row r="17" spans="1:9" ht="15.75" customHeight="1">
      <c r="A17" s="6" t="s">
        <v>332</v>
      </c>
      <c r="B17" s="200"/>
      <c r="C17" s="4">
        <f>ROUND(C14/C$6*100,1)</f>
        <v>102</v>
      </c>
      <c r="D17" s="200"/>
      <c r="E17" s="4">
        <f>ROUND(E14/E$6*100,1)</f>
        <v>103.6</v>
      </c>
      <c r="F17" s="200"/>
      <c r="G17" s="12"/>
      <c r="H17" s="12"/>
      <c r="I17" s="12"/>
    </row>
    <row r="18" spans="1:9" ht="15.75" customHeight="1">
      <c r="A18" s="6" t="s">
        <v>241</v>
      </c>
      <c r="B18" s="200"/>
      <c r="C18" s="4">
        <f>ROUND((C14-C$6)/C$6*100,1)</f>
        <v>2</v>
      </c>
      <c r="D18" s="200"/>
      <c r="E18" s="4">
        <f>ROUND((E14-E$6)/E$6*100,1)</f>
        <v>3.6</v>
      </c>
      <c r="F18" s="200"/>
      <c r="G18" s="12"/>
      <c r="H18" s="12"/>
      <c r="I18" s="12"/>
    </row>
    <row r="19" spans="1:9" ht="15.75" customHeight="1">
      <c r="A19" s="6" t="s">
        <v>4</v>
      </c>
      <c r="B19" s="201"/>
      <c r="C19" s="6">
        <v>6</v>
      </c>
      <c r="D19" s="201"/>
      <c r="E19" s="6">
        <v>6</v>
      </c>
      <c r="F19" s="201"/>
      <c r="G19" s="12"/>
      <c r="H19" s="12"/>
      <c r="I19" s="12"/>
    </row>
  </sheetData>
  <mergeCells count="10">
    <mergeCell ref="B14:B19"/>
    <mergeCell ref="D14:D19"/>
    <mergeCell ref="F14:F19"/>
    <mergeCell ref="A2:C2"/>
    <mergeCell ref="A5:A7"/>
    <mergeCell ref="B5:B7"/>
    <mergeCell ref="D5:D7"/>
    <mergeCell ref="F5:F7"/>
    <mergeCell ref="A8:A13"/>
    <mergeCell ref="B8:B13"/>
  </mergeCells>
  <phoneticPr fontId="12" type="noConversion"/>
  <pageMargins left="0.7" right="0.7" top="0.75" bottom="0.75" header="0.3" footer="0.3"/>
  <pageSetup paperSize="9" scale="68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78D9-3C00-4491-8B70-61A035F64FAE}">
  <sheetPr>
    <pageSetUpPr fitToPage="1"/>
  </sheetPr>
  <dimension ref="A2:G18"/>
  <sheetViews>
    <sheetView zoomScaleNormal="100" zoomScaleSheetLayoutView="100" workbookViewId="0">
      <selection activeCell="A4" sqref="A4:G18"/>
    </sheetView>
  </sheetViews>
  <sheetFormatPr defaultColWidth="8.75" defaultRowHeight="15.75" customHeight="1"/>
  <cols>
    <col min="1" max="228" width="12.58203125" style="12" customWidth="1"/>
    <col min="229" max="16384" width="8.75" style="12"/>
  </cols>
  <sheetData>
    <row r="2" spans="1:7" ht="15.75" customHeight="1">
      <c r="A2" s="12" t="s">
        <v>284</v>
      </c>
    </row>
    <row r="3" spans="1:7" ht="15.75" customHeight="1">
      <c r="B3" s="19"/>
      <c r="C3" s="19"/>
      <c r="D3" s="19"/>
      <c r="E3" s="19"/>
      <c r="F3" s="19"/>
    </row>
    <row r="4" spans="1:7" ht="15.75" customHeight="1">
      <c r="A4" s="307" t="s">
        <v>285</v>
      </c>
      <c r="B4" s="307"/>
      <c r="C4" s="307"/>
      <c r="D4" s="307"/>
      <c r="E4" s="307"/>
      <c r="F4" s="307"/>
      <c r="G4" s="307"/>
    </row>
    <row r="5" spans="1:7" ht="15.75" customHeight="1">
      <c r="A5" s="216" t="s">
        <v>227</v>
      </c>
      <c r="B5" s="216" t="s">
        <v>271</v>
      </c>
      <c r="C5" s="216" t="s">
        <v>286</v>
      </c>
      <c r="D5" s="271" t="s">
        <v>287</v>
      </c>
      <c r="E5" s="272"/>
      <c r="F5" s="272"/>
      <c r="G5" s="273"/>
    </row>
    <row r="6" spans="1:7" ht="15.75" customHeight="1">
      <c r="A6" s="217"/>
      <c r="B6" s="217"/>
      <c r="C6" s="217"/>
      <c r="D6" s="129">
        <v>0.3</v>
      </c>
      <c r="E6" s="130" t="s">
        <v>288</v>
      </c>
      <c r="F6" s="129">
        <v>37.5</v>
      </c>
      <c r="G6" s="131" t="s">
        <v>288</v>
      </c>
    </row>
    <row r="7" spans="1:7" ht="15.75" customHeight="1">
      <c r="A7" s="217"/>
      <c r="B7" s="217"/>
      <c r="C7" s="217"/>
      <c r="D7" s="274" t="s">
        <v>289</v>
      </c>
      <c r="E7" s="275"/>
      <c r="F7" s="274" t="s">
        <v>289</v>
      </c>
      <c r="G7" s="275"/>
    </row>
    <row r="8" spans="1:7" ht="15.75" customHeight="1">
      <c r="A8" s="218"/>
      <c r="B8" s="218"/>
      <c r="C8" s="218"/>
      <c r="D8" s="65" t="s">
        <v>290</v>
      </c>
      <c r="E8" s="65" t="s">
        <v>291</v>
      </c>
      <c r="F8" s="65" t="s">
        <v>290</v>
      </c>
      <c r="G8" s="65" t="s">
        <v>291</v>
      </c>
    </row>
    <row r="9" spans="1:7" ht="15.75" customHeight="1">
      <c r="A9" s="222">
        <v>45905</v>
      </c>
      <c r="B9" s="216">
        <v>4</v>
      </c>
      <c r="C9" s="65">
        <v>1</v>
      </c>
      <c r="D9" s="132">
        <v>0.17467299999999999</v>
      </c>
      <c r="E9" s="132">
        <v>0.17833399999999999</v>
      </c>
      <c r="F9" s="132">
        <v>21.923202</v>
      </c>
      <c r="G9" s="132">
        <v>21.739913000000001</v>
      </c>
    </row>
    <row r="10" spans="1:7" ht="15.75" customHeight="1">
      <c r="A10" s="222"/>
      <c r="B10" s="217"/>
      <c r="C10" s="65">
        <v>2</v>
      </c>
      <c r="D10" s="132">
        <v>0.18298300000000001</v>
      </c>
      <c r="E10" s="132">
        <v>0.18505199999999999</v>
      </c>
      <c r="F10" s="65">
        <v>22.078759000000002</v>
      </c>
      <c r="G10" s="132">
        <v>22.538153000000001</v>
      </c>
    </row>
    <row r="11" spans="1:7" ht="15.75" customHeight="1">
      <c r="A11" s="222"/>
      <c r="B11" s="217"/>
      <c r="C11" s="65">
        <v>3</v>
      </c>
      <c r="D11" s="132">
        <v>0.18007200000000001</v>
      </c>
      <c r="E11" s="132">
        <v>0.20128399999999999</v>
      </c>
      <c r="F11" s="65">
        <v>22.035816000000001</v>
      </c>
      <c r="G11" s="132">
        <v>22.172477000000001</v>
      </c>
    </row>
    <row r="12" spans="1:7" ht="15.75" customHeight="1">
      <c r="A12" s="222"/>
      <c r="B12" s="217"/>
      <c r="C12" s="65">
        <v>4</v>
      </c>
      <c r="D12" s="132">
        <v>0.17419200000000001</v>
      </c>
      <c r="E12" s="132">
        <v>0.19589400000000001</v>
      </c>
      <c r="F12" s="65">
        <v>22.592939000000001</v>
      </c>
      <c r="G12" s="132">
        <v>23.843318</v>
      </c>
    </row>
    <row r="13" spans="1:7" ht="15.75" customHeight="1">
      <c r="A13" s="222"/>
      <c r="B13" s="217"/>
      <c r="C13" s="65">
        <v>5</v>
      </c>
      <c r="D13" s="132">
        <v>0.17361799999999999</v>
      </c>
      <c r="E13" s="132">
        <v>0.18088299999999999</v>
      </c>
      <c r="F13" s="65">
        <v>21.366783999999999</v>
      </c>
      <c r="G13" s="132">
        <v>22.218854</v>
      </c>
    </row>
    <row r="14" spans="1:7" ht="15.75" customHeight="1">
      <c r="A14" s="222"/>
      <c r="B14" s="218"/>
      <c r="C14" s="64">
        <v>6</v>
      </c>
      <c r="D14" s="132">
        <v>0.19104099999999999</v>
      </c>
      <c r="E14" s="132">
        <v>0.19206899999999999</v>
      </c>
      <c r="F14" s="65">
        <v>21.852737000000001</v>
      </c>
      <c r="G14" s="132">
        <v>23.411000999999999</v>
      </c>
    </row>
    <row r="15" spans="1:7" ht="15.75" customHeight="1">
      <c r="A15" s="65" t="s">
        <v>246</v>
      </c>
      <c r="B15" s="263"/>
      <c r="C15" s="264"/>
      <c r="D15" s="132">
        <f>ROUND(AVERAGE(D9:D14),6)</f>
        <v>0.17943000000000001</v>
      </c>
      <c r="E15" s="132">
        <f>ROUND(AVERAGE(E9:E14),6)</f>
        <v>0.188919</v>
      </c>
      <c r="F15" s="132">
        <f>ROUND(AVERAGE(F9:F14),6)</f>
        <v>21.97504</v>
      </c>
      <c r="G15" s="132">
        <f>ROUND(AVERAGE(G9:G14),6)</f>
        <v>22.653953000000001</v>
      </c>
    </row>
    <row r="16" spans="1:7" ht="15.75" customHeight="1">
      <c r="A16" s="65" t="s">
        <v>3</v>
      </c>
      <c r="B16" s="265"/>
      <c r="C16" s="266"/>
      <c r="D16" s="132">
        <f>ROUND(STDEV(D9:D14),6)</f>
        <v>6.8069999999999997E-3</v>
      </c>
      <c r="E16" s="132">
        <f>ROUND(STDEV(E9:E14),6)</f>
        <v>8.9779999999999999E-3</v>
      </c>
      <c r="F16" s="132">
        <f>ROUND(STDEV(F9:F14),6)</f>
        <v>0.39594699999999999</v>
      </c>
      <c r="G16" s="132">
        <f>ROUND(STDEV(G9:G14),6)</f>
        <v>0.80718299999999998</v>
      </c>
    </row>
    <row r="17" spans="1:7" ht="15.75" customHeight="1">
      <c r="A17" s="65" t="s">
        <v>7</v>
      </c>
      <c r="B17" s="265"/>
      <c r="C17" s="266"/>
      <c r="D17" s="101">
        <f t="shared" ref="D17:G17" si="0">ROUND(D16/D15*100,1)</f>
        <v>3.8</v>
      </c>
      <c r="E17" s="101">
        <f t="shared" si="0"/>
        <v>4.8</v>
      </c>
      <c r="F17" s="101">
        <f t="shared" si="0"/>
        <v>1.8</v>
      </c>
      <c r="G17" s="101">
        <f t="shared" si="0"/>
        <v>3.6</v>
      </c>
    </row>
    <row r="18" spans="1:7" ht="15.75" customHeight="1">
      <c r="A18" s="65" t="s">
        <v>292</v>
      </c>
      <c r="B18" s="267"/>
      <c r="C18" s="268"/>
      <c r="D18" s="269">
        <f>ROUND((D15-E15)/E15*100,1)</f>
        <v>-5</v>
      </c>
      <c r="E18" s="270"/>
      <c r="F18" s="269">
        <f>ROUND((F15-G15)/G15*100,1)</f>
        <v>-3</v>
      </c>
      <c r="G18" s="270"/>
    </row>
  </sheetData>
  <mergeCells count="12">
    <mergeCell ref="A4:G4"/>
    <mergeCell ref="A5:A8"/>
    <mergeCell ref="B5:B8"/>
    <mergeCell ref="C5:C8"/>
    <mergeCell ref="D5:G5"/>
    <mergeCell ref="D7:E7"/>
    <mergeCell ref="F7:G7"/>
    <mergeCell ref="A9:A14"/>
    <mergeCell ref="B9:B14"/>
    <mergeCell ref="B15:C18"/>
    <mergeCell ref="D18:E18"/>
    <mergeCell ref="F18:G18"/>
  </mergeCells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scale="96" orientation="portrait" r:id="rId1"/>
  <headerFooter>
    <oddHeader>&amp;C 1632MV7生物分析方法学验证数据</oddHeader>
    <oddFooter>&amp;C第&amp;P页，共&amp;N页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E50A-934F-40A5-8836-3A3F1FDCA175}">
  <sheetPr>
    <pageSetUpPr fitToPage="1"/>
  </sheetPr>
  <dimension ref="A2:F15"/>
  <sheetViews>
    <sheetView zoomScaleNormal="100" zoomScaleSheetLayoutView="100" workbookViewId="0">
      <selection activeCell="A4" sqref="A4:F14"/>
    </sheetView>
  </sheetViews>
  <sheetFormatPr defaultColWidth="8.75" defaultRowHeight="15.75" customHeight="1"/>
  <cols>
    <col min="1" max="1" width="20.4140625" style="2" customWidth="1"/>
    <col min="2" max="243" width="12.58203125" style="2" customWidth="1"/>
    <col min="244" max="16384" width="8.75" style="2"/>
  </cols>
  <sheetData>
    <row r="2" spans="1:6" ht="15.75" customHeight="1">
      <c r="A2" s="276" t="s">
        <v>293</v>
      </c>
      <c r="B2" s="172"/>
      <c r="C2" s="172"/>
    </row>
    <row r="3" spans="1:6" ht="15.75" customHeight="1">
      <c r="A3" s="47"/>
    </row>
    <row r="4" spans="1:6" ht="15.75" customHeight="1">
      <c r="A4" s="216" t="s">
        <v>175</v>
      </c>
      <c r="B4" s="216" t="s">
        <v>271</v>
      </c>
      <c r="C4" s="65" t="s">
        <v>240</v>
      </c>
      <c r="D4" s="216" t="s">
        <v>178</v>
      </c>
      <c r="E4" s="118" t="s">
        <v>0</v>
      </c>
      <c r="F4" s="216" t="s">
        <v>178</v>
      </c>
    </row>
    <row r="5" spans="1:6" ht="15.75" customHeight="1">
      <c r="A5" s="217"/>
      <c r="B5" s="217"/>
      <c r="C5" s="67">
        <v>0.3</v>
      </c>
      <c r="D5" s="217"/>
      <c r="E5" s="67">
        <v>37.5</v>
      </c>
      <c r="F5" s="217"/>
    </row>
    <row r="6" spans="1:6" ht="15.75" customHeight="1">
      <c r="A6" s="218"/>
      <c r="B6" s="218"/>
      <c r="C6" s="69" t="s">
        <v>5</v>
      </c>
      <c r="D6" s="218"/>
      <c r="E6" s="76" t="s">
        <v>5</v>
      </c>
      <c r="F6" s="218"/>
    </row>
    <row r="7" spans="1:6" ht="15.75" customHeight="1">
      <c r="A7" s="222">
        <v>45905</v>
      </c>
      <c r="B7" s="216">
        <v>3</v>
      </c>
      <c r="C7" s="62">
        <v>0.34499999999999997</v>
      </c>
      <c r="D7" s="101">
        <f t="shared" ref="D7:D9" si="0">ROUND((C7-C$5)/C$5*100,1)</f>
        <v>15</v>
      </c>
      <c r="E7" s="62">
        <v>41.143000000000001</v>
      </c>
      <c r="F7" s="101">
        <f t="shared" ref="F7:F9" si="1">ROUND((E7-E$5)/E$5*100,1)</f>
        <v>9.6999999999999993</v>
      </c>
    </row>
    <row r="8" spans="1:6" ht="15.75" customHeight="1">
      <c r="A8" s="222"/>
      <c r="B8" s="217"/>
      <c r="C8" s="109">
        <v>0.314</v>
      </c>
      <c r="D8" s="101">
        <f t="shared" si="0"/>
        <v>4.7</v>
      </c>
      <c r="E8" s="62">
        <v>38.469000000000001</v>
      </c>
      <c r="F8" s="101">
        <f t="shared" si="1"/>
        <v>2.6</v>
      </c>
    </row>
    <row r="9" spans="1:6" ht="15.75" customHeight="1">
      <c r="A9" s="222"/>
      <c r="B9" s="217"/>
      <c r="C9" s="62">
        <v>0.36299999999999999</v>
      </c>
      <c r="D9" s="101">
        <f t="shared" si="0"/>
        <v>21</v>
      </c>
      <c r="E9" s="62">
        <v>42.963000000000001</v>
      </c>
      <c r="F9" s="101">
        <f t="shared" si="1"/>
        <v>14.6</v>
      </c>
    </row>
    <row r="10" spans="1:6" ht="15.75" customHeight="1">
      <c r="A10" s="6" t="s">
        <v>77</v>
      </c>
      <c r="B10" s="199"/>
      <c r="C10" s="36">
        <f>ROUND(AVERAGE(C7:C9),3)</f>
        <v>0.34100000000000003</v>
      </c>
      <c r="D10" s="199"/>
      <c r="E10" s="36">
        <f>ROUND(AVERAGE(E7:E9),3)</f>
        <v>40.857999999999997</v>
      </c>
      <c r="F10" s="199"/>
    </row>
    <row r="11" spans="1:6" ht="15.75" customHeight="1">
      <c r="A11" s="6" t="s">
        <v>3</v>
      </c>
      <c r="B11" s="200"/>
      <c r="C11" s="36">
        <f>ROUND(STDEV(C7:C9),3)</f>
        <v>2.5000000000000001E-2</v>
      </c>
      <c r="D11" s="200"/>
      <c r="E11" s="36">
        <f>ROUND(STDEV(E7:E9),3)</f>
        <v>2.2599999999999998</v>
      </c>
      <c r="F11" s="200"/>
    </row>
    <row r="12" spans="1:6" ht="15.75" customHeight="1">
      <c r="A12" s="65" t="s">
        <v>7</v>
      </c>
      <c r="B12" s="200"/>
      <c r="C12" s="37">
        <f>ROUND(C11/C10*100,1)</f>
        <v>7.3</v>
      </c>
      <c r="D12" s="200"/>
      <c r="E12" s="37">
        <f>ROUND(E11/E10*100,1)</f>
        <v>5.5</v>
      </c>
      <c r="F12" s="200"/>
    </row>
    <row r="13" spans="1:6" ht="15.75" customHeight="1">
      <c r="A13" s="65" t="s">
        <v>267</v>
      </c>
      <c r="B13" s="200"/>
      <c r="C13" s="37">
        <f>ROUND(C10/C$5*100,1)</f>
        <v>113.7</v>
      </c>
      <c r="D13" s="200"/>
      <c r="E13" s="37">
        <f>ROUND(E10/E$5*100,1)</f>
        <v>109</v>
      </c>
      <c r="F13" s="200"/>
    </row>
    <row r="14" spans="1:6" ht="15.75" customHeight="1">
      <c r="A14" s="6" t="s">
        <v>4</v>
      </c>
      <c r="B14" s="201"/>
      <c r="C14" s="6">
        <v>3</v>
      </c>
      <c r="D14" s="201"/>
      <c r="E14" s="6">
        <v>3</v>
      </c>
      <c r="F14" s="201"/>
    </row>
    <row r="15" spans="1:6" ht="15.75" customHeight="1">
      <c r="A15" s="262"/>
      <c r="B15" s="262"/>
      <c r="C15" s="262"/>
      <c r="D15" s="262"/>
    </row>
  </sheetData>
  <mergeCells count="11">
    <mergeCell ref="B10:B14"/>
    <mergeCell ref="D10:D14"/>
    <mergeCell ref="F10:F14"/>
    <mergeCell ref="A15:D15"/>
    <mergeCell ref="A2:C2"/>
    <mergeCell ref="A4:A6"/>
    <mergeCell ref="B4:B6"/>
    <mergeCell ref="D4:D6"/>
    <mergeCell ref="F4:F6"/>
    <mergeCell ref="A7:A9"/>
    <mergeCell ref="B7:B9"/>
  </mergeCells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3498-604C-46EE-BC2E-1D7425A7A726}">
  <dimension ref="A2:AE19"/>
  <sheetViews>
    <sheetView zoomScale="85" zoomScaleNormal="85" zoomScaleSheetLayoutView="100" workbookViewId="0">
      <selection activeCell="A4" sqref="A4:J18"/>
    </sheetView>
  </sheetViews>
  <sheetFormatPr defaultColWidth="8.75" defaultRowHeight="15.75" customHeight="1"/>
  <cols>
    <col min="1" max="1" width="17.75" style="12" customWidth="1"/>
    <col min="2" max="2" width="11.4140625" style="12" customWidth="1"/>
    <col min="3" max="3" width="12.58203125" style="12" customWidth="1"/>
    <col min="4" max="4" width="9.75" style="12" customWidth="1"/>
    <col min="5" max="5" width="12.58203125" style="12" customWidth="1"/>
    <col min="6" max="6" width="9.33203125" style="12" customWidth="1"/>
    <col min="7" max="7" width="12.58203125" style="12" customWidth="1"/>
    <col min="8" max="8" width="10.4140625" style="12" customWidth="1"/>
    <col min="9" max="9" width="12.58203125" style="12" customWidth="1"/>
    <col min="10" max="10" width="9.4140625" style="12" customWidth="1"/>
    <col min="11" max="11" width="20.4140625" style="12" customWidth="1"/>
    <col min="12" max="12" width="14.25" style="12" bestFit="1" customWidth="1"/>
    <col min="13" max="13" width="27.75" style="12" customWidth="1"/>
    <col min="14" max="256" width="12.58203125" style="12" customWidth="1"/>
    <col min="257" max="16384" width="8.75" style="12"/>
  </cols>
  <sheetData>
    <row r="2" spans="1:31" ht="15.75" customHeight="1">
      <c r="A2" s="11" t="s">
        <v>294</v>
      </c>
    </row>
    <row r="4" spans="1:31" ht="15.75" customHeight="1">
      <c r="A4" s="307" t="s">
        <v>295</v>
      </c>
      <c r="B4" s="307"/>
      <c r="C4" s="307"/>
      <c r="D4" s="307"/>
      <c r="E4" s="307"/>
      <c r="F4" s="307"/>
      <c r="G4" s="307"/>
      <c r="H4" s="307"/>
      <c r="I4" s="307"/>
      <c r="J4" s="307"/>
    </row>
    <row r="5" spans="1:31" s="96" customFormat="1" ht="15.75" customHeight="1">
      <c r="A5" s="216" t="s">
        <v>175</v>
      </c>
      <c r="B5" s="216" t="s">
        <v>176</v>
      </c>
      <c r="C5" s="65" t="s">
        <v>2</v>
      </c>
      <c r="D5" s="216" t="s">
        <v>178</v>
      </c>
      <c r="E5" s="65" t="s">
        <v>179</v>
      </c>
      <c r="F5" s="216" t="s">
        <v>178</v>
      </c>
      <c r="G5" s="65" t="s">
        <v>1</v>
      </c>
      <c r="H5" s="216" t="s">
        <v>178</v>
      </c>
      <c r="I5" s="65" t="s">
        <v>0</v>
      </c>
      <c r="J5" s="216" t="s">
        <v>178</v>
      </c>
      <c r="K5" s="12"/>
      <c r="L5" s="128" t="s">
        <v>296</v>
      </c>
      <c r="M5" s="134">
        <v>45903.781238425923</v>
      </c>
    </row>
    <row r="6" spans="1:31" s="96" customFormat="1" ht="15.75" customHeight="1">
      <c r="A6" s="217"/>
      <c r="B6" s="217"/>
      <c r="C6" s="68">
        <v>0.3</v>
      </c>
      <c r="D6" s="217"/>
      <c r="E6" s="68">
        <v>2.2000000000000002</v>
      </c>
      <c r="F6" s="217"/>
      <c r="G6" s="68">
        <v>15</v>
      </c>
      <c r="H6" s="217"/>
      <c r="I6" s="68">
        <v>37.5</v>
      </c>
      <c r="J6" s="217"/>
      <c r="K6" s="12"/>
      <c r="L6" s="128" t="s">
        <v>297</v>
      </c>
      <c r="M6" s="134">
        <v>45906.504664351851</v>
      </c>
      <c r="N6" s="135"/>
    </row>
    <row r="7" spans="1:31" s="96" customFormat="1" ht="15.75" customHeight="1">
      <c r="A7" s="218"/>
      <c r="B7" s="218"/>
      <c r="C7" s="69" t="s">
        <v>5</v>
      </c>
      <c r="D7" s="218"/>
      <c r="E7" s="69" t="s">
        <v>5</v>
      </c>
      <c r="F7" s="218"/>
      <c r="G7" s="69" t="s">
        <v>5</v>
      </c>
      <c r="H7" s="218"/>
      <c r="I7" s="69" t="s">
        <v>5</v>
      </c>
      <c r="J7" s="218"/>
      <c r="K7" s="12"/>
      <c r="L7" s="128" t="s">
        <v>298</v>
      </c>
      <c r="M7" s="136">
        <f>(M6-M5)*24</f>
        <v>65.362222222262062</v>
      </c>
    </row>
    <row r="8" spans="1:31" s="96" customFormat="1" ht="15.75" customHeight="1">
      <c r="A8" s="277">
        <v>45906</v>
      </c>
      <c r="B8" s="223">
        <v>6</v>
      </c>
      <c r="C8" s="62">
        <v>0.30299999999999999</v>
      </c>
      <c r="D8" s="108">
        <v>1</v>
      </c>
      <c r="E8" s="62">
        <v>2.1469999999999998</v>
      </c>
      <c r="F8" s="62">
        <v>-2.4</v>
      </c>
      <c r="G8" s="62">
        <v>14.941000000000001</v>
      </c>
      <c r="H8" s="62">
        <v>-0.4</v>
      </c>
      <c r="I8" s="62">
        <v>38.704999999999998</v>
      </c>
      <c r="J8" s="62">
        <v>3.2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s="96" customFormat="1" ht="15.75" customHeight="1">
      <c r="A9" s="278"/>
      <c r="B9" s="224"/>
      <c r="C9" s="62">
        <v>0.318</v>
      </c>
      <c r="D9" s="108">
        <v>6</v>
      </c>
      <c r="E9" s="62">
        <v>2.165</v>
      </c>
      <c r="F9" s="62">
        <v>-1.6</v>
      </c>
      <c r="G9" s="109">
        <v>15.57</v>
      </c>
      <c r="H9" s="62">
        <v>3.8</v>
      </c>
      <c r="I9" s="62">
        <v>39.201999999999998</v>
      </c>
      <c r="J9" s="62">
        <v>4.5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s="96" customFormat="1" ht="15.75" customHeight="1">
      <c r="A10" s="278"/>
      <c r="B10" s="224"/>
      <c r="C10" s="62">
        <v>0.29499999999999998</v>
      </c>
      <c r="D10" s="62">
        <v>-1.7</v>
      </c>
      <c r="E10" s="62">
        <v>2.2490000000000001</v>
      </c>
      <c r="F10" s="62">
        <v>2.2000000000000002</v>
      </c>
      <c r="G10" s="62">
        <v>14.752000000000001</v>
      </c>
      <c r="H10" s="62">
        <v>-1.7</v>
      </c>
      <c r="I10" s="62">
        <v>41.603999999999999</v>
      </c>
      <c r="J10" s="62">
        <v>10.9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s="96" customFormat="1" ht="15.75" customHeight="1">
      <c r="A11" s="278"/>
      <c r="B11" s="224"/>
      <c r="C11" s="62">
        <v>0.32400000000000001</v>
      </c>
      <c r="D11" s="108">
        <v>8</v>
      </c>
      <c r="E11" s="62">
        <v>2.2789999999999999</v>
      </c>
      <c r="F11" s="62">
        <v>3.6</v>
      </c>
      <c r="G11" s="62">
        <v>14.656000000000001</v>
      </c>
      <c r="H11" s="62">
        <v>-2.2999999999999998</v>
      </c>
      <c r="I11" s="62">
        <v>40.911000000000001</v>
      </c>
      <c r="J11" s="62">
        <v>9.1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s="96" customFormat="1" ht="15.75" customHeight="1">
      <c r="A12" s="278"/>
      <c r="B12" s="224"/>
      <c r="C12" s="62">
        <v>0.316</v>
      </c>
      <c r="D12" s="62">
        <v>5.3</v>
      </c>
      <c r="E12" s="109">
        <v>2.2000000000000002</v>
      </c>
      <c r="F12" s="108">
        <v>0</v>
      </c>
      <c r="G12" s="109">
        <v>15.66</v>
      </c>
      <c r="H12" s="62">
        <v>4.4000000000000004</v>
      </c>
      <c r="I12" s="62">
        <v>39.662999999999997</v>
      </c>
      <c r="J12" s="62">
        <v>5.8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s="96" customFormat="1" ht="15.75" customHeight="1">
      <c r="A13" s="279"/>
      <c r="B13" s="225"/>
      <c r="C13" s="62">
        <v>0.32200000000000001</v>
      </c>
      <c r="D13" s="62">
        <v>7.3</v>
      </c>
      <c r="E13" s="62">
        <v>2.2719999999999998</v>
      </c>
      <c r="F13" s="62">
        <v>3.3</v>
      </c>
      <c r="G13" s="62">
        <v>15.378</v>
      </c>
      <c r="H13" s="62">
        <v>2.5</v>
      </c>
      <c r="I13" s="62">
        <v>41.021999999999998</v>
      </c>
      <c r="J13" s="62">
        <v>9.4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s="96" customFormat="1" ht="15.75" customHeight="1">
      <c r="A14" s="82" t="s">
        <v>299</v>
      </c>
      <c r="B14" s="229"/>
      <c r="C14" s="62">
        <v>0.313</v>
      </c>
      <c r="D14" s="203"/>
      <c r="E14" s="62">
        <v>2.2189999999999999</v>
      </c>
      <c r="F14" s="203"/>
      <c r="G14" s="109">
        <v>15.16</v>
      </c>
      <c r="H14" s="203"/>
      <c r="I14" s="62">
        <v>40.185000000000002</v>
      </c>
      <c r="J14" s="203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s="96" customFormat="1" ht="15.75" customHeight="1">
      <c r="A15" s="65" t="s">
        <v>300</v>
      </c>
      <c r="B15" s="229"/>
      <c r="C15" s="62">
        <v>1.0999999999999999E-2</v>
      </c>
      <c r="D15" s="204"/>
      <c r="E15" s="62">
        <v>5.6000000000000001E-2</v>
      </c>
      <c r="F15" s="204"/>
      <c r="G15" s="62">
        <v>0.432</v>
      </c>
      <c r="H15" s="204"/>
      <c r="I15" s="62">
        <v>1.155</v>
      </c>
      <c r="J15" s="204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s="96" customFormat="1" ht="15.75" customHeight="1">
      <c r="A16" s="65" t="s">
        <v>7</v>
      </c>
      <c r="B16" s="229"/>
      <c r="C16" s="62">
        <v>3.5</v>
      </c>
      <c r="D16" s="204"/>
      <c r="E16" s="62">
        <v>2.5</v>
      </c>
      <c r="F16" s="204"/>
      <c r="G16" s="62">
        <v>2.8</v>
      </c>
      <c r="H16" s="204"/>
      <c r="I16" s="62">
        <v>2.9</v>
      </c>
      <c r="J16" s="204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s="96" customFormat="1" ht="15.75" customHeight="1">
      <c r="A17" s="65" t="s">
        <v>267</v>
      </c>
      <c r="B17" s="229"/>
      <c r="C17" s="62">
        <v>104.3</v>
      </c>
      <c r="D17" s="204"/>
      <c r="E17" s="62">
        <v>100.9</v>
      </c>
      <c r="F17" s="204"/>
      <c r="G17" s="62">
        <v>101.1</v>
      </c>
      <c r="H17" s="204"/>
      <c r="I17" s="62">
        <v>107.2</v>
      </c>
      <c r="J17" s="204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s="96" customFormat="1" ht="15.75" customHeight="1">
      <c r="A18" s="65" t="s">
        <v>4</v>
      </c>
      <c r="B18" s="229"/>
      <c r="C18" s="53">
        <v>6</v>
      </c>
      <c r="D18" s="205"/>
      <c r="E18" s="53">
        <v>6</v>
      </c>
      <c r="F18" s="205"/>
      <c r="G18" s="53">
        <v>6</v>
      </c>
      <c r="H18" s="205"/>
      <c r="I18" s="53">
        <v>6</v>
      </c>
      <c r="J18" s="205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ht="15.75" customHeight="1">
      <c r="C19" s="137"/>
    </row>
  </sheetData>
  <mergeCells count="14">
    <mergeCell ref="J5:J7"/>
    <mergeCell ref="A4:J4"/>
    <mergeCell ref="A5:A7"/>
    <mergeCell ref="B5:B7"/>
    <mergeCell ref="D5:D7"/>
    <mergeCell ref="F5:F7"/>
    <mergeCell ref="H5:H7"/>
    <mergeCell ref="J14:J18"/>
    <mergeCell ref="A8:A13"/>
    <mergeCell ref="B8:B13"/>
    <mergeCell ref="B14:B18"/>
    <mergeCell ref="D14:D18"/>
    <mergeCell ref="F14:F18"/>
    <mergeCell ref="H14:H18"/>
  </mergeCells>
  <phoneticPr fontId="12" type="noConversion"/>
  <printOptions headings="1" gridLines="1"/>
  <pageMargins left="0.70866141732283472" right="0.70866141732283472" top="0.74803149606299213" bottom="0.74803149606299213" header="0.31496062992125984" footer="0.31496062992125984"/>
  <pageSetup scale="62" orientation="landscape" r:id="rId1"/>
  <headerFooter>
    <oddHeader>&amp;C18903MV01验证数据汇总</oddHeader>
    <oddFooter>&amp;C第&amp;P页，共&amp;N页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5A08-051C-485C-8F60-4DFA4F059512}">
  <dimension ref="A1:F21"/>
  <sheetViews>
    <sheetView tabSelected="1" topLeftCell="A6" workbookViewId="0">
      <selection activeCell="D14" sqref="D14:D15"/>
    </sheetView>
  </sheetViews>
  <sheetFormatPr defaultRowHeight="15.75" customHeight="1"/>
  <cols>
    <col min="1" max="1" width="16.75" customWidth="1"/>
    <col min="2" max="2" width="14.75" customWidth="1"/>
    <col min="3" max="3" width="29.33203125" customWidth="1"/>
    <col min="4" max="4" width="17.75" customWidth="1"/>
    <col min="5" max="5" width="28.33203125" customWidth="1"/>
    <col min="6" max="6" width="21.25" customWidth="1"/>
  </cols>
  <sheetData>
    <row r="1" spans="1:6" ht="15.75" customHeight="1">
      <c r="A1" s="281" t="s">
        <v>38</v>
      </c>
      <c r="B1" s="184"/>
      <c r="C1" s="184"/>
      <c r="D1" s="20"/>
      <c r="E1" s="20"/>
      <c r="F1" s="20"/>
    </row>
    <row r="2" spans="1:6" ht="15.75" customHeight="1">
      <c r="A2" s="20"/>
      <c r="B2" s="20"/>
      <c r="C2" s="21"/>
      <c r="D2" s="22"/>
      <c r="E2" s="22"/>
      <c r="F2" s="22"/>
    </row>
    <row r="3" spans="1:6" ht="15.75" customHeight="1">
      <c r="A3" s="281" t="s">
        <v>39</v>
      </c>
      <c r="B3" s="184"/>
      <c r="C3" s="184"/>
      <c r="D3" s="20"/>
      <c r="E3" s="20"/>
      <c r="F3" s="20"/>
    </row>
    <row r="4" spans="1:6" ht="15.75" customHeight="1">
      <c r="A4" s="175" t="s">
        <v>73</v>
      </c>
      <c r="B4" s="175" t="s">
        <v>74</v>
      </c>
      <c r="C4" s="175" t="s">
        <v>75</v>
      </c>
      <c r="D4" s="280" t="s">
        <v>416</v>
      </c>
      <c r="E4" s="280" t="s">
        <v>413</v>
      </c>
      <c r="F4" s="280" t="s">
        <v>415</v>
      </c>
    </row>
    <row r="5" spans="1:6" ht="15.75" customHeight="1">
      <c r="A5" s="175"/>
      <c r="B5" s="175"/>
      <c r="C5" s="175"/>
      <c r="D5" s="175"/>
      <c r="E5" s="175"/>
      <c r="F5" s="175"/>
    </row>
    <row r="6" spans="1:6" ht="15.75" customHeight="1">
      <c r="A6" s="282">
        <v>45998</v>
      </c>
      <c r="B6" s="175">
        <v>8</v>
      </c>
      <c r="C6" s="26" t="s">
        <v>55</v>
      </c>
      <c r="D6" s="27">
        <v>8231</v>
      </c>
      <c r="E6" s="289">
        <v>183238</v>
      </c>
      <c r="F6" s="286">
        <f>ROUND(AVERAGE(D6:D8)/E6*100,1)</f>
        <v>4.9000000000000004</v>
      </c>
    </row>
    <row r="7" spans="1:6" ht="15.75" customHeight="1">
      <c r="A7" s="283"/>
      <c r="B7" s="175"/>
      <c r="C7" s="26" t="s">
        <v>56</v>
      </c>
      <c r="D7" s="27">
        <v>10432</v>
      </c>
      <c r="E7" s="289"/>
      <c r="F7" s="287"/>
    </row>
    <row r="8" spans="1:6" ht="15.75" customHeight="1">
      <c r="A8" s="284"/>
      <c r="B8" s="175"/>
      <c r="C8" s="26" t="s">
        <v>57</v>
      </c>
      <c r="D8" s="27">
        <v>8466</v>
      </c>
      <c r="E8" s="289"/>
      <c r="F8" s="288"/>
    </row>
    <row r="9" spans="1:6" ht="15.75" customHeight="1">
      <c r="A9" s="282">
        <v>46007</v>
      </c>
      <c r="B9" s="175">
        <v>9</v>
      </c>
      <c r="C9" s="26" t="s">
        <v>55</v>
      </c>
      <c r="D9" s="53">
        <v>2583</v>
      </c>
      <c r="E9" s="197">
        <v>202454</v>
      </c>
      <c r="F9" s="193">
        <f>ROUND(AVERAGE(D9:D11)/E9*100,1)</f>
        <v>1.3</v>
      </c>
    </row>
    <row r="10" spans="1:6" ht="15.75" customHeight="1">
      <c r="A10" s="283"/>
      <c r="B10" s="175"/>
      <c r="C10" s="26" t="s">
        <v>56</v>
      </c>
      <c r="D10" s="53">
        <v>2787</v>
      </c>
      <c r="E10" s="197"/>
      <c r="F10" s="194"/>
    </row>
    <row r="11" spans="1:6" ht="15.75" customHeight="1">
      <c r="A11" s="284"/>
      <c r="B11" s="175"/>
      <c r="C11" s="26" t="s">
        <v>57</v>
      </c>
      <c r="D11" s="53">
        <v>2637</v>
      </c>
      <c r="E11" s="197"/>
      <c r="F11" s="195"/>
    </row>
    <row r="12" spans="1:6" ht="15.75" customHeight="1">
      <c r="A12" s="20"/>
      <c r="B12" s="28"/>
      <c r="C12" s="23"/>
      <c r="D12" s="22"/>
      <c r="E12" s="24"/>
      <c r="F12" s="25"/>
    </row>
    <row r="13" spans="1:6" ht="15.75" customHeight="1">
      <c r="A13" s="281" t="s">
        <v>40</v>
      </c>
      <c r="B13" s="184"/>
      <c r="C13" s="184"/>
      <c r="D13" s="22"/>
      <c r="E13" s="22"/>
      <c r="F13" s="22"/>
    </row>
    <row r="14" spans="1:6" ht="15.75" customHeight="1">
      <c r="A14" s="175" t="s">
        <v>73</v>
      </c>
      <c r="B14" s="175" t="s">
        <v>74</v>
      </c>
      <c r="C14" s="175" t="s">
        <v>75</v>
      </c>
      <c r="D14" s="280" t="s">
        <v>403</v>
      </c>
      <c r="E14" s="280" t="s">
        <v>404</v>
      </c>
      <c r="F14" s="280" t="s">
        <v>405</v>
      </c>
    </row>
    <row r="15" spans="1:6" ht="15.75" customHeight="1">
      <c r="A15" s="175"/>
      <c r="B15" s="175"/>
      <c r="C15" s="175"/>
      <c r="D15" s="175"/>
      <c r="E15" s="175"/>
      <c r="F15" s="175"/>
    </row>
    <row r="16" spans="1:6" ht="15.75" customHeight="1">
      <c r="A16" s="282">
        <v>45998</v>
      </c>
      <c r="B16" s="179">
        <v>8</v>
      </c>
      <c r="C16" s="26" t="s">
        <v>58</v>
      </c>
      <c r="D16" s="27">
        <v>1023</v>
      </c>
      <c r="E16" s="285">
        <v>6361</v>
      </c>
      <c r="F16" s="286">
        <f>ROUND(AVERAGE(D16:D18)/E16*100,1)</f>
        <v>18.399999999999999</v>
      </c>
    </row>
    <row r="17" spans="1:6" ht="15.75" customHeight="1">
      <c r="A17" s="283"/>
      <c r="B17" s="207"/>
      <c r="C17" s="26" t="s">
        <v>59</v>
      </c>
      <c r="D17" s="27">
        <v>853</v>
      </c>
      <c r="E17" s="285"/>
      <c r="F17" s="287"/>
    </row>
    <row r="18" spans="1:6" ht="15.75" customHeight="1">
      <c r="A18" s="284"/>
      <c r="B18" s="180"/>
      <c r="C18" s="26" t="s">
        <v>60</v>
      </c>
      <c r="D18" s="27">
        <v>1638</v>
      </c>
      <c r="E18" s="285"/>
      <c r="F18" s="288"/>
    </row>
    <row r="19" spans="1:6" ht="15.75" customHeight="1">
      <c r="A19" s="282">
        <v>46007</v>
      </c>
      <c r="B19" s="175">
        <v>9</v>
      </c>
      <c r="C19" s="26" t="s">
        <v>58</v>
      </c>
      <c r="D19" s="53">
        <v>1629</v>
      </c>
      <c r="E19" s="185">
        <v>8107</v>
      </c>
      <c r="F19" s="193">
        <f>ROUND(AVERAGE(D19:D21)/E19*100,1)</f>
        <v>16.8</v>
      </c>
    </row>
    <row r="20" spans="1:6" ht="15.75" customHeight="1">
      <c r="A20" s="283"/>
      <c r="B20" s="175"/>
      <c r="C20" s="26" t="s">
        <v>59</v>
      </c>
      <c r="D20" s="53">
        <v>907</v>
      </c>
      <c r="E20" s="185"/>
      <c r="F20" s="194"/>
    </row>
    <row r="21" spans="1:6" ht="15.75" customHeight="1">
      <c r="A21" s="284"/>
      <c r="B21" s="175"/>
      <c r="C21" s="26" t="s">
        <v>60</v>
      </c>
      <c r="D21" s="53">
        <v>1551</v>
      </c>
      <c r="E21" s="185"/>
      <c r="F21" s="195"/>
    </row>
  </sheetData>
  <mergeCells count="31">
    <mergeCell ref="A19:A21"/>
    <mergeCell ref="B19:B21"/>
    <mergeCell ref="E19:E21"/>
    <mergeCell ref="F19:F21"/>
    <mergeCell ref="A9:A11"/>
    <mergeCell ref="B9:B11"/>
    <mergeCell ref="F9:F11"/>
    <mergeCell ref="E9:E11"/>
    <mergeCell ref="A13:C13"/>
    <mergeCell ref="E4:E5"/>
    <mergeCell ref="F14:F15"/>
    <mergeCell ref="A16:A18"/>
    <mergeCell ref="B16:B18"/>
    <mergeCell ref="E16:E18"/>
    <mergeCell ref="F16:F18"/>
    <mergeCell ref="A14:A15"/>
    <mergeCell ref="B14:B15"/>
    <mergeCell ref="C14:C15"/>
    <mergeCell ref="D14:D15"/>
    <mergeCell ref="E14:E15"/>
    <mergeCell ref="F4:F5"/>
    <mergeCell ref="A6:A8"/>
    <mergeCell ref="B6:B8"/>
    <mergeCell ref="E6:E8"/>
    <mergeCell ref="F6:F8"/>
    <mergeCell ref="D4:D5"/>
    <mergeCell ref="A1:C1"/>
    <mergeCell ref="A3:C3"/>
    <mergeCell ref="A4:A5"/>
    <mergeCell ref="B4:B5"/>
    <mergeCell ref="C4:C5"/>
  </mergeCells>
  <phoneticPr fontId="1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78D5-2CA2-4E34-8A98-E11174D49108}">
  <dimension ref="B2"/>
  <sheetViews>
    <sheetView workbookViewId="0">
      <selection activeCell="D18" sqref="D18"/>
    </sheetView>
  </sheetViews>
  <sheetFormatPr defaultRowHeight="14"/>
  <cols>
    <col min="2" max="2" width="19.6640625" customWidth="1"/>
    <col min="3" max="3" width="16.58203125" customWidth="1"/>
    <col min="4" max="4" width="12.75" customWidth="1"/>
  </cols>
  <sheetData>
    <row r="2" spans="2:2">
      <c r="B2" t="s">
        <v>42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31</vt:i4>
      </vt:variant>
      <vt:variant>
        <vt:lpstr>命名范围</vt:lpstr>
      </vt:variant>
      <vt:variant>
        <vt:i4>6</vt:i4>
      </vt:variant>
    </vt:vector>
  </HeadingPairs>
  <TitlesOfParts>
    <vt:vector size="37" baseType="lpstr">
      <vt:lpstr>1.1</vt:lpstr>
      <vt:lpstr>2.1 标准品</vt:lpstr>
      <vt:lpstr>2.2 内标</vt:lpstr>
      <vt:lpstr>2.5 试剂</vt:lpstr>
      <vt:lpstr>2.6 空白基质</vt:lpstr>
      <vt:lpstr>2.9 标准曲线质控样品的配制</vt:lpstr>
      <vt:lpstr>表1_schedule</vt:lpstr>
      <vt:lpstr>表2_系统适用性</vt:lpstr>
      <vt:lpstr>表3_批量样品检测过程的残留</vt:lpstr>
      <vt:lpstr>表4_Selectivity</vt:lpstr>
      <vt:lpstr>表5_特异性</vt:lpstr>
      <vt:lpstr>表6_ME</vt:lpstr>
      <vt:lpstr>表7_Regression</vt:lpstr>
      <vt:lpstr>表8_curve</vt:lpstr>
      <vt:lpstr>表9_Inter QC</vt:lpstr>
      <vt:lpstr>表10 QC (除准确度精密度分析批）</vt:lpstr>
      <vt:lpstr>表11_Recovery</vt:lpstr>
      <vt:lpstr>表13_Dilution</vt:lpstr>
      <vt:lpstr>表14_stock ST</vt:lpstr>
      <vt:lpstr>表15_spike ST</vt:lpstr>
      <vt:lpstr>表16_stock LT</vt:lpstr>
      <vt:lpstr>表17_spike LT</vt:lpstr>
      <vt:lpstr>表18_ST</vt:lpstr>
      <vt:lpstr>表19_FT</vt:lpstr>
      <vt:lpstr>表20_PSS</vt:lpstr>
      <vt:lpstr>表21_LTS</vt:lpstr>
      <vt:lpstr>表22_Blood</vt:lpstr>
      <vt:lpstr>表23_溶血效应</vt:lpstr>
      <vt:lpstr>表24_处理后样品再进样重现性</vt:lpstr>
      <vt:lpstr>表24_内标适用性考察</vt:lpstr>
      <vt:lpstr>天平</vt:lpstr>
      <vt:lpstr>表11_Recovery!Print_Area</vt:lpstr>
      <vt:lpstr>表19_FT!Print_Area</vt:lpstr>
      <vt:lpstr>表2_系统适用性!Print_Area</vt:lpstr>
      <vt:lpstr>表24_处理后样品再进样重现性!Print_Area</vt:lpstr>
      <vt:lpstr>表3_批量样品检测过程的残留!Print_Area</vt:lpstr>
      <vt:lpstr>表6_ME!Print_Area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张涵</cp:lastModifiedBy>
  <cp:lastPrinted>2025-09-24T05:52:10Z</cp:lastPrinted>
  <dcterms:created xsi:type="dcterms:W3CDTF">2016-03-17T02:40:20Z</dcterms:created>
  <dcterms:modified xsi:type="dcterms:W3CDTF">2025-12-18T08:57:34Z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[DocID]=E3F42394-16F6-46B4-B257-E4A8262C4353</vt:lpwstr>
  </property>
</Properties>
</file>