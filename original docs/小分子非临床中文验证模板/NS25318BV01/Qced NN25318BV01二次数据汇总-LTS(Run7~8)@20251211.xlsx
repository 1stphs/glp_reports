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Y:\43-试验电子数据的暂存目录\01-生物分析一部\02-QC\01-QCed data\2025年项目\NN25318\NS25318BV01\"/>
    </mc:Choice>
  </mc:AlternateContent>
  <xr:revisionPtr revIDLastSave="0" documentId="13_ncr:1_{D61348D7-1070-45AD-805E-296459A61B80}" xr6:coauthVersionLast="47" xr6:coauthVersionMax="47" xr10:uidLastSave="{00000000-0000-0000-0000-000000000000}"/>
  <bookViews>
    <workbookView xWindow="22932" yWindow="-564" windowWidth="23256" windowHeight="12456" tabRatio="852" xr2:uid="{00000000-000D-0000-FFFF-FFFF00000000}"/>
  </bookViews>
  <sheets>
    <sheet name="1.1" sheetId="53" r:id="rId1"/>
    <sheet name="2.1 标准品" sheetId="74" r:id="rId2"/>
    <sheet name="2.2 内标" sheetId="75" r:id="rId3"/>
    <sheet name="2.5 试剂" sheetId="76" r:id="rId4"/>
    <sheet name="2.6 空白基质" sheetId="57" r:id="rId5"/>
    <sheet name="2.9 标准曲线质控样品的配制" sheetId="58" r:id="rId6"/>
    <sheet name="表1_schedule" sheetId="7" r:id="rId7"/>
    <sheet name="表2_系统适用性" sheetId="59" r:id="rId8"/>
    <sheet name="表3_批量样品检测过程的残留" sheetId="60" r:id="rId9"/>
    <sheet name="表7_Regression" sheetId="61" r:id="rId10"/>
    <sheet name="表8_curve" sheetId="62" r:id="rId11"/>
    <sheet name="表10 QC (除准确度精密度分析批）" sheetId="72" r:id="rId12"/>
    <sheet name="表14_stock ST" sheetId="77" r:id="rId13"/>
    <sheet name="表15_spike ST" sheetId="78" r:id="rId14"/>
    <sheet name="表16_stock LT" sheetId="79" r:id="rId15"/>
    <sheet name="表17_spike LT" sheetId="80" r:id="rId16"/>
    <sheet name="表21_LTS" sheetId="73" r:id="rId17"/>
    <sheet name="表24_内标适用性考察" sheetId="81" r:id="rId18"/>
    <sheet name="天平" sheetId="82" r:id="rId19"/>
  </sheets>
  <definedNames>
    <definedName name="_xlnm.Print_Area" localSheetId="7">表2_系统适用性!$A$1:$D$10</definedName>
    <definedName name="_xlnm.Print_Area" localSheetId="8">表3_批量样品检测过程的残留!$A$1:$I$12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80" l="1"/>
  <c r="G5" i="79"/>
  <c r="G5" i="77"/>
  <c r="H5" i="78"/>
  <c r="F8" i="81" l="1"/>
  <c r="H8" i="60" l="1"/>
  <c r="I12" i="60"/>
  <c r="H11" i="60"/>
  <c r="G11" i="60"/>
  <c r="I11" i="60" s="1"/>
  <c r="F11" i="60"/>
  <c r="H12" i="60" s="1"/>
  <c r="G9" i="60"/>
  <c r="I10" i="60" s="1"/>
  <c r="F9" i="60"/>
  <c r="H10" i="60" s="1"/>
  <c r="G7" i="60"/>
  <c r="I8" i="60" s="1"/>
  <c r="F7" i="60"/>
  <c r="H7" i="60" s="1"/>
  <c r="G5" i="60"/>
  <c r="I6" i="60" s="1"/>
  <c r="F5" i="60"/>
  <c r="H5" i="60" s="1"/>
  <c r="I7" i="60" l="1"/>
  <c r="H6" i="60"/>
  <c r="H9" i="60"/>
  <c r="I9" i="60"/>
  <c r="I5" i="60"/>
  <c r="F13" i="73"/>
  <c r="F12" i="73"/>
  <c r="F11" i="73"/>
  <c r="F10" i="73"/>
  <c r="F9" i="73"/>
  <c r="F8" i="73"/>
  <c r="D9" i="73"/>
  <c r="D10" i="73"/>
  <c r="D11" i="73"/>
  <c r="D12" i="73"/>
  <c r="D13" i="73"/>
  <c r="D8" i="73"/>
  <c r="F17" i="81" l="1"/>
  <c r="E15" i="73"/>
  <c r="C15" i="73"/>
  <c r="E14" i="73"/>
  <c r="C14" i="73"/>
  <c r="I7" i="73"/>
  <c r="G13" i="60"/>
  <c r="I13" i="60" s="1"/>
  <c r="F13" i="60"/>
  <c r="E18" i="73" l="1"/>
  <c r="E17" i="73"/>
  <c r="C17" i="73"/>
  <c r="C18" i="73"/>
  <c r="H14" i="60"/>
  <c r="H13" i="60"/>
  <c r="E16" i="73"/>
  <c r="C16" i="73"/>
  <c r="I14" i="60"/>
  <c r="E18" i="80" l="1"/>
  <c r="D18" i="80"/>
  <c r="C18" i="80"/>
  <c r="B18" i="80"/>
  <c r="E17" i="80"/>
  <c r="D17" i="80"/>
  <c r="C17" i="80"/>
  <c r="B17" i="80"/>
  <c r="C18" i="79"/>
  <c r="C19" i="79" s="1"/>
  <c r="B18" i="79"/>
  <c r="C17" i="79"/>
  <c r="B17" i="79"/>
  <c r="E18" i="78"/>
  <c r="D18" i="78"/>
  <c r="C18" i="78"/>
  <c r="B18" i="78"/>
  <c r="E17" i="78"/>
  <c r="D17" i="78"/>
  <c r="C17" i="78"/>
  <c r="B17" i="78"/>
  <c r="C18" i="77"/>
  <c r="C19" i="77" s="1"/>
  <c r="B18" i="77"/>
  <c r="C17" i="77"/>
  <c r="B17" i="77"/>
  <c r="E19" i="80" l="1"/>
  <c r="E19" i="78"/>
  <c r="C19" i="78"/>
  <c r="C19" i="80"/>
  <c r="D19" i="80"/>
  <c r="B19" i="79"/>
  <c r="B19" i="80"/>
  <c r="D20" i="80"/>
  <c r="D20" i="78"/>
  <c r="B20" i="80"/>
  <c r="B20" i="78"/>
  <c r="B19" i="78"/>
  <c r="B20" i="79"/>
  <c r="B20" i="77"/>
  <c r="B19" i="77"/>
  <c r="D19" i="78"/>
</calcChain>
</file>

<file path=xl/sharedStrings.xml><?xml version="1.0" encoding="utf-8"?>
<sst xmlns="http://schemas.openxmlformats.org/spreadsheetml/2006/main" count="439" uniqueCount="294">
  <si>
    <t>HQC</t>
  </si>
  <si>
    <t>MQC</t>
  </si>
  <si>
    <t>LQC</t>
  </si>
  <si>
    <t>SD</t>
  </si>
  <si>
    <t>n</t>
  </si>
  <si>
    <t>ng/mL</t>
  </si>
  <si>
    <t>表1：批量样品检测情况列表</t>
  </si>
  <si>
    <t>CV（%）</t>
  </si>
  <si>
    <t>%CV</t>
  </si>
  <si>
    <r>
      <rPr>
        <sz val="10.5"/>
        <color theme="1"/>
        <rFont val="宋体"/>
        <family val="3"/>
        <charset val="134"/>
      </rPr>
      <t>是</t>
    </r>
  </si>
  <si>
    <t xml:space="preserve">AB Sciex </t>
  </si>
  <si>
    <t>y = ax + b</t>
    <phoneticPr fontId="4" type="noConversion"/>
  </si>
  <si>
    <r>
      <t xml:space="preserve">2.6 </t>
    </r>
    <r>
      <rPr>
        <sz val="11"/>
        <color theme="1"/>
        <rFont val="宋体"/>
        <family val="3"/>
        <charset val="134"/>
      </rPr>
      <t>空白基质</t>
    </r>
    <phoneticPr fontId="12" type="noConversion"/>
  </si>
  <si>
    <t>基质</t>
  </si>
  <si>
    <t>供应商</t>
  </si>
  <si>
    <t>益诺思登记号</t>
  </si>
  <si>
    <t>接收日期</t>
  </si>
  <si>
    <t>2.9 标准曲线/质控样品的配制</t>
    <phoneticPr fontId="12" type="noConversion"/>
  </si>
  <si>
    <t>类型</t>
  </si>
  <si>
    <t>配制日期</t>
    <phoneticPr fontId="12" type="noConversion"/>
  </si>
  <si>
    <t>储存条件</t>
  </si>
  <si>
    <t>标准曲线样品</t>
    <phoneticPr fontId="12" type="noConversion"/>
  </si>
  <si>
    <t>现配现用</t>
    <phoneticPr fontId="12" type="noConversion"/>
  </si>
  <si>
    <t>质量控制样品</t>
  </si>
  <si>
    <t>待测物残留率（%）</t>
  </si>
  <si>
    <t>内标残留率（%）</t>
  </si>
  <si>
    <t>表7：标准曲线参数汇总</t>
  </si>
  <si>
    <t>拟合方程：峰面积比= 斜率 ×浓度 + 截距， 权重：1/（浓度×浓度）</t>
  </si>
  <si>
    <t>表8：标准曲线的回算浓度</t>
  </si>
  <si>
    <t>STD1</t>
  </si>
  <si>
    <t>准确度偏差（%）</t>
  </si>
  <si>
    <t>STD2</t>
  </si>
  <si>
    <t>STD3</t>
  </si>
  <si>
    <t>STD4</t>
  </si>
  <si>
    <t>STD5</t>
  </si>
  <si>
    <t>准确度偏差 （%）</t>
  </si>
  <si>
    <t>STD6</t>
  </si>
  <si>
    <t>STD7</t>
  </si>
  <si>
    <t>STD8</t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</si>
  <si>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21</t>
    </r>
    <r>
      <rPr>
        <sz val="10.5"/>
        <color theme="1"/>
        <rFont val="宋体"/>
        <family val="3"/>
        <charset val="134"/>
      </rPr>
      <t>：生物基质中待测物的长期稳定性</t>
    </r>
    <phoneticPr fontId="12" type="noConversion"/>
  </si>
  <si>
    <t>表10：质控样品浓度数据汇总（除准确度精密度分析批外）</t>
  </si>
  <si>
    <t>长期稳定性样品放置时间（天）：</t>
  </si>
  <si>
    <t>GMQC</t>
    <phoneticPr fontId="12" type="noConversion"/>
  </si>
  <si>
    <t>上海益诺思生物技术股份有限公司</t>
    <phoneticPr fontId="12" type="noConversion"/>
  </si>
  <si>
    <r>
      <rPr>
        <sz val="10.5"/>
        <color theme="1"/>
        <rFont val="宋体"/>
        <family val="3"/>
        <charset val="134"/>
      </rPr>
      <t>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：本分析批无标曲质控样品</t>
    </r>
    <r>
      <rPr>
        <sz val="10.5"/>
        <color theme="1"/>
        <rFont val="宋体"/>
        <family val="1"/>
        <charset val="134"/>
      </rPr>
      <t>。</t>
    </r>
    <phoneticPr fontId="4" type="noConversion"/>
  </si>
  <si>
    <t>液相色谱纯</t>
  </si>
  <si>
    <t>上海安谱实验科技股份有限公司</t>
  </si>
  <si>
    <t>级别</t>
  </si>
  <si>
    <t>纯度</t>
    <phoneticPr fontId="12" type="noConversion"/>
  </si>
  <si>
    <t>样品体积</t>
    <phoneticPr fontId="4" type="noConversion"/>
  </si>
  <si>
    <r>
      <rPr>
        <sz val="10.5"/>
        <color theme="1"/>
        <rFont val="宋体"/>
        <family val="3"/>
        <charset val="134"/>
      </rPr>
      <t>峰面积比</t>
    </r>
    <phoneticPr fontId="4" type="noConversion"/>
  </si>
  <si>
    <t>二甲基亚砜</t>
    <phoneticPr fontId="12" type="noConversion"/>
  </si>
  <si>
    <t>同位素内标，内标回收率参考待测物</t>
    <phoneticPr fontId="4" type="noConversion"/>
  </si>
  <si>
    <t>表14：储备液短期稳定性</t>
  </si>
  <si>
    <t>理论浓度（单位）</t>
  </si>
  <si>
    <t>mg/mL</t>
    <phoneticPr fontId="4" type="noConversion"/>
  </si>
  <si>
    <t>差异 （%）</t>
  </si>
  <si>
    <t>LLOQ</t>
  </si>
  <si>
    <t>ng/mL</t>
    <phoneticPr fontId="4" type="noConversion"/>
  </si>
  <si>
    <t>系统适用性，标准曲线及范围，基质样品长期稳定性，内标适用性考察，残留评价</t>
    <phoneticPr fontId="4" type="noConversion"/>
  </si>
  <si>
    <t>LQC</t>
    <phoneticPr fontId="12" type="noConversion"/>
  </si>
  <si>
    <t>表24：内标适用性考察</t>
    <phoneticPr fontId="12" type="noConversion"/>
  </si>
  <si>
    <t>待测物对内标的干扰</t>
    <phoneticPr fontId="12" type="noConversion"/>
  </si>
  <si>
    <t>内标对待测物的干扰</t>
    <phoneticPr fontId="12" type="noConversion"/>
  </si>
  <si>
    <r>
      <rPr>
        <sz val="10.5"/>
        <color theme="1"/>
        <rFont val="宋体"/>
        <family val="3"/>
        <charset val="134"/>
      </rPr>
      <t>平均值</t>
    </r>
    <phoneticPr fontId="4" type="noConversion"/>
  </si>
  <si>
    <t/>
  </si>
  <si>
    <t>EQ202003</t>
    <phoneticPr fontId="12" type="noConversion"/>
  </si>
  <si>
    <t>EQSH24091</t>
    <phoneticPr fontId="4" type="noConversion"/>
  </si>
  <si>
    <r>
      <rPr>
        <sz val="10.5"/>
        <color theme="1"/>
        <rFont val="宋体"/>
        <family val="3"/>
        <charset val="134"/>
      </rPr>
      <t>系统适用性，标准曲线及范围，第二批批内准确度和精密度，选择性，基质效应，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残留评价</t>
    </r>
    <phoneticPr fontId="4" type="noConversion"/>
  </si>
  <si>
    <t>系统适用性，全血稳定性</t>
  </si>
  <si>
    <t>系统适用性，回收率</t>
    <phoneticPr fontId="4" type="noConversion"/>
  </si>
  <si>
    <r>
      <rPr>
        <sz val="10.5"/>
        <color theme="1"/>
        <rFont val="宋体"/>
        <family val="3"/>
        <charset val="134"/>
      </rPr>
      <t>系统适用性，标准曲线及范围，处理后样品再进样重现性</t>
    </r>
    <r>
      <rPr>
        <vertAlign val="superscript"/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残留评价</t>
    </r>
    <phoneticPr fontId="4" type="noConversion"/>
  </si>
  <si>
    <r>
      <rPr>
        <sz val="10.5"/>
        <color theme="1"/>
        <rFont val="宋体"/>
        <family val="3"/>
        <charset val="134"/>
      </rPr>
      <t>注1：处理后样品稳定性所使用的样品于</t>
    </r>
    <r>
      <rPr>
        <sz val="10.5"/>
        <color theme="1"/>
        <rFont val="Times New Roman"/>
        <family val="1"/>
      </rPr>
      <t>2025</t>
    </r>
    <r>
      <rPr>
        <sz val="10.5"/>
        <color theme="1"/>
        <rFont val="宋体"/>
        <family val="3"/>
        <charset val="134"/>
      </rPr>
      <t>年</t>
    </r>
    <r>
      <rPr>
        <sz val="10.5"/>
        <color theme="1"/>
        <rFont val="Times New Roman"/>
        <family val="1"/>
      </rPr>
      <t>09</t>
    </r>
    <r>
      <rPr>
        <sz val="10.5"/>
        <color theme="1"/>
        <rFont val="宋体"/>
        <family val="3"/>
        <charset val="134"/>
      </rPr>
      <t>月</t>
    </r>
    <r>
      <rPr>
        <sz val="10.5"/>
        <color theme="1"/>
        <rFont val="Times New Roman"/>
        <family val="1"/>
      </rPr>
      <t>02</t>
    </r>
    <r>
      <rPr>
        <sz val="10.5"/>
        <color theme="1"/>
        <rFont val="宋体"/>
        <family val="3"/>
        <charset val="134"/>
      </rPr>
      <t>日第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个分析批中制备。</t>
    </r>
    <phoneticPr fontId="4" type="noConversion"/>
  </si>
  <si>
    <r>
      <rPr>
        <sz val="10.5"/>
        <color theme="1"/>
        <rFont val="宋体"/>
        <family val="3"/>
        <charset val="134"/>
      </rPr>
      <t>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：处理后样品再进样重现性所使用的样品于</t>
    </r>
    <r>
      <rPr>
        <sz val="10.5"/>
        <color theme="1"/>
        <rFont val="Times New Roman"/>
        <family val="3"/>
      </rPr>
      <t>2025</t>
    </r>
    <r>
      <rPr>
        <sz val="10.5"/>
        <color theme="1"/>
        <rFont val="宋体"/>
        <family val="3"/>
        <charset val="134"/>
      </rPr>
      <t>年</t>
    </r>
    <r>
      <rPr>
        <sz val="10.5"/>
        <color theme="1"/>
        <rFont val="Times New Roman"/>
        <family val="3"/>
      </rPr>
      <t>09</t>
    </r>
    <r>
      <rPr>
        <sz val="10.5"/>
        <color theme="1"/>
        <rFont val="宋体"/>
        <family val="3"/>
        <charset val="134"/>
      </rPr>
      <t>月</t>
    </r>
    <r>
      <rPr>
        <sz val="10.5"/>
        <color theme="1"/>
        <rFont val="Times New Roman"/>
        <family val="3"/>
      </rPr>
      <t>03</t>
    </r>
    <r>
      <rPr>
        <sz val="10.5"/>
        <color theme="1"/>
        <rFont val="宋体"/>
        <family val="3"/>
        <charset val="134"/>
      </rPr>
      <t>日第</t>
    </r>
    <r>
      <rPr>
        <sz val="10.5"/>
        <color theme="1"/>
        <rFont val="Times New Roman"/>
        <family val="3"/>
      </rPr>
      <t>2</t>
    </r>
    <r>
      <rPr>
        <sz val="10.5"/>
        <color theme="1"/>
        <rFont val="宋体"/>
        <family val="3"/>
        <charset val="134"/>
      </rPr>
      <t>个分析批中制备。</t>
    </r>
    <phoneticPr fontId="4" type="noConversion"/>
  </si>
  <si>
    <t>1*</t>
    <phoneticPr fontId="12" type="noConversion"/>
  </si>
  <si>
    <t>2*</t>
    <phoneticPr fontId="12" type="noConversion"/>
  </si>
  <si>
    <t>3*</t>
    <phoneticPr fontId="12" type="noConversion"/>
  </si>
  <si>
    <t>注释*：残留样品超出接受标准，已对分析批进行残留评估，评估结果是对质控样品和验证样品定量结果影响均小于5%，所以不影响分析批结果。</t>
    <phoneticPr fontId="12" type="noConversion"/>
  </si>
  <si>
    <t>8*</t>
    <phoneticPr fontId="12" type="noConversion"/>
  </si>
  <si>
    <t>检测批次编号：7</t>
    <phoneticPr fontId="12" type="noConversion"/>
  </si>
  <si>
    <t>ULOQ</t>
    <phoneticPr fontId="12" type="noConversion"/>
  </si>
  <si>
    <t>内标ISNS25318 保留时间处的峰面积</t>
  </si>
  <si>
    <t>符合接受标准的标曲样品定量下限的内标ISNS25318的平均峰面积值</t>
  </si>
  <si>
    <t>干扰占ISNS25318
的百分比％</t>
  </si>
  <si>
    <t>NS25318BV01 Only ULOQ 1</t>
  </si>
  <si>
    <t>NS25318BV01 Only ULOQ 2</t>
  </si>
  <si>
    <t>NS25318BV01 Only ULOQ 3</t>
  </si>
  <si>
    <t>NS25318BV01 Only IS 1</t>
  </si>
  <si>
    <t>NS25318BV01 Only IS 2</t>
  </si>
  <si>
    <t>NS25318BV01 Only IS 3</t>
  </si>
  <si>
    <t>KN-BM-25-699</t>
    <phoneticPr fontId="12" type="noConversion"/>
  </si>
  <si>
    <t>斯贝福（北京）生物技术有限公司</t>
    <phoneticPr fontId="12" type="noConversion"/>
  </si>
  <si>
    <t>KN-BM-25-533</t>
    <phoneticPr fontId="12" type="noConversion"/>
  </si>
  <si>
    <t>KN-BM-25-541</t>
    <phoneticPr fontId="12" type="noConversion"/>
  </si>
  <si>
    <t>氨水</t>
    <phoneticPr fontId="12" type="noConversion"/>
  </si>
  <si>
    <t>RENS25318</t>
  </si>
  <si>
    <t>KN-RS-25-0358</t>
    <phoneticPr fontId="12" type="noConversion"/>
  </si>
  <si>
    <t>F1423M01s</t>
  </si>
  <si>
    <t>避光，密封，-25 ~ -15ºC保存</t>
  </si>
  <si>
    <t>有效期至</t>
    <phoneticPr fontId="4" type="noConversion"/>
  </si>
  <si>
    <t>齐鲁制药有限公司</t>
  </si>
  <si>
    <t>Isotope Abaloparatide（阿巴帕肽同位素内标）</t>
  </si>
  <si>
    <t>KN-RS-25-0359</t>
    <phoneticPr fontId="12" type="noConversion"/>
  </si>
  <si>
    <t>EW47253-1-P1</t>
  </si>
  <si>
    <t>96.01%*</t>
    <phoneticPr fontId="12" type="noConversion"/>
  </si>
  <si>
    <t>武汉药明康德新药开发有限公司</t>
    <phoneticPr fontId="12" type="noConversion"/>
  </si>
  <si>
    <r>
      <t>注释</t>
    </r>
    <r>
      <rPr>
        <i/>
        <sz val="12"/>
        <color theme="1"/>
        <rFont val="Times New Roman"/>
        <family val="1"/>
      </rPr>
      <t>*</t>
    </r>
    <r>
      <rPr>
        <i/>
        <sz val="12"/>
        <color theme="1"/>
        <rFont val="宋体"/>
        <family val="3"/>
        <charset val="134"/>
      </rPr>
      <t>：主成分含量</t>
    </r>
    <r>
      <rPr>
        <i/>
        <sz val="12"/>
        <color theme="1"/>
        <rFont val="Times New Roman"/>
        <family val="1"/>
      </rPr>
      <t xml:space="preserve"> = HPLC</t>
    </r>
    <r>
      <rPr>
        <i/>
        <sz val="12"/>
        <color theme="1"/>
        <rFont val="宋体"/>
        <family val="3"/>
        <charset val="134"/>
      </rPr>
      <t>纯度</t>
    </r>
    <r>
      <rPr>
        <i/>
        <sz val="12"/>
        <color theme="1"/>
        <rFont val="Times New Roman"/>
        <family val="1"/>
      </rPr>
      <t>% ×</t>
    </r>
    <r>
      <rPr>
        <i/>
        <sz val="12"/>
        <color theme="1"/>
        <rFont val="宋体"/>
        <family val="3"/>
        <charset val="134"/>
      </rPr>
      <t>盐系数</t>
    </r>
    <r>
      <rPr>
        <i/>
        <sz val="12"/>
        <color theme="1"/>
        <rFont val="Times New Roman"/>
        <family val="1"/>
      </rPr>
      <t xml:space="preserve"> = 96.01%×3981.5/4095.5=93.3%</t>
    </r>
  </si>
  <si>
    <t>RENS25318</t>
    <phoneticPr fontId="12" type="noConversion"/>
  </si>
  <si>
    <t>RENS25318：2%溶血符合接受标准</t>
  </si>
  <si>
    <t>待测物RENS25318保留时间处的峰面积</t>
  </si>
  <si>
    <t>符合接受标准的定量下限RENS25318峰面积均值</t>
  </si>
  <si>
    <t>干扰占RENS25318
的百分比％</t>
  </si>
  <si>
    <t>ISNS25318</t>
  </si>
  <si>
    <t>RENS25318：RENS25318峰面积与内标ISNS25318峰面积比</t>
  </si>
  <si>
    <t>空白血浆中内源性组份对RENS25318和内标ISNS25318 的干扰符合接受标准</t>
  </si>
  <si>
    <t>注释*：工作液来自项目NS25318BV01。</t>
  </si>
  <si>
    <t>Shimadzu</t>
  </si>
  <si>
    <t>序列号：A200878</t>
    <phoneticPr fontId="4" type="noConversion"/>
  </si>
  <si>
    <t>50.0°C</t>
    <phoneticPr fontId="4" type="noConversion"/>
  </si>
  <si>
    <t>SD大鼠血浆</t>
    <phoneticPr fontId="4" type="noConversion"/>
  </si>
  <si>
    <t>30 μL</t>
    <phoneticPr fontId="4" type="noConversion"/>
  </si>
  <si>
    <t>斯贝福（北京）生物技术有限公司/上海益诺思生物技术股份有限公司</t>
    <phoneticPr fontId="4" type="noConversion"/>
  </si>
  <si>
    <t>10 μL</t>
    <phoneticPr fontId="4" type="noConversion"/>
  </si>
  <si>
    <t>RENS25318：待测物保留时间CV≤ 0.4%；内标保留时间CV≤ 0.4%；面积比CV≤8.0%</t>
    <phoneticPr fontId="4" type="noConversion"/>
  </si>
  <si>
    <t>内标残留≤0.7%</t>
    <phoneticPr fontId="4" type="noConversion"/>
  </si>
  <si>
    <t>除分析批1,2,3,8外待测物残留≤13.6%，对分析批1,2,3,8进行残留评估，评估结果是对质控样品和验证样品定量结果影响均小于5%。</t>
    <phoneticPr fontId="4" type="noConversion"/>
  </si>
  <si>
    <t>处理后样品再进样重现性</t>
  </si>
  <si>
    <r>
      <t>TRIPLE QUAD</t>
    </r>
    <r>
      <rPr>
        <vertAlign val="superscript"/>
        <sz val="10.5"/>
        <color theme="1"/>
        <rFont val="Times New Roman"/>
        <family val="1"/>
      </rPr>
      <t>TM</t>
    </r>
    <r>
      <rPr>
        <sz val="10.5"/>
        <color theme="1"/>
        <rFont val="Times New Roman"/>
        <family val="1"/>
      </rPr>
      <t xml:space="preserve"> 6500</t>
    </r>
    <r>
      <rPr>
        <vertAlign val="superscript"/>
        <sz val="10.5"/>
        <color theme="1"/>
        <rFont val="Times New Roman"/>
        <family val="1"/>
      </rPr>
      <t>+</t>
    </r>
    <phoneticPr fontId="4" type="noConversion"/>
  </si>
  <si>
    <r>
      <t>RENS25318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-70 ~ -90 °C</t>
    </r>
    <r>
      <rPr>
        <sz val="10.5"/>
        <color theme="1"/>
        <rFont val="宋体"/>
        <family val="3"/>
        <charset val="134"/>
      </rPr>
      <t>下放置可稳定至少</t>
    </r>
    <r>
      <rPr>
        <sz val="10.5"/>
        <color theme="1"/>
        <rFont val="Times New Roman"/>
        <family val="1"/>
      </rPr>
      <t>95</t>
    </r>
    <r>
      <rPr>
        <sz val="10.5"/>
        <color theme="1"/>
        <rFont val="宋体"/>
        <family val="3"/>
        <charset val="134"/>
      </rPr>
      <t>天</t>
    </r>
    <phoneticPr fontId="4" type="noConversion"/>
  </si>
  <si>
    <r>
      <rPr>
        <sz val="10.5"/>
        <color theme="1"/>
        <rFont val="宋体"/>
        <family val="3"/>
        <charset val="134"/>
      </rPr>
      <t>系统适用性，标准曲线及范围，第三批批内准确度和精密度，处理后样品稳定性</t>
    </r>
    <r>
      <rPr>
        <vertAlign val="superscript"/>
        <sz val="10.5"/>
        <color theme="1"/>
        <rFont val="Times New Roman"/>
        <family val="1"/>
      </rPr>
      <t>1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，基质样品冻融稳定性，基质样品短期稳定性，溶血效应，溶血基质选择性，分析批最大进样针数（</t>
    </r>
    <r>
      <rPr>
        <sz val="10.5"/>
        <color theme="1"/>
        <rFont val="Times New Roman"/>
        <family val="3"/>
      </rPr>
      <t>101</t>
    </r>
    <r>
      <rPr>
        <sz val="10.5"/>
        <color theme="1"/>
        <rFont val="微软雅黑"/>
        <family val="3"/>
        <charset val="134"/>
      </rPr>
      <t>针），</t>
    </r>
    <r>
      <rPr>
        <sz val="10.5"/>
        <color theme="1"/>
        <rFont val="宋体"/>
        <family val="3"/>
        <charset val="134"/>
      </rPr>
      <t>残留评价</t>
    </r>
    <phoneticPr fontId="4" type="noConversion"/>
  </si>
  <si>
    <t>系统适用性，待测物溶液稳定性</t>
    <phoneticPr fontId="4" type="noConversion"/>
  </si>
  <si>
    <t>上海阿拉丁生化科技股份有限公司</t>
    <phoneticPr fontId="12" type="noConversion"/>
  </si>
  <si>
    <t>湿含量</t>
    <phoneticPr fontId="12" type="noConversion"/>
  </si>
  <si>
    <t>LC-40D x3</t>
    <phoneticPr fontId="4" type="noConversion"/>
  </si>
  <si>
    <r>
      <t>5.1.2.</t>
    </r>
    <r>
      <rPr>
        <sz val="10.5"/>
        <color theme="1"/>
        <rFont val="宋体"/>
        <family val="2"/>
      </rPr>
      <t>内标</t>
    </r>
    <phoneticPr fontId="12" type="noConversion"/>
  </si>
  <si>
    <r>
      <rPr>
        <sz val="10.5"/>
        <color theme="1"/>
        <rFont val="宋体"/>
        <family val="3"/>
        <charset val="134"/>
      </rPr>
      <t>化合物名称</t>
    </r>
    <r>
      <rPr>
        <sz val="10.5"/>
        <color theme="1"/>
        <rFont val="Times New Roman"/>
        <family val="1"/>
      </rPr>
      <t> </t>
    </r>
  </si>
  <si>
    <r>
      <rPr>
        <sz val="10.5"/>
        <color theme="1"/>
        <rFont val="宋体"/>
        <family val="3"/>
        <charset val="134"/>
      </rPr>
      <t>化合物代码</t>
    </r>
  </si>
  <si>
    <r>
      <t>ISNS25318</t>
    </r>
    <r>
      <rPr>
        <sz val="10.5"/>
        <color theme="1"/>
        <rFont val="宋体"/>
        <family val="3"/>
        <charset val="134"/>
      </rPr>
      <t>三氟乙酸盐</t>
    </r>
    <phoneticPr fontId="12" type="noConversion"/>
  </si>
  <si>
    <r>
      <rPr>
        <sz val="10.5"/>
        <color theme="1"/>
        <rFont val="宋体"/>
        <family val="3"/>
        <charset val="134"/>
      </rPr>
      <t>标准品登记号</t>
    </r>
  </si>
  <si>
    <r>
      <rPr>
        <sz val="10.5"/>
        <color theme="1"/>
        <rFont val="宋体"/>
        <family val="3"/>
        <charset val="134"/>
      </rPr>
      <t>批号</t>
    </r>
  </si>
  <si>
    <r>
      <rPr>
        <sz val="10.5"/>
        <color theme="1"/>
        <rFont val="宋体"/>
        <family val="3"/>
        <charset val="134"/>
      </rPr>
      <t>保存条件</t>
    </r>
    <phoneticPr fontId="4" type="noConversion"/>
  </si>
  <si>
    <r>
      <t>-25 ~ -15ºC</t>
    </r>
    <r>
      <rPr>
        <sz val="10.5"/>
        <color theme="1"/>
        <rFont val="宋体"/>
        <family val="3"/>
        <charset val="134"/>
      </rPr>
      <t>，避光，干燥</t>
    </r>
    <phoneticPr fontId="12" type="noConversion"/>
  </si>
  <si>
    <r>
      <rPr>
        <sz val="10.5"/>
        <color theme="1"/>
        <rFont val="宋体"/>
        <family val="3"/>
        <charset val="134"/>
      </rPr>
      <t>来源</t>
    </r>
  </si>
  <si>
    <r>
      <rPr>
        <sz val="10.5"/>
        <color theme="1"/>
        <rFont val="宋体"/>
        <family val="3"/>
        <charset val="134"/>
      </rPr>
      <t>检测时间</t>
    </r>
  </si>
  <si>
    <r>
      <t xml:space="preserve"> </t>
    </r>
    <r>
      <rPr>
        <sz val="10.5"/>
        <color theme="1"/>
        <rFont val="宋体"/>
        <family val="3"/>
        <charset val="134"/>
      </rPr>
      <t>检测批次</t>
    </r>
  </si>
  <si>
    <r>
      <t xml:space="preserve"> </t>
    </r>
    <r>
      <rPr>
        <sz val="10.5"/>
        <color theme="1"/>
        <rFont val="宋体"/>
        <family val="3"/>
        <charset val="134"/>
      </rPr>
      <t>样品名称</t>
    </r>
  </si>
  <si>
    <r>
      <rPr>
        <sz val="10.5"/>
        <color theme="1"/>
        <rFont val="宋体"/>
        <family val="3"/>
        <charset val="134"/>
      </rPr>
      <t>试验条件：</t>
    </r>
    <r>
      <rPr>
        <sz val="10.5"/>
        <color theme="1"/>
        <rFont val="Times New Roman"/>
        <family val="1"/>
      </rPr>
      <t>-70~-90°C</t>
    </r>
    <r>
      <rPr>
        <sz val="10.5"/>
        <color theme="1"/>
        <rFont val="宋体"/>
        <family val="3"/>
        <charset val="134"/>
      </rPr>
      <t>条件下</t>
    </r>
    <r>
      <rPr>
        <sz val="10.5"/>
        <color theme="1"/>
        <rFont val="Times New Roman"/>
        <family val="1"/>
      </rPr>
      <t>95</t>
    </r>
    <r>
      <rPr>
        <sz val="10.5"/>
        <color theme="1"/>
        <rFont val="宋体"/>
        <family val="3"/>
        <charset val="134"/>
      </rPr>
      <t>天</t>
    </r>
    <phoneticPr fontId="12" type="noConversion"/>
  </si>
  <si>
    <r>
      <rPr>
        <sz val="10.5"/>
        <color theme="1"/>
        <rFont val="宋体"/>
        <family val="3"/>
        <charset val="134"/>
      </rPr>
      <t>检测批次编号</t>
    </r>
  </si>
  <si>
    <r>
      <rPr>
        <sz val="10.5"/>
        <color theme="1"/>
        <rFont val="宋体"/>
        <family val="3"/>
        <charset val="134"/>
      </rPr>
      <t>准确度偏差</t>
    </r>
    <r>
      <rPr>
        <sz val="10.5"/>
        <color theme="1"/>
        <rFont val="Times New Roman"/>
        <family val="1"/>
      </rPr>
      <t>%</t>
    </r>
  </si>
  <si>
    <r>
      <rPr>
        <sz val="10.5"/>
        <color theme="1"/>
        <rFont val="宋体"/>
        <family val="3"/>
        <charset val="134"/>
      </rPr>
      <t>长期稳定性样品配置日期：</t>
    </r>
  </si>
  <si>
    <r>
      <rPr>
        <sz val="10.5"/>
        <color theme="1"/>
        <rFont val="宋体"/>
        <family val="3"/>
        <charset val="134"/>
      </rPr>
      <t>长期稳定性样品处理日期：</t>
    </r>
  </si>
  <si>
    <r>
      <rPr>
        <sz val="10.5"/>
        <color theme="1"/>
        <rFont val="宋体"/>
        <family val="3"/>
        <charset val="134"/>
      </rPr>
      <t>平均值</t>
    </r>
  </si>
  <si>
    <r>
      <rPr>
        <sz val="10.5"/>
        <color theme="1"/>
        <rFont val="宋体"/>
        <family val="3"/>
        <charset val="134"/>
      </rPr>
      <t>准确度</t>
    </r>
    <r>
      <rPr>
        <sz val="10.5"/>
        <color theme="1"/>
        <rFont val="Times New Roman"/>
        <family val="1"/>
      </rPr>
      <t>%</t>
    </r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</si>
  <si>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17</t>
    </r>
    <r>
      <rPr>
        <sz val="10.5"/>
        <color theme="1"/>
        <rFont val="宋体"/>
        <family val="3"/>
        <charset val="134"/>
      </rPr>
      <t>：工作液长期稳定性（</t>
    </r>
    <r>
      <rPr>
        <sz val="10.5"/>
        <color theme="1"/>
        <rFont val="Times New Roman"/>
        <family val="1"/>
      </rPr>
      <t>ULOQ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LLOQ</t>
    </r>
    <r>
      <rPr>
        <sz val="10.5"/>
        <color theme="1"/>
        <rFont val="宋体"/>
        <family val="3"/>
        <charset val="134"/>
      </rPr>
      <t>工作液稳定性）</t>
    </r>
    <phoneticPr fontId="12" type="noConversion"/>
  </si>
  <si>
    <r>
      <rPr>
        <sz val="10.5"/>
        <color theme="1"/>
        <rFont val="宋体"/>
        <family val="3"/>
        <charset val="134"/>
      </rPr>
      <t>储存条件：</t>
    </r>
    <r>
      <rPr>
        <sz val="10.5"/>
        <color theme="1"/>
        <rFont val="Times New Roman"/>
        <family val="1"/>
      </rPr>
      <t>-70~-90 °C</t>
    </r>
    <r>
      <rPr>
        <sz val="10.5"/>
        <color theme="1"/>
        <rFont val="宋体"/>
        <family val="3"/>
        <charset val="134"/>
      </rPr>
      <t>下</t>
    </r>
    <r>
      <rPr>
        <sz val="10.5"/>
        <color theme="1"/>
        <rFont val="Times New Roman"/>
        <family val="1"/>
      </rPr>
      <t>88</t>
    </r>
    <r>
      <rPr>
        <sz val="10.5"/>
        <color theme="1"/>
        <rFont val="宋体"/>
        <family val="3"/>
        <charset val="134"/>
      </rPr>
      <t>天</t>
    </r>
    <phoneticPr fontId="12" type="noConversion"/>
  </si>
  <si>
    <r>
      <rPr>
        <sz val="10.5"/>
        <color theme="1"/>
        <rFont val="宋体"/>
        <family val="3"/>
        <charset val="134"/>
      </rPr>
      <t>储存条件：</t>
    </r>
    <r>
      <rPr>
        <sz val="10.5"/>
        <color theme="1"/>
        <rFont val="Times New Roman"/>
        <family val="1"/>
      </rPr>
      <t>-70~-90 °C</t>
    </r>
    <r>
      <rPr>
        <sz val="10.5"/>
        <color theme="1"/>
        <rFont val="宋体"/>
        <family val="3"/>
        <charset val="134"/>
      </rPr>
      <t>下</t>
    </r>
    <r>
      <rPr>
        <sz val="10.5"/>
        <color theme="1"/>
        <rFont val="Times New Roman"/>
        <family val="1"/>
      </rPr>
      <t>88</t>
    </r>
    <r>
      <rPr>
        <sz val="10.5"/>
        <color theme="1"/>
        <rFont val="宋体"/>
        <family val="1"/>
        <charset val="134"/>
      </rPr>
      <t>天</t>
    </r>
    <phoneticPr fontId="12" type="noConversion"/>
  </si>
  <si>
    <r>
      <rPr>
        <sz val="10.5"/>
        <color theme="1"/>
        <rFont val="宋体"/>
        <family val="3"/>
        <charset val="134"/>
      </rPr>
      <t>检测峰面积比</t>
    </r>
  </si>
  <si>
    <r>
      <rPr>
        <sz val="10.5"/>
        <color theme="1"/>
        <rFont val="宋体"/>
        <family val="3"/>
        <charset val="134"/>
      </rPr>
      <t>参比样品</t>
    </r>
    <phoneticPr fontId="4" type="noConversion"/>
  </si>
  <si>
    <r>
      <rPr>
        <sz val="10.5"/>
        <color theme="1"/>
        <rFont val="宋体"/>
        <family val="3"/>
        <charset val="134"/>
      </rPr>
      <t>稳定性考察样品</t>
    </r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</si>
  <si>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16</t>
    </r>
    <r>
      <rPr>
        <sz val="10.5"/>
        <color theme="1"/>
        <rFont val="宋体"/>
        <family val="3"/>
        <charset val="134"/>
      </rPr>
      <t>：储备液长期稳定性</t>
    </r>
    <phoneticPr fontId="12" type="noConversion"/>
  </si>
  <si>
    <r>
      <rPr>
        <sz val="10.5"/>
        <color theme="1"/>
        <rFont val="宋体"/>
        <family val="3"/>
        <charset val="134"/>
      </rPr>
      <t>待测物</t>
    </r>
  </si>
  <si>
    <r>
      <rPr>
        <sz val="10.5"/>
        <color theme="1"/>
        <rFont val="宋体"/>
        <family val="3"/>
        <charset val="134"/>
      </rPr>
      <t>储存条件：</t>
    </r>
    <r>
      <rPr>
        <sz val="10.5"/>
        <color theme="1"/>
        <rFont val="Times New Roman"/>
        <family val="3"/>
      </rPr>
      <t>-70~-90 °C</t>
    </r>
    <r>
      <rPr>
        <sz val="10.5"/>
        <color theme="1"/>
        <rFont val="宋体"/>
        <family val="3"/>
        <charset val="134"/>
      </rPr>
      <t>下</t>
    </r>
    <r>
      <rPr>
        <sz val="10.5"/>
        <color theme="1"/>
        <rFont val="Times New Roman"/>
        <family val="3"/>
      </rPr>
      <t>88</t>
    </r>
    <r>
      <rPr>
        <sz val="10.5"/>
        <color theme="1"/>
        <rFont val="宋体"/>
        <family val="3"/>
        <charset val="134"/>
      </rPr>
      <t>天</t>
    </r>
    <phoneticPr fontId="12" type="noConversion"/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</si>
  <si>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15</t>
    </r>
    <r>
      <rPr>
        <sz val="10.5"/>
        <color theme="1"/>
        <rFont val="宋体"/>
        <family val="3"/>
        <charset val="134"/>
      </rPr>
      <t>：工作液短期稳定性（</t>
    </r>
    <r>
      <rPr>
        <sz val="10.5"/>
        <color theme="1"/>
        <rFont val="Times New Roman"/>
        <family val="1"/>
      </rPr>
      <t>ULOQ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LLOQ</t>
    </r>
    <r>
      <rPr>
        <sz val="10.5"/>
        <color theme="1"/>
        <rFont val="宋体"/>
        <family val="3"/>
        <charset val="134"/>
      </rPr>
      <t>工作液稳定性）</t>
    </r>
    <phoneticPr fontId="12" type="noConversion"/>
  </si>
  <si>
    <r>
      <rPr>
        <sz val="10.5"/>
        <color theme="1"/>
        <rFont val="宋体"/>
        <family val="3"/>
        <charset val="134"/>
      </rPr>
      <t>工作液开始放置时间：</t>
    </r>
  </si>
  <si>
    <r>
      <rPr>
        <sz val="10.5"/>
        <color theme="1"/>
        <rFont val="宋体"/>
        <family val="3"/>
        <charset val="134"/>
      </rPr>
      <t>工作液放置结束时间：</t>
    </r>
  </si>
  <si>
    <r>
      <rPr>
        <sz val="10.5"/>
        <color theme="1"/>
        <rFont val="宋体"/>
        <family val="3"/>
        <charset val="134"/>
      </rPr>
      <t>放置时间：</t>
    </r>
  </si>
  <si>
    <r>
      <rPr>
        <sz val="10.5"/>
        <color theme="1"/>
        <rFont val="宋体"/>
        <family val="3"/>
        <charset val="134"/>
      </rPr>
      <t>储存条件：室温白光</t>
    </r>
    <r>
      <rPr>
        <sz val="10.5"/>
        <color theme="1"/>
        <rFont val="Times New Roman"/>
        <family val="1"/>
      </rPr>
      <t>22</t>
    </r>
    <r>
      <rPr>
        <sz val="10.5"/>
        <color theme="1"/>
        <rFont val="宋体"/>
        <family val="3"/>
        <charset val="134"/>
      </rPr>
      <t>小时</t>
    </r>
    <phoneticPr fontId="12" type="noConversion"/>
  </si>
  <si>
    <r>
      <rPr>
        <sz val="10.5"/>
        <color theme="1"/>
        <rFont val="宋体"/>
        <family val="3"/>
        <charset val="134"/>
      </rPr>
      <t>储备液开始放置时间：</t>
    </r>
  </si>
  <si>
    <r>
      <rPr>
        <sz val="10.5"/>
        <color theme="1"/>
        <rFont val="宋体"/>
        <family val="3"/>
        <charset val="134"/>
      </rPr>
      <t>储备液放置结束时间：</t>
    </r>
  </si>
  <si>
    <r>
      <rPr>
        <sz val="10.5"/>
        <color theme="1"/>
        <rFont val="宋体"/>
        <family val="3"/>
        <charset val="134"/>
      </rPr>
      <t>检测日期</t>
    </r>
  </si>
  <si>
    <r>
      <rPr>
        <sz val="10.5"/>
        <color theme="1"/>
        <rFont val="宋体"/>
        <family val="3"/>
        <charset val="134"/>
      </rPr>
      <t>检测日期</t>
    </r>
    <phoneticPr fontId="4" type="noConversion"/>
  </si>
  <si>
    <r>
      <rPr>
        <sz val="10.5"/>
        <color theme="1"/>
        <rFont val="宋体"/>
        <family val="3"/>
        <charset val="134"/>
      </rPr>
      <t>检测批次编号</t>
    </r>
    <phoneticPr fontId="4" type="noConversion"/>
  </si>
  <si>
    <r>
      <rPr>
        <sz val="10.5"/>
        <color theme="1"/>
        <rFont val="宋体"/>
        <family val="3"/>
        <charset val="134"/>
      </rPr>
      <t>斜率</t>
    </r>
  </si>
  <si>
    <r>
      <rPr>
        <sz val="10.5"/>
        <color theme="1"/>
        <rFont val="宋体"/>
        <family val="3"/>
        <charset val="134"/>
      </rPr>
      <t>截距</t>
    </r>
  </si>
  <si>
    <r>
      <t>R</t>
    </r>
    <r>
      <rPr>
        <vertAlign val="superscript"/>
        <sz val="10.5"/>
        <color theme="1"/>
        <rFont val="Times New Roman"/>
        <family val="1"/>
      </rPr>
      <t>2</t>
    </r>
  </si>
  <si>
    <r>
      <t>LLOQ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ng/mL</t>
    </r>
    <r>
      <rPr>
        <sz val="10.5"/>
        <color theme="1"/>
        <rFont val="宋体"/>
        <family val="3"/>
        <charset val="134"/>
      </rPr>
      <t>）</t>
    </r>
    <phoneticPr fontId="4" type="noConversion"/>
  </si>
  <si>
    <r>
      <t xml:space="preserve">ULOQ
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ng/mL</t>
    </r>
    <r>
      <rPr>
        <sz val="10.5"/>
        <color theme="1"/>
        <rFont val="宋体"/>
        <family val="3"/>
        <charset val="134"/>
      </rPr>
      <t>）</t>
    </r>
    <phoneticPr fontId="4" type="noConversion"/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</si>
  <si>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 xml:space="preserve">3 </t>
    </r>
    <r>
      <rPr>
        <sz val="10.5"/>
        <color theme="1"/>
        <rFont val="宋体"/>
        <family val="3"/>
        <charset val="134"/>
      </rPr>
      <t>：批量样品检测过程的残留</t>
    </r>
    <phoneticPr fontId="12" type="noConversion"/>
  </si>
  <si>
    <r>
      <t>Carryover</t>
    </r>
    <r>
      <rPr>
        <sz val="10.5"/>
        <color theme="1"/>
        <rFont val="宋体"/>
        <family val="3"/>
        <charset val="134"/>
      </rPr>
      <t>样品中待测物残留峰面积</t>
    </r>
    <phoneticPr fontId="4" type="noConversion"/>
  </si>
  <si>
    <r>
      <t>Carryover</t>
    </r>
    <r>
      <rPr>
        <sz val="10.5"/>
        <color theme="1"/>
        <rFont val="宋体"/>
        <family val="3"/>
        <charset val="134"/>
      </rPr>
      <t>样品中内标残留峰面积</t>
    </r>
    <phoneticPr fontId="4" type="noConversion"/>
  </si>
  <si>
    <r>
      <t xml:space="preserve">LLOQ </t>
    </r>
    <r>
      <rPr>
        <sz val="10.5"/>
        <color theme="1"/>
        <rFont val="宋体"/>
        <family val="3"/>
        <charset val="134"/>
      </rPr>
      <t>标曲样品待测物峰面积</t>
    </r>
    <phoneticPr fontId="4" type="noConversion"/>
  </si>
  <si>
    <r>
      <t>LLOQ</t>
    </r>
    <r>
      <rPr>
        <sz val="10.5"/>
        <color theme="1"/>
        <rFont val="宋体"/>
        <family val="3"/>
        <charset val="134"/>
      </rPr>
      <t>标曲样品内标峰面积</t>
    </r>
    <phoneticPr fontId="4" type="noConversion"/>
  </si>
  <si>
    <r>
      <rPr>
        <sz val="10.5"/>
        <color theme="1"/>
        <rFont val="宋体"/>
        <family val="3"/>
        <charset val="134"/>
      </rPr>
      <t>符合接受标准的</t>
    </r>
    <r>
      <rPr>
        <sz val="10.5"/>
        <color theme="1"/>
        <rFont val="Times New Roman"/>
        <family val="1"/>
      </rPr>
      <t xml:space="preserve">LLOQ </t>
    </r>
    <r>
      <rPr>
        <sz val="10.5"/>
        <color theme="1"/>
        <rFont val="宋体"/>
        <family val="3"/>
        <charset val="134"/>
      </rPr>
      <t>标曲样品待测物峰面积均值</t>
    </r>
    <phoneticPr fontId="4" type="noConversion"/>
  </si>
  <si>
    <r>
      <rPr>
        <sz val="10.5"/>
        <color theme="1"/>
        <rFont val="宋体"/>
        <family val="3"/>
        <charset val="134"/>
      </rPr>
      <t>符合接受标准的</t>
    </r>
    <r>
      <rPr>
        <sz val="10.5"/>
        <color theme="1"/>
        <rFont val="Times New Roman"/>
        <family val="1"/>
      </rPr>
      <t xml:space="preserve">LLOQ </t>
    </r>
    <r>
      <rPr>
        <sz val="10.5"/>
        <color theme="1"/>
        <rFont val="宋体"/>
        <family val="3"/>
        <charset val="134"/>
      </rPr>
      <t>标曲样品内标峰面积均值</t>
    </r>
    <phoneticPr fontId="4" type="noConversion"/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</si>
  <si>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 xml:space="preserve">2 </t>
    </r>
    <r>
      <rPr>
        <sz val="10.5"/>
        <color theme="1"/>
        <rFont val="宋体"/>
        <family val="3"/>
        <charset val="134"/>
      </rPr>
      <t>：系统适用性</t>
    </r>
    <phoneticPr fontId="12" type="noConversion"/>
  </si>
  <si>
    <r>
      <rPr>
        <sz val="10.5"/>
        <color theme="1"/>
        <rFont val="宋体"/>
        <family val="3"/>
        <charset val="134"/>
      </rPr>
      <t>待测物保留时间</t>
    </r>
    <phoneticPr fontId="4" type="noConversion"/>
  </si>
  <si>
    <r>
      <rPr>
        <sz val="10.5"/>
        <color theme="1"/>
        <rFont val="宋体"/>
        <family val="3"/>
        <charset val="134"/>
      </rPr>
      <t>内标保留时间</t>
    </r>
  </si>
  <si>
    <r>
      <rPr>
        <sz val="10.5"/>
        <color theme="1"/>
        <rFont val="宋体"/>
        <family val="3"/>
        <charset val="134"/>
      </rPr>
      <t>检测内容</t>
    </r>
  </si>
  <si>
    <r>
      <rPr>
        <sz val="10.5"/>
        <color theme="1"/>
        <rFont val="宋体"/>
        <family val="3"/>
        <charset val="134"/>
      </rPr>
      <t>提取日期</t>
    </r>
    <phoneticPr fontId="4" type="noConversion"/>
  </si>
  <si>
    <r>
      <rPr>
        <sz val="10.5"/>
        <color theme="1"/>
        <rFont val="宋体"/>
        <family val="3"/>
        <charset val="134"/>
      </rPr>
      <t>分析批是否接受</t>
    </r>
    <phoneticPr fontId="4" type="noConversion"/>
  </si>
  <si>
    <r>
      <rPr>
        <sz val="10.5"/>
        <color theme="1"/>
        <rFont val="宋体"/>
        <family val="3"/>
        <charset val="134"/>
      </rPr>
      <t>设备编号</t>
    </r>
    <phoneticPr fontId="4" type="noConversion"/>
  </si>
  <si>
    <r>
      <t>系统适用性，标准曲线及范围，第一批批内准确度和精密度，特异性，稀释可靠性，稳定性样品T</t>
    </r>
    <r>
      <rPr>
        <vertAlign val="subscript"/>
        <sz val="10.5"/>
        <color theme="1"/>
        <rFont val="宋体"/>
        <family val="3"/>
        <charset val="134"/>
      </rPr>
      <t>0</t>
    </r>
    <r>
      <rPr>
        <sz val="10.5"/>
        <color theme="1"/>
        <rFont val="宋体"/>
        <family val="3"/>
        <charset val="134"/>
      </rPr>
      <t>，残留评价</t>
    </r>
    <phoneticPr fontId="4" type="noConversion"/>
  </si>
  <si>
    <r>
      <t>不适用</t>
    </r>
    <r>
      <rPr>
        <vertAlign val="superscript"/>
        <sz val="10.5"/>
        <color theme="1"/>
        <rFont val="宋体"/>
        <family val="3"/>
        <charset val="134"/>
      </rPr>
      <t>2</t>
    </r>
    <phoneticPr fontId="4" type="noConversion"/>
  </si>
  <si>
    <r>
      <rPr>
        <sz val="10.5"/>
        <color theme="1"/>
        <rFont val="宋体"/>
        <family val="3"/>
        <charset val="134"/>
      </rPr>
      <t>备注：</t>
    </r>
  </si>
  <si>
    <r>
      <t>SD</t>
    </r>
    <r>
      <rPr>
        <sz val="10.5"/>
        <color theme="1"/>
        <rFont val="宋体"/>
        <family val="3"/>
        <charset val="134"/>
      </rPr>
      <t>大鼠</t>
    </r>
    <r>
      <rPr>
        <sz val="10.5"/>
        <color theme="1"/>
        <rFont val="Times New Roman"/>
        <family val="1"/>
      </rPr>
      <t>EDTA-K</t>
    </r>
    <r>
      <rPr>
        <vertAlign val="subscript"/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血浆</t>
    </r>
    <phoneticPr fontId="12" type="noConversion"/>
  </si>
  <si>
    <r>
      <t>SD</t>
    </r>
    <r>
      <rPr>
        <sz val="10.5"/>
        <color theme="1"/>
        <rFont val="宋体"/>
        <family val="3"/>
        <charset val="134"/>
      </rPr>
      <t>大鼠</t>
    </r>
    <r>
      <rPr>
        <sz val="10.5"/>
        <color theme="1"/>
        <rFont val="Times New Roman"/>
        <family val="1"/>
      </rPr>
      <t>EDTA-K</t>
    </r>
    <r>
      <rPr>
        <vertAlign val="subscript"/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全血</t>
    </r>
    <phoneticPr fontId="12" type="noConversion"/>
  </si>
  <si>
    <r>
      <t>5.1.3.</t>
    </r>
    <r>
      <rPr>
        <sz val="11"/>
        <color theme="1"/>
        <rFont val="宋体"/>
        <family val="2"/>
      </rPr>
      <t>试剂</t>
    </r>
    <phoneticPr fontId="12" type="noConversion"/>
  </si>
  <si>
    <r>
      <rPr>
        <b/>
        <sz val="10.5"/>
        <color theme="1"/>
        <rFont val="DengXian"/>
        <family val="2"/>
      </rPr>
      <t>试剂</t>
    </r>
  </si>
  <si>
    <r>
      <rPr>
        <b/>
        <sz val="10.5"/>
        <color theme="1"/>
        <rFont val="DengXian"/>
        <family val="2"/>
      </rPr>
      <t>供应商</t>
    </r>
  </si>
  <si>
    <r>
      <rPr>
        <sz val="10.5"/>
        <color theme="1"/>
        <rFont val="DengXian"/>
        <family val="2"/>
      </rPr>
      <t>乙腈</t>
    </r>
  </si>
  <si>
    <r>
      <rPr>
        <sz val="10.5"/>
        <color theme="1"/>
        <rFont val="DengXian"/>
        <family val="2"/>
      </rPr>
      <t>甲醇</t>
    </r>
  </si>
  <si>
    <r>
      <rPr>
        <sz val="10.5"/>
        <color theme="1"/>
        <rFont val="DengXian"/>
        <family val="2"/>
      </rPr>
      <t>异丙醇</t>
    </r>
    <r>
      <rPr>
        <sz val="10.5"/>
        <color theme="1"/>
        <rFont val="Times New Roman"/>
        <family val="1"/>
      </rPr>
      <t xml:space="preserve"> </t>
    </r>
  </si>
  <si>
    <r>
      <rPr>
        <sz val="10.5"/>
        <color theme="1"/>
        <rFont val="DengXian"/>
        <family val="2"/>
      </rPr>
      <t>甲酸</t>
    </r>
    <r>
      <rPr>
        <sz val="10.5"/>
        <color theme="1"/>
        <rFont val="Times New Roman"/>
        <family val="1"/>
      </rPr>
      <t xml:space="preserve"> </t>
    </r>
  </si>
  <si>
    <r>
      <t>5.1.1.</t>
    </r>
    <r>
      <rPr>
        <sz val="10.5"/>
        <color theme="1"/>
        <rFont val="宋体"/>
        <family val="3"/>
        <charset val="134"/>
      </rPr>
      <t>标准品</t>
    </r>
    <phoneticPr fontId="12" type="noConversion"/>
  </si>
  <si>
    <r>
      <rPr>
        <sz val="10.5"/>
        <color theme="1"/>
        <rFont val="宋体"/>
        <family val="1"/>
        <charset val="134"/>
      </rPr>
      <t>阿巴帕肽（</t>
    </r>
    <r>
      <rPr>
        <sz val="10.5"/>
        <color theme="1"/>
        <rFont val="Times New Roman"/>
        <family val="1"/>
      </rPr>
      <t>Abaloparatide</t>
    </r>
    <r>
      <rPr>
        <sz val="10.5"/>
        <color theme="1"/>
        <rFont val="宋体"/>
        <family val="1"/>
        <charset val="134"/>
      </rPr>
      <t>）</t>
    </r>
    <phoneticPr fontId="12" type="noConversion"/>
  </si>
  <si>
    <r>
      <t xml:space="preserve">1.1 </t>
    </r>
    <r>
      <rPr>
        <sz val="10.5"/>
        <color theme="1"/>
        <rFont val="宋体"/>
        <family val="3"/>
        <charset val="134"/>
      </rPr>
      <t>检测方法概述</t>
    </r>
  </si>
  <si>
    <r>
      <rPr>
        <sz val="10.5"/>
        <color theme="1"/>
        <rFont val="宋体"/>
        <family val="3"/>
        <charset val="134"/>
      </rPr>
      <t>内标</t>
    </r>
  </si>
  <si>
    <r>
      <rPr>
        <sz val="10.5"/>
        <color theme="1"/>
        <rFont val="宋体"/>
        <family val="3"/>
        <charset val="134"/>
      </rPr>
      <t>分析方法</t>
    </r>
  </si>
  <si>
    <r>
      <t>NS25318-BA-001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LC-MS/MS</t>
    </r>
    <r>
      <rPr>
        <sz val="10.5"/>
        <color theme="1"/>
        <rFont val="宋体"/>
        <family val="1"/>
        <charset val="134"/>
      </rPr>
      <t>方法测定</t>
    </r>
    <r>
      <rPr>
        <sz val="10.5"/>
        <color theme="1"/>
        <rFont val="Times New Roman"/>
        <family val="1"/>
      </rPr>
      <t>SD</t>
    </r>
    <r>
      <rPr>
        <sz val="10.5"/>
        <color theme="1"/>
        <rFont val="宋体"/>
        <family val="1"/>
        <charset val="134"/>
      </rPr>
      <t>大鼠</t>
    </r>
    <r>
      <rPr>
        <sz val="10.5"/>
        <color theme="1"/>
        <rFont val="Times New Roman"/>
        <family val="1"/>
      </rPr>
      <t>EDTA-K</t>
    </r>
    <r>
      <rPr>
        <vertAlign val="subscript"/>
        <sz val="10.5"/>
        <color theme="1"/>
        <rFont val="Times New Roman"/>
        <family val="1"/>
      </rPr>
      <t>2</t>
    </r>
    <r>
      <rPr>
        <sz val="10.5"/>
        <color theme="1"/>
        <rFont val="宋体"/>
        <family val="1"/>
        <charset val="134"/>
      </rPr>
      <t>血浆样品中阿巴帕肽</t>
    </r>
    <r>
      <rPr>
        <sz val="10.5"/>
        <color theme="1"/>
        <rFont val="Times New Roman"/>
        <family val="1"/>
      </rPr>
      <t>(RENS25318)</t>
    </r>
    <r>
      <rPr>
        <sz val="10.5"/>
        <color theme="1"/>
        <rFont val="宋体"/>
        <family val="1"/>
        <charset val="134"/>
      </rPr>
      <t>的浓度</t>
    </r>
    <phoneticPr fontId="4" type="noConversion"/>
  </si>
  <si>
    <r>
      <rPr>
        <sz val="10.5"/>
        <color theme="1"/>
        <rFont val="宋体"/>
        <family val="3"/>
        <charset val="134"/>
      </rPr>
      <t>设备名称</t>
    </r>
  </si>
  <si>
    <r>
      <rPr>
        <sz val="10.5"/>
        <color theme="1"/>
        <rFont val="宋体"/>
        <family val="3"/>
        <charset val="134"/>
      </rPr>
      <t>制造商</t>
    </r>
  </si>
  <si>
    <r>
      <rPr>
        <sz val="10.5"/>
        <color theme="1"/>
        <rFont val="宋体"/>
        <family val="3"/>
        <charset val="134"/>
      </rPr>
      <t>型号</t>
    </r>
  </si>
  <si>
    <r>
      <rPr>
        <sz val="10.5"/>
        <color theme="1"/>
        <rFont val="宋体"/>
        <family val="3"/>
        <charset val="134"/>
      </rPr>
      <t>高效液相色谱</t>
    </r>
  </si>
  <si>
    <r>
      <rPr>
        <sz val="10.5"/>
        <color theme="1"/>
        <rFont val="宋体"/>
        <family val="3"/>
        <charset val="134"/>
      </rPr>
      <t>离子源</t>
    </r>
  </si>
  <si>
    <r>
      <t>Turbo-V</t>
    </r>
    <r>
      <rPr>
        <sz val="10.5"/>
        <color theme="1"/>
        <rFont val="宋体"/>
        <family val="3"/>
        <charset val="134"/>
      </rPr>
      <t>电喷雾离子源</t>
    </r>
    <phoneticPr fontId="12" type="noConversion"/>
  </si>
  <si>
    <r>
      <rPr>
        <sz val="10.5"/>
        <color theme="1"/>
        <rFont val="宋体"/>
        <family val="3"/>
        <charset val="134"/>
      </rPr>
      <t>检测器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串联质谱</t>
    </r>
  </si>
  <si>
    <r>
      <rPr>
        <sz val="10.5"/>
        <color theme="1"/>
        <rFont val="宋体"/>
        <family val="3"/>
        <charset val="134"/>
      </rPr>
      <t>数据采集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管理软件</t>
    </r>
    <phoneticPr fontId="4" type="noConversion"/>
  </si>
  <si>
    <r>
      <t>Analyst</t>
    </r>
    <r>
      <rPr>
        <sz val="10.5"/>
        <color theme="1"/>
        <rFont val="宋体"/>
        <family val="3"/>
        <charset val="134"/>
      </rPr>
      <t>数据采集软件（版本</t>
    </r>
    <r>
      <rPr>
        <sz val="10.5"/>
        <color theme="1"/>
        <rFont val="Times New Roman"/>
        <family val="1"/>
      </rPr>
      <t>1.7.3</t>
    </r>
    <r>
      <rPr>
        <sz val="10.5"/>
        <color theme="1"/>
        <rFont val="宋体"/>
        <family val="3"/>
        <charset val="134"/>
      </rPr>
      <t>），</t>
    </r>
    <r>
      <rPr>
        <sz val="10.5"/>
        <color theme="1"/>
        <rFont val="Times New Roman"/>
        <family val="1"/>
      </rPr>
      <t>Watson LIMS</t>
    </r>
    <r>
      <rPr>
        <sz val="10.5"/>
        <color theme="1"/>
        <rFont val="宋体"/>
        <family val="3"/>
        <charset val="134"/>
      </rPr>
      <t>（版本</t>
    </r>
    <r>
      <rPr>
        <sz val="10.5"/>
        <color theme="1"/>
        <rFont val="Times New Roman"/>
        <family val="1"/>
      </rPr>
      <t>7.4.2</t>
    </r>
    <r>
      <rPr>
        <sz val="10.5"/>
        <color theme="1"/>
        <rFont val="宋体"/>
        <family val="3"/>
        <charset val="134"/>
      </rPr>
      <t>）</t>
    </r>
    <phoneticPr fontId="4" type="noConversion"/>
  </si>
  <si>
    <r>
      <rPr>
        <sz val="10.5"/>
        <color theme="1"/>
        <rFont val="宋体"/>
        <family val="3"/>
        <charset val="134"/>
      </rPr>
      <t>离子化方式</t>
    </r>
    <phoneticPr fontId="12" type="noConversion"/>
  </si>
  <si>
    <r>
      <rPr>
        <sz val="10.5"/>
        <color theme="1"/>
        <rFont val="宋体"/>
        <family val="3"/>
        <charset val="134"/>
      </rPr>
      <t>电喷雾离子化正离子模式</t>
    </r>
    <phoneticPr fontId="4" type="noConversion"/>
  </si>
  <si>
    <r>
      <rPr>
        <sz val="10.5"/>
        <color theme="1"/>
        <rFont val="宋体"/>
        <family val="3"/>
        <charset val="134"/>
      </rPr>
      <t>扫描方式</t>
    </r>
  </si>
  <si>
    <r>
      <rPr>
        <sz val="10.5"/>
        <color theme="1"/>
        <rFont val="宋体"/>
        <family val="3"/>
        <charset val="134"/>
      </rPr>
      <t>多反应监测</t>
    </r>
  </si>
  <si>
    <r>
      <rPr>
        <sz val="10.5"/>
        <color theme="1"/>
        <rFont val="宋体"/>
        <family val="3"/>
        <charset val="134"/>
      </rPr>
      <t>色谱柱型号及所用序列号</t>
    </r>
    <phoneticPr fontId="4" type="noConversion"/>
  </si>
  <si>
    <r>
      <rPr>
        <sz val="10.5"/>
        <color theme="1"/>
        <rFont val="宋体"/>
        <family val="3"/>
        <charset val="134"/>
      </rPr>
      <t>型号：</t>
    </r>
    <r>
      <rPr>
        <sz val="10.5"/>
        <color theme="1"/>
        <rFont val="Times New Roman"/>
        <family val="1"/>
      </rPr>
      <t>ACE Excel 2 AQ 100 × 2.1 mm</t>
    </r>
    <phoneticPr fontId="4" type="noConversion"/>
  </si>
  <si>
    <r>
      <rPr>
        <sz val="10.5"/>
        <color theme="1"/>
        <rFont val="宋体"/>
        <family val="3"/>
        <charset val="134"/>
      </rPr>
      <t>流动相及流速</t>
    </r>
  </si>
  <si>
    <r>
      <rPr>
        <sz val="10.5"/>
        <color theme="1"/>
        <rFont val="宋体"/>
        <family val="3"/>
        <charset val="134"/>
      </rPr>
      <t>流动相</t>
    </r>
    <r>
      <rPr>
        <sz val="10.5"/>
        <color theme="1"/>
        <rFont val="Times New Roman"/>
        <family val="1"/>
      </rPr>
      <t>A</t>
    </r>
    <r>
      <rPr>
        <sz val="10.5"/>
        <color theme="1"/>
        <rFont val="宋体"/>
        <family val="3"/>
        <charset val="134"/>
      </rPr>
      <t>：含</t>
    </r>
    <r>
      <rPr>
        <sz val="10.5"/>
        <color theme="1"/>
        <rFont val="Times New Roman"/>
        <family val="3"/>
      </rPr>
      <t>0.3%</t>
    </r>
    <r>
      <rPr>
        <sz val="10.5"/>
        <color theme="1"/>
        <rFont val="宋体"/>
        <family val="3"/>
        <charset val="134"/>
      </rPr>
      <t>甲酸的水溶液</t>
    </r>
    <phoneticPr fontId="4" type="noConversion"/>
  </si>
  <si>
    <r>
      <rPr>
        <sz val="10.5"/>
        <color theme="1"/>
        <rFont val="宋体"/>
        <family val="3"/>
        <charset val="134"/>
      </rPr>
      <t>流动相</t>
    </r>
    <r>
      <rPr>
        <sz val="10.5"/>
        <color theme="1"/>
        <rFont val="Times New Roman"/>
        <family val="1"/>
      </rPr>
      <t>B</t>
    </r>
    <r>
      <rPr>
        <sz val="10.5"/>
        <color theme="1"/>
        <rFont val="宋体"/>
        <family val="3"/>
        <charset val="134"/>
      </rPr>
      <t>：含</t>
    </r>
    <r>
      <rPr>
        <sz val="10.5"/>
        <color theme="1"/>
        <rFont val="Times New Roman"/>
        <family val="3"/>
      </rPr>
      <t>0.3%</t>
    </r>
    <r>
      <rPr>
        <sz val="10.5"/>
        <color theme="1"/>
        <rFont val="宋体"/>
        <family val="3"/>
        <charset val="134"/>
      </rPr>
      <t>甲酸的乙腈溶液</t>
    </r>
    <phoneticPr fontId="4" type="noConversion"/>
  </si>
  <si>
    <r>
      <rPr>
        <sz val="10.5"/>
        <color theme="1"/>
        <rFont val="宋体"/>
        <family val="3"/>
        <charset val="134"/>
      </rPr>
      <t>流速：</t>
    </r>
    <r>
      <rPr>
        <sz val="10.5"/>
        <color theme="1"/>
        <rFont val="Times New Roman"/>
        <family val="1"/>
      </rPr>
      <t>0.50 mL/min</t>
    </r>
    <phoneticPr fontId="4" type="noConversion"/>
  </si>
  <si>
    <r>
      <rPr>
        <sz val="10.5"/>
        <color theme="1"/>
        <rFont val="宋体"/>
        <family val="3"/>
        <charset val="134"/>
      </rPr>
      <t>柱温</t>
    </r>
  </si>
  <si>
    <r>
      <rPr>
        <sz val="10.5"/>
        <color theme="1"/>
        <rFont val="宋体"/>
        <family val="3"/>
        <charset val="134"/>
      </rPr>
      <t>样品的生物基质</t>
    </r>
  </si>
  <si>
    <r>
      <rPr>
        <sz val="10.5"/>
        <color theme="1"/>
        <rFont val="宋体"/>
        <family val="3"/>
        <charset val="134"/>
      </rPr>
      <t>抗凝剂</t>
    </r>
  </si>
  <si>
    <r>
      <t>EDTA-K</t>
    </r>
    <r>
      <rPr>
        <vertAlign val="subscript"/>
        <sz val="10.5"/>
        <color theme="1"/>
        <rFont val="Times New Roman"/>
        <family val="1"/>
      </rPr>
      <t>2</t>
    </r>
    <phoneticPr fontId="4" type="noConversion"/>
  </si>
  <si>
    <r>
      <rPr>
        <sz val="10.5"/>
        <color theme="1"/>
        <rFont val="宋体"/>
        <family val="3"/>
        <charset val="134"/>
      </rPr>
      <t>生物基质来源</t>
    </r>
    <phoneticPr fontId="12" type="noConversion"/>
  </si>
  <si>
    <r>
      <rPr>
        <sz val="10.5"/>
        <color theme="1"/>
        <rFont val="宋体"/>
        <family val="3"/>
        <charset val="134"/>
      </rPr>
      <t>样品预处理方法</t>
    </r>
  </si>
  <si>
    <r>
      <rPr>
        <sz val="10.5"/>
        <color theme="1"/>
        <rFont val="宋体"/>
        <family val="3"/>
        <charset val="134"/>
      </rPr>
      <t>进样量</t>
    </r>
  </si>
  <si>
    <r>
      <rPr>
        <sz val="10.5"/>
        <color theme="1"/>
        <rFont val="宋体"/>
        <family val="3"/>
        <charset val="134"/>
      </rPr>
      <t>定量指标</t>
    </r>
  </si>
  <si>
    <r>
      <rPr>
        <sz val="10.5"/>
        <color theme="1"/>
        <rFont val="宋体"/>
        <family val="3"/>
        <charset val="134"/>
      </rPr>
      <t>回归方程</t>
    </r>
  </si>
  <si>
    <r>
      <rPr>
        <sz val="10.5"/>
        <color theme="1"/>
        <rFont val="宋体"/>
        <family val="3"/>
        <charset val="134"/>
      </rPr>
      <t>权重系数</t>
    </r>
  </si>
  <si>
    <r>
      <t>1/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x*x</t>
    </r>
    <r>
      <rPr>
        <sz val="10.5"/>
        <color theme="1"/>
        <rFont val="宋体"/>
        <family val="3"/>
        <charset val="134"/>
      </rPr>
      <t>）</t>
    </r>
  </si>
  <si>
    <r>
      <rPr>
        <sz val="10.5"/>
        <color theme="1"/>
        <rFont val="宋体"/>
        <family val="3"/>
        <charset val="134"/>
      </rPr>
      <t>线性范围</t>
    </r>
  </si>
  <si>
    <r>
      <t>RENS25318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0.100~50.000 ng/mL</t>
    </r>
    <phoneticPr fontId="4" type="noConversion"/>
  </si>
  <si>
    <r>
      <rPr>
        <sz val="10.5"/>
        <color theme="1"/>
        <rFont val="宋体"/>
        <family val="3"/>
        <charset val="134"/>
      </rPr>
      <t>最低定量限（</t>
    </r>
    <r>
      <rPr>
        <sz val="10.5"/>
        <color theme="1"/>
        <rFont val="Times New Roman"/>
        <family val="1"/>
      </rPr>
      <t>LLOQ</t>
    </r>
    <r>
      <rPr>
        <sz val="10.5"/>
        <color theme="1"/>
        <rFont val="宋体"/>
        <family val="3"/>
        <charset val="134"/>
      </rPr>
      <t>）</t>
    </r>
  </si>
  <si>
    <r>
      <t>RENS25318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0.100 ng/mL</t>
    </r>
    <phoneticPr fontId="4" type="noConversion"/>
  </si>
  <si>
    <r>
      <rPr>
        <sz val="10.5"/>
        <color theme="1"/>
        <rFont val="宋体"/>
        <family val="3"/>
        <charset val="134"/>
      </rPr>
      <t>最低质控浓度（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）</t>
    </r>
  </si>
  <si>
    <r>
      <rPr>
        <sz val="10.5"/>
        <color theme="1"/>
        <rFont val="宋体"/>
        <family val="3"/>
        <charset val="134"/>
      </rPr>
      <t>质控浓度（</t>
    </r>
    <r>
      <rPr>
        <sz val="10.5"/>
        <color theme="1"/>
        <rFont val="Times New Roman"/>
        <family val="1"/>
      </rPr>
      <t>QC</t>
    </r>
    <r>
      <rPr>
        <sz val="10.5"/>
        <color theme="1"/>
        <rFont val="宋体"/>
        <family val="3"/>
        <charset val="134"/>
      </rPr>
      <t>）</t>
    </r>
  </si>
  <si>
    <r>
      <t>RENS25318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0.300 ng/mL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>2.200 ng/mL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>15.000 ng/mL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>37.500 ng/mL</t>
    </r>
    <phoneticPr fontId="4" type="noConversion"/>
  </si>
  <si>
    <r>
      <rPr>
        <sz val="10.5"/>
        <color theme="1"/>
        <rFont val="宋体"/>
        <family val="3"/>
        <charset val="134"/>
      </rPr>
      <t>系统适用性</t>
    </r>
    <phoneticPr fontId="4" type="noConversion"/>
  </si>
  <si>
    <r>
      <rPr>
        <sz val="10.5"/>
        <color theme="1"/>
        <rFont val="宋体"/>
        <family val="3"/>
        <charset val="134"/>
      </rPr>
      <t>待测物残留</t>
    </r>
    <phoneticPr fontId="4" type="noConversion"/>
  </si>
  <si>
    <r>
      <rPr>
        <sz val="10.5"/>
        <color theme="1"/>
        <rFont val="宋体"/>
        <family val="3"/>
        <charset val="134"/>
      </rPr>
      <t>内标残留</t>
    </r>
    <r>
      <rPr>
        <sz val="10.5"/>
        <rFont val="Times New Roman"/>
        <family val="1"/>
      </rPr>
      <t/>
    </r>
    <phoneticPr fontId="4" type="noConversion"/>
  </si>
  <si>
    <r>
      <rPr>
        <sz val="10.5"/>
        <color theme="1"/>
        <rFont val="宋体"/>
        <family val="3"/>
        <charset val="134"/>
      </rPr>
      <t>选择性</t>
    </r>
    <phoneticPr fontId="4" type="noConversion"/>
  </si>
  <si>
    <r>
      <rPr>
        <sz val="10.5"/>
        <color theme="1"/>
        <rFont val="宋体"/>
        <family val="3"/>
        <charset val="134"/>
      </rPr>
      <t>特异性</t>
    </r>
    <phoneticPr fontId="4" type="noConversion"/>
  </si>
  <si>
    <r>
      <rPr>
        <sz val="10.5"/>
        <color theme="1"/>
        <rFont val="宋体"/>
        <family val="3"/>
        <charset val="134"/>
      </rPr>
      <t>待测物与内标间干扰符合接受标准</t>
    </r>
    <phoneticPr fontId="4" type="noConversion"/>
  </si>
  <si>
    <r>
      <rPr>
        <sz val="10.5"/>
        <color theme="1"/>
        <rFont val="宋体"/>
        <family val="3"/>
        <charset val="134"/>
      </rPr>
      <t>基质效应</t>
    </r>
    <phoneticPr fontId="4" type="noConversion"/>
  </si>
  <si>
    <r>
      <rPr>
        <sz val="10.5"/>
        <color theme="1"/>
        <rFont val="宋体"/>
        <family val="3"/>
        <charset val="134"/>
      </rPr>
      <t>基质效应符合接受标准</t>
    </r>
    <phoneticPr fontId="4" type="noConversion"/>
  </si>
  <si>
    <r>
      <rPr>
        <sz val="10.5"/>
        <color theme="1"/>
        <rFont val="宋体"/>
        <family val="3"/>
        <charset val="134"/>
      </rPr>
      <t>准确度和精密度</t>
    </r>
    <phoneticPr fontId="4" type="noConversion"/>
  </si>
  <si>
    <r>
      <rPr>
        <sz val="10.5"/>
        <color theme="1"/>
        <rFont val="宋体"/>
        <family val="3"/>
        <charset val="134"/>
      </rPr>
      <t>准确度（与理论浓度的偏差）（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宋体"/>
        <family val="3"/>
        <charset val="134"/>
      </rPr>
      <t>）范围</t>
    </r>
    <phoneticPr fontId="4" type="noConversion"/>
  </si>
  <si>
    <r>
      <rPr>
        <sz val="10.5"/>
        <color theme="1"/>
        <rFont val="宋体"/>
        <family val="3"/>
        <charset val="134"/>
      </rPr>
      <t>精密度最大值（</t>
    </r>
    <r>
      <rPr>
        <sz val="10.5"/>
        <color theme="1"/>
        <rFont val="Times New Roman"/>
        <family val="1"/>
      </rPr>
      <t>%CV</t>
    </r>
    <r>
      <rPr>
        <sz val="10.5"/>
        <color theme="1"/>
        <rFont val="宋体"/>
        <family val="3"/>
        <charset val="134"/>
      </rPr>
      <t>）</t>
    </r>
    <phoneticPr fontId="4" type="noConversion"/>
  </si>
  <si>
    <r>
      <rPr>
        <sz val="10.5"/>
        <color theme="1"/>
        <rFont val="宋体"/>
        <family val="3"/>
        <charset val="134"/>
      </rPr>
      <t>批内准确度和精密度（除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以外的所有浓度质控）</t>
    </r>
  </si>
  <si>
    <r>
      <t>RENS25318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0.2~11.2</t>
    </r>
    <phoneticPr fontId="4" type="noConversion"/>
  </si>
  <si>
    <r>
      <t>RENS25318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8.4</t>
    </r>
    <phoneticPr fontId="4" type="noConversion"/>
  </si>
  <si>
    <r>
      <rPr>
        <sz val="10.5"/>
        <color theme="1"/>
        <rFont val="宋体"/>
        <family val="3"/>
        <charset val="134"/>
      </rPr>
      <t>批内准确度和精密度（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）</t>
    </r>
  </si>
  <si>
    <r>
      <t>RENS25318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-2.0~15.0</t>
    </r>
    <phoneticPr fontId="4" type="noConversion"/>
  </si>
  <si>
    <r>
      <t>RENS25318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8.7</t>
    </r>
    <phoneticPr fontId="4" type="noConversion"/>
  </si>
  <si>
    <r>
      <rPr>
        <sz val="10.5"/>
        <color theme="1"/>
        <rFont val="宋体"/>
        <family val="3"/>
        <charset val="134"/>
      </rPr>
      <t>批间准确度和精密度（除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以外的所有浓度质控）</t>
    </r>
  </si>
  <si>
    <r>
      <t>RENS25318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3.1~7.8</t>
    </r>
    <phoneticPr fontId="4" type="noConversion"/>
  </si>
  <si>
    <r>
      <t>RENS25318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6.0</t>
    </r>
    <phoneticPr fontId="4" type="noConversion"/>
  </si>
  <si>
    <r>
      <rPr>
        <sz val="10.5"/>
        <color theme="1"/>
        <rFont val="宋体"/>
        <family val="3"/>
        <charset val="134"/>
      </rPr>
      <t>批间准确度和精密度（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）</t>
    </r>
  </si>
  <si>
    <r>
      <t>RENS25318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4.0</t>
    </r>
    <phoneticPr fontId="4" type="noConversion"/>
  </si>
  <si>
    <r>
      <t>RENS25318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10.6</t>
    </r>
    <phoneticPr fontId="4" type="noConversion"/>
  </si>
  <si>
    <r>
      <rPr>
        <sz val="10.5"/>
        <color theme="1"/>
        <rFont val="宋体"/>
        <family val="3"/>
        <charset val="134"/>
      </rPr>
      <t>待测物回收率</t>
    </r>
    <r>
      <rPr>
        <sz val="10.5"/>
        <rFont val="Times New Roman"/>
        <family val="1"/>
      </rPr>
      <t/>
    </r>
    <phoneticPr fontId="4" type="noConversion"/>
  </si>
  <si>
    <r>
      <t>RENS25318</t>
    </r>
    <r>
      <rPr>
        <sz val="10.5"/>
        <color theme="1"/>
        <rFont val="宋体"/>
        <family val="3"/>
        <charset val="134"/>
      </rPr>
      <t>浓度为</t>
    </r>
    <r>
      <rPr>
        <sz val="10.5"/>
        <color theme="1"/>
        <rFont val="Times New Roman"/>
        <family val="1"/>
      </rPr>
      <t>0.300 ng/mL</t>
    </r>
    <r>
      <rPr>
        <sz val="10.5"/>
        <color theme="1"/>
        <rFont val="宋体"/>
        <family val="3"/>
        <charset val="134"/>
      </rPr>
      <t>时，平均回收率为</t>
    </r>
    <r>
      <rPr>
        <sz val="10.5"/>
        <color theme="1"/>
        <rFont val="Times New Roman"/>
        <family val="1"/>
      </rPr>
      <t>65.1%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CV</t>
    </r>
    <r>
      <rPr>
        <sz val="10.5"/>
        <color theme="1"/>
        <rFont val="宋体"/>
        <family val="3"/>
        <charset val="134"/>
      </rPr>
      <t>为</t>
    </r>
    <r>
      <rPr>
        <sz val="10.5"/>
        <color theme="1"/>
        <rFont val="Times New Roman"/>
        <family val="1"/>
      </rPr>
      <t>4.5%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                             
RENS25318</t>
    </r>
    <r>
      <rPr>
        <sz val="10.5"/>
        <color theme="1"/>
        <rFont val="宋体"/>
        <family val="3"/>
        <charset val="134"/>
      </rPr>
      <t>浓度为</t>
    </r>
    <r>
      <rPr>
        <sz val="10.5"/>
        <color theme="1"/>
        <rFont val="Times New Roman"/>
        <family val="1"/>
      </rPr>
      <t>15.000 ng/mL</t>
    </r>
    <r>
      <rPr>
        <sz val="10.5"/>
        <color theme="1"/>
        <rFont val="宋体"/>
        <family val="3"/>
        <charset val="134"/>
      </rPr>
      <t>时，平均回收率为</t>
    </r>
    <r>
      <rPr>
        <sz val="10.5"/>
        <color theme="1"/>
        <rFont val="Times New Roman"/>
        <family val="1"/>
      </rPr>
      <t>65.5%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CV</t>
    </r>
    <r>
      <rPr>
        <sz val="10.5"/>
        <color theme="1"/>
        <rFont val="宋体"/>
        <family val="3"/>
        <charset val="134"/>
      </rPr>
      <t>为</t>
    </r>
    <r>
      <rPr>
        <sz val="10.5"/>
        <color theme="1"/>
        <rFont val="Times New Roman"/>
        <family val="1"/>
      </rPr>
      <t>4.7%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RENS25318</t>
    </r>
    <r>
      <rPr>
        <sz val="10.5"/>
        <color theme="1"/>
        <rFont val="宋体"/>
        <family val="3"/>
        <charset val="134"/>
      </rPr>
      <t>浓度为</t>
    </r>
    <r>
      <rPr>
        <sz val="10.5"/>
        <color theme="1"/>
        <rFont val="Times New Roman"/>
        <family val="1"/>
      </rPr>
      <t>37.500 ng/mL</t>
    </r>
    <r>
      <rPr>
        <sz val="10.5"/>
        <color theme="1"/>
        <rFont val="宋体"/>
        <family val="3"/>
        <charset val="134"/>
      </rPr>
      <t>时，平均回收率为62.8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CV</t>
    </r>
    <r>
      <rPr>
        <sz val="10.5"/>
        <color theme="1"/>
        <rFont val="宋体"/>
        <family val="3"/>
        <charset val="134"/>
      </rPr>
      <t>为</t>
    </r>
    <r>
      <rPr>
        <sz val="10.5"/>
        <color theme="1"/>
        <rFont val="Times New Roman"/>
        <family val="1"/>
      </rPr>
      <t>6.8%</t>
    </r>
    <r>
      <rPr>
        <sz val="10.5"/>
        <color theme="1"/>
        <rFont val="宋体"/>
        <family val="3"/>
        <charset val="134"/>
      </rPr>
      <t>；总体</t>
    </r>
    <r>
      <rPr>
        <sz val="10.5"/>
        <color theme="1"/>
        <rFont val="Times New Roman"/>
        <family val="1"/>
      </rPr>
      <t>CV</t>
    </r>
    <r>
      <rPr>
        <sz val="10.5"/>
        <color theme="1"/>
        <rFont val="宋体"/>
        <family val="3"/>
        <charset val="134"/>
      </rPr>
      <t>为</t>
    </r>
    <r>
      <rPr>
        <sz val="10.5"/>
        <color theme="1"/>
        <rFont val="Times New Roman"/>
        <family val="1"/>
      </rPr>
      <t>2.3%</t>
    </r>
    <r>
      <rPr>
        <sz val="10.5"/>
        <color theme="1"/>
        <rFont val="宋体"/>
        <family val="3"/>
        <charset val="134"/>
      </rPr>
      <t>。</t>
    </r>
    <phoneticPr fontId="4" type="noConversion"/>
  </si>
  <si>
    <r>
      <rPr>
        <sz val="10.5"/>
        <color theme="1"/>
        <rFont val="宋体"/>
        <family val="3"/>
        <charset val="134"/>
      </rPr>
      <t>内标回收率</t>
    </r>
    <r>
      <rPr>
        <sz val="10.5"/>
        <rFont val="Times New Roman"/>
        <family val="1"/>
      </rPr>
      <t/>
    </r>
    <phoneticPr fontId="4" type="noConversion"/>
  </si>
  <si>
    <r>
      <rPr>
        <sz val="10.5"/>
        <color theme="1"/>
        <rFont val="宋体"/>
        <family val="3"/>
        <charset val="134"/>
      </rPr>
      <t>稀释倍数</t>
    </r>
    <phoneticPr fontId="4" type="noConversion"/>
  </si>
  <si>
    <r>
      <t>RENS25318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500.000 ng/mL</t>
    </r>
    <r>
      <rPr>
        <sz val="10.5"/>
        <color theme="1"/>
        <rFont val="宋体"/>
        <family val="3"/>
        <charset val="134"/>
      </rPr>
      <t>稀释</t>
    </r>
    <r>
      <rPr>
        <sz val="10.5"/>
        <color theme="1"/>
        <rFont val="Times New Roman"/>
        <family val="1"/>
      </rPr>
      <t>20</t>
    </r>
    <r>
      <rPr>
        <sz val="10.5"/>
        <color theme="1"/>
        <rFont val="宋体"/>
        <family val="3"/>
        <charset val="134"/>
      </rPr>
      <t>倍；</t>
    </r>
    <phoneticPr fontId="4" type="noConversion"/>
  </si>
  <si>
    <r>
      <rPr>
        <sz val="10.5"/>
        <color theme="1"/>
        <rFont val="宋体"/>
        <family val="3"/>
        <charset val="134"/>
      </rPr>
      <t>储备液短期稳定性</t>
    </r>
    <phoneticPr fontId="4" type="noConversion"/>
  </si>
  <si>
    <r>
      <t>RENS25318</t>
    </r>
    <r>
      <rPr>
        <sz val="10.5"/>
        <color theme="1"/>
        <rFont val="宋体"/>
        <family val="3"/>
        <charset val="134"/>
      </rPr>
      <t>：室温白光条件下放置可稳定至少</t>
    </r>
    <r>
      <rPr>
        <sz val="10.5"/>
        <color theme="1"/>
        <rFont val="Times New Roman"/>
        <family val="1"/>
      </rPr>
      <t>22</t>
    </r>
    <r>
      <rPr>
        <sz val="10.5"/>
        <color theme="1"/>
        <rFont val="宋体"/>
        <family val="3"/>
        <charset val="134"/>
      </rPr>
      <t xml:space="preserve">小时；
</t>
    </r>
    <r>
      <rPr>
        <sz val="10.5"/>
        <color theme="1"/>
        <rFont val="Times New Roman"/>
        <family val="1"/>
      </rPr>
      <t>ISNS25318</t>
    </r>
    <r>
      <rPr>
        <sz val="10.5"/>
        <color theme="1"/>
        <rFont val="宋体"/>
        <family val="3"/>
        <charset val="134"/>
      </rPr>
      <t>：同位素内标，仅考察适用性</t>
    </r>
    <phoneticPr fontId="4" type="noConversion"/>
  </si>
  <si>
    <r>
      <rPr>
        <sz val="10.5"/>
        <color theme="1"/>
        <rFont val="宋体"/>
        <family val="3"/>
        <charset val="134"/>
      </rPr>
      <t>工作液短期稳定性</t>
    </r>
    <phoneticPr fontId="4" type="noConversion"/>
  </si>
  <si>
    <r>
      <rPr>
        <sz val="10.5"/>
        <color theme="1"/>
        <rFont val="宋体"/>
        <family val="3"/>
        <charset val="134"/>
      </rPr>
      <t>储备液长期稳定性</t>
    </r>
    <phoneticPr fontId="4" type="noConversion"/>
  </si>
  <si>
    <r>
      <t>RENS25318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-70 ~ -90 °C</t>
    </r>
    <r>
      <rPr>
        <sz val="10.5"/>
        <color theme="1"/>
        <rFont val="宋体"/>
        <family val="3"/>
        <charset val="134"/>
      </rPr>
      <t>下放置可稳定至少</t>
    </r>
    <r>
      <rPr>
        <sz val="10.5"/>
        <color theme="1"/>
        <rFont val="Times New Roman"/>
        <family val="1"/>
      </rPr>
      <t>88</t>
    </r>
    <r>
      <rPr>
        <sz val="10.5"/>
        <color theme="1"/>
        <rFont val="宋体"/>
        <family val="3"/>
        <charset val="134"/>
      </rPr>
      <t xml:space="preserve">天；
</t>
    </r>
    <r>
      <rPr>
        <sz val="10.5"/>
        <color theme="1"/>
        <rFont val="Times New Roman"/>
        <family val="1"/>
      </rPr>
      <t>ISNS25318</t>
    </r>
    <r>
      <rPr>
        <sz val="10.5"/>
        <color theme="1"/>
        <rFont val="宋体"/>
        <family val="3"/>
        <charset val="134"/>
      </rPr>
      <t>：同位素内标，仅考察适用性</t>
    </r>
    <phoneticPr fontId="4" type="noConversion"/>
  </si>
  <si>
    <r>
      <rPr>
        <sz val="10.5"/>
        <color theme="1"/>
        <rFont val="宋体"/>
        <family val="3"/>
        <charset val="134"/>
      </rPr>
      <t>工作液长期稳定性</t>
    </r>
    <phoneticPr fontId="4" type="noConversion"/>
  </si>
  <si>
    <r>
      <rPr>
        <sz val="10.5"/>
        <color theme="1"/>
        <rFont val="宋体"/>
        <family val="3"/>
        <charset val="134"/>
      </rPr>
      <t>生物样品前处理过程中的短期稳定性</t>
    </r>
    <phoneticPr fontId="4" type="noConversion"/>
  </si>
  <si>
    <r>
      <t>RENS25318</t>
    </r>
    <r>
      <rPr>
        <sz val="10.5"/>
        <color theme="1"/>
        <rFont val="宋体"/>
        <family val="3"/>
        <charset val="134"/>
      </rPr>
      <t>：冰水浴白光下至少稳定</t>
    </r>
    <r>
      <rPr>
        <sz val="10.5"/>
        <color theme="1"/>
        <rFont val="Times New Roman"/>
        <family val="1"/>
      </rPr>
      <t>16</t>
    </r>
    <r>
      <rPr>
        <sz val="10.5"/>
        <color theme="1"/>
        <rFont val="宋体"/>
        <family val="3"/>
        <charset val="134"/>
      </rPr>
      <t>小时</t>
    </r>
    <phoneticPr fontId="4" type="noConversion"/>
  </si>
  <si>
    <r>
      <rPr>
        <sz val="10.5"/>
        <color theme="1"/>
        <rFont val="宋体"/>
        <family val="3"/>
        <charset val="134"/>
      </rPr>
      <t>冻融稳定性</t>
    </r>
    <r>
      <rPr>
        <sz val="10.5"/>
        <rFont val="Times New Roman"/>
        <family val="1"/>
      </rPr>
      <t/>
    </r>
    <phoneticPr fontId="4" type="noConversion"/>
  </si>
  <si>
    <r>
      <t>RENS25318</t>
    </r>
    <r>
      <rPr>
        <sz val="10.5"/>
        <color theme="1"/>
        <rFont val="宋体"/>
        <family val="3"/>
        <charset val="134"/>
      </rPr>
      <t>：至少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次</t>
    </r>
    <r>
      <rPr>
        <sz val="10.5"/>
        <color theme="1"/>
        <rFont val="Times New Roman"/>
        <family val="1"/>
      </rPr>
      <t>-70~-90 °C/</t>
    </r>
    <r>
      <rPr>
        <sz val="10.5"/>
        <color theme="1"/>
        <rFont val="宋体"/>
        <family val="3"/>
        <charset val="134"/>
      </rPr>
      <t>冰水浴白光冷冻解冻稳定</t>
    </r>
    <phoneticPr fontId="4" type="noConversion"/>
  </si>
  <si>
    <r>
      <rPr>
        <sz val="10.5"/>
        <color theme="1"/>
        <rFont val="宋体"/>
        <family val="3"/>
        <charset val="134"/>
      </rPr>
      <t>处理后样品的稳定性</t>
    </r>
    <r>
      <rPr>
        <sz val="10.5"/>
        <color theme="1"/>
        <rFont val="Times New Roman"/>
        <family val="1"/>
      </rPr>
      <t xml:space="preserve"> </t>
    </r>
    <phoneticPr fontId="4" type="noConversion"/>
  </si>
  <si>
    <r>
      <t>RENS25318</t>
    </r>
    <r>
      <rPr>
        <sz val="10.5"/>
        <color theme="1"/>
        <rFont val="宋体"/>
        <family val="3"/>
        <charset val="134"/>
      </rPr>
      <t>：在自动进样器（</t>
    </r>
    <r>
      <rPr>
        <sz val="10.5"/>
        <color theme="1"/>
        <rFont val="Times New Roman"/>
        <family val="1"/>
      </rPr>
      <t>5 °C</t>
    </r>
    <r>
      <rPr>
        <sz val="10.5"/>
        <color theme="1"/>
        <rFont val="宋体"/>
        <family val="3"/>
        <charset val="134"/>
      </rPr>
      <t>）条件下可稳定保存至少78小时</t>
    </r>
    <phoneticPr fontId="4" type="noConversion"/>
  </si>
  <si>
    <r>
      <t>RENS25318：在自动进样器（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1"/>
        <charset val="134"/>
      </rPr>
      <t>°</t>
    </r>
    <r>
      <rPr>
        <sz val="10.5"/>
        <color theme="1"/>
        <rFont val="Times New Roman"/>
        <family val="1"/>
      </rPr>
      <t>C</t>
    </r>
    <r>
      <rPr>
        <sz val="10.5"/>
        <color theme="1"/>
        <rFont val="宋体"/>
        <family val="3"/>
        <charset val="134"/>
      </rPr>
      <t>）中放置</t>
    </r>
    <r>
      <rPr>
        <sz val="10.5"/>
        <color theme="1"/>
        <rFont val="Times New Roman"/>
        <family val="1"/>
      </rPr>
      <t>65</t>
    </r>
    <r>
      <rPr>
        <sz val="10.5"/>
        <color theme="1"/>
        <rFont val="宋体"/>
        <family val="3"/>
        <charset val="134"/>
      </rPr>
      <t>小时后再进样结果可重现</t>
    </r>
    <phoneticPr fontId="4" type="noConversion"/>
  </si>
  <si>
    <r>
      <rPr>
        <sz val="10.5"/>
        <color theme="1"/>
        <rFont val="宋体"/>
        <family val="3"/>
        <charset val="134"/>
      </rPr>
      <t>生物基质中待测物的长期稳定性</t>
    </r>
    <phoneticPr fontId="4" type="noConversion"/>
  </si>
  <si>
    <r>
      <rPr>
        <sz val="10.5"/>
        <color theme="1"/>
        <rFont val="宋体"/>
        <family val="3"/>
        <charset val="134"/>
      </rPr>
      <t>全血稳定性</t>
    </r>
    <r>
      <rPr>
        <sz val="10.5"/>
        <rFont val="Times New Roman"/>
        <family val="1"/>
      </rPr>
      <t/>
    </r>
    <phoneticPr fontId="4" type="noConversion"/>
  </si>
  <si>
    <r>
      <t>RENS25318</t>
    </r>
    <r>
      <rPr>
        <sz val="10.5"/>
        <color theme="1"/>
        <rFont val="宋体"/>
        <family val="3"/>
        <charset val="134"/>
      </rPr>
      <t>：全血样品在冰水浴白光放置至少稳定</t>
    </r>
    <r>
      <rPr>
        <sz val="10.5"/>
        <color theme="1"/>
        <rFont val="Times New Roman"/>
        <family val="1"/>
      </rPr>
      <t>1.5</t>
    </r>
    <r>
      <rPr>
        <sz val="10.5"/>
        <color theme="1"/>
        <rFont val="宋体"/>
        <family val="3"/>
        <charset val="134"/>
      </rPr>
      <t>小时</t>
    </r>
    <phoneticPr fontId="4" type="noConversion"/>
  </si>
  <si>
    <r>
      <rPr>
        <sz val="10.5"/>
        <color theme="1"/>
        <rFont val="宋体"/>
        <family val="3"/>
        <charset val="134"/>
      </rPr>
      <t>溶血效应</t>
    </r>
    <r>
      <rPr>
        <sz val="10.5"/>
        <rFont val="Times New Roman"/>
        <family val="1"/>
      </rPr>
      <t/>
    </r>
    <phoneticPr fontId="4" type="noConversion"/>
  </si>
  <si>
    <r>
      <rPr>
        <sz val="10.5"/>
        <color theme="1"/>
        <rFont val="宋体"/>
        <family val="3"/>
        <charset val="134"/>
      </rPr>
      <t>最大分析批进样针数</t>
    </r>
  </si>
  <si>
    <r>
      <rPr>
        <sz val="10.5"/>
        <color theme="1"/>
        <rFont val="宋体"/>
        <family val="3"/>
        <charset val="134"/>
      </rPr>
      <t>至少</t>
    </r>
    <r>
      <rPr>
        <sz val="10.5"/>
        <color theme="1"/>
        <rFont val="Times New Roman"/>
        <family val="1"/>
      </rPr>
      <t>101</t>
    </r>
    <r>
      <rPr>
        <sz val="10.5"/>
        <color theme="1"/>
        <rFont val="宋体"/>
        <family val="3"/>
        <charset val="134"/>
      </rPr>
      <t>针</t>
    </r>
    <phoneticPr fontId="4" type="noConversion"/>
  </si>
  <si>
    <t>固相萃取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</si>
</sst>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 &quot;¥&quot;* #,##0.00_ ;_ &quot;¥&quot;* \-#,##0.00_ ;_ &quot;¥&quot;* &quot;-&quot;??_ ;_ @_ "/>
    <numFmt numFmtId="176" formatCode="0.0"/>
    <numFmt numFmtId="177" formatCode="0.0_ "/>
    <numFmt numFmtId="178" formatCode="0.000"/>
    <numFmt numFmtId="179" formatCode="0_ "/>
    <numFmt numFmtId="180" formatCode="yyyy/mm/dd"/>
    <numFmt numFmtId="181" formatCode="0.000_ "/>
    <numFmt numFmtId="182" formatCode="\'\-0"/>
    <numFmt numFmtId="183" formatCode="0.0000_ "/>
    <numFmt numFmtId="184" formatCode="0;_愀"/>
    <numFmt numFmtId="185" formatCode="0.0;_愀"/>
    <numFmt numFmtId="186" formatCode="0;[Red]0"/>
    <numFmt numFmtId="187" formatCode="0.0%"/>
    <numFmt numFmtId="188" formatCode="yyyy/mm/dd\ hh:mm"/>
    <numFmt numFmtId="189" formatCode="0.00;[Red]0.00"/>
    <numFmt numFmtId="190" formatCode="0.000000_ "/>
    <numFmt numFmtId="191" formatCode="0.000000"/>
    <numFmt numFmtId="192" formatCode="0.00000"/>
    <numFmt numFmtId="193" formatCode="0.0000"/>
    <numFmt numFmtId="194" formatCode="#,##0.000_ "/>
  </numFmts>
  <fonts count="62">
    <font>
      <sz val="11"/>
      <color theme="1"/>
      <name val="DengXian"/>
      <family val="2"/>
      <scheme val="minor"/>
    </font>
    <font>
      <sz val="11"/>
      <color theme="1"/>
      <name val="DengXian"/>
      <family val="2"/>
      <charset val="134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DengXian"/>
      <family val="2"/>
    </font>
    <font>
      <sz val="11"/>
      <color rgb="FF9C0006"/>
      <name val="Calibri"/>
      <family val="2"/>
    </font>
    <font>
      <sz val="12"/>
      <color rgb="FF9C0006"/>
      <name val="DengXian"/>
      <family val="2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1"/>
      <color theme="1"/>
      <name val="Times New Roman"/>
      <family val="1"/>
    </font>
    <font>
      <sz val="10.5"/>
      <name val="Times New Roman"/>
      <family val="1"/>
    </font>
    <font>
      <sz val="12"/>
      <name val="宋体"/>
      <family val="3"/>
      <charset val="134"/>
    </font>
    <font>
      <sz val="9"/>
      <name val="DengXian"/>
      <family val="3"/>
      <charset val="134"/>
      <scheme val="minor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2"/>
      <color rgb="FF9C0006"/>
      <name val="DengXian"/>
      <family val="2"/>
      <scheme val="minor"/>
    </font>
    <font>
      <sz val="11"/>
      <color rgb="FF006100"/>
      <name val="DengXian"/>
      <family val="2"/>
      <scheme val="minor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1"/>
      <color rgb="FF9C0006"/>
      <name val="DengXian"/>
      <family val="2"/>
      <scheme val="minor"/>
    </font>
    <font>
      <b/>
      <sz val="11"/>
      <color rgb="FFFA7D00"/>
      <name val="DengXian"/>
      <family val="2"/>
      <scheme val="minor"/>
    </font>
    <font>
      <b/>
      <sz val="11"/>
      <color theme="0"/>
      <name val="DengXian"/>
      <family val="2"/>
      <scheme val="minor"/>
    </font>
    <font>
      <i/>
      <sz val="11"/>
      <color rgb="FF7F7F7F"/>
      <name val="DengXian"/>
      <family val="2"/>
      <scheme val="minor"/>
    </font>
    <font>
      <sz val="11"/>
      <color rgb="FF006100"/>
      <name val="DengXian"/>
      <family val="2"/>
      <scheme val="minor"/>
    </font>
    <font>
      <b/>
      <sz val="15"/>
      <color theme="3"/>
      <name val="DengXian"/>
      <family val="2"/>
      <scheme val="minor"/>
    </font>
    <font>
      <b/>
      <sz val="13"/>
      <color theme="3"/>
      <name val="DengXian"/>
      <family val="2"/>
      <scheme val="minor"/>
    </font>
    <font>
      <b/>
      <sz val="11"/>
      <color theme="3"/>
      <name val="DengXian"/>
      <family val="2"/>
      <scheme val="minor"/>
    </font>
    <font>
      <sz val="11"/>
      <color rgb="FF3F3F76"/>
      <name val="DengXian"/>
      <family val="2"/>
      <scheme val="minor"/>
    </font>
    <font>
      <sz val="11"/>
      <color rgb="FFFA7D00"/>
      <name val="DengXian"/>
      <family val="2"/>
      <scheme val="minor"/>
    </font>
    <font>
      <sz val="11"/>
      <color rgb="FF9C6500"/>
      <name val="DengXian"/>
      <family val="2"/>
      <scheme val="minor"/>
    </font>
    <font>
      <b/>
      <sz val="11"/>
      <color rgb="FF3F3F3F"/>
      <name val="DengXian"/>
      <family val="2"/>
      <scheme val="minor"/>
    </font>
    <font>
      <b/>
      <sz val="18"/>
      <color theme="3"/>
      <name val="DengXian Light"/>
      <family val="2"/>
      <scheme val="major"/>
    </font>
    <font>
      <b/>
      <sz val="11"/>
      <color theme="1"/>
      <name val="DengXian"/>
      <family val="2"/>
      <scheme val="minor"/>
    </font>
    <font>
      <sz val="11"/>
      <color rgb="FFFF0000"/>
      <name val="DengXian"/>
      <family val="2"/>
      <scheme val="minor"/>
    </font>
    <font>
      <sz val="11"/>
      <color rgb="FF9C0006"/>
      <name val="DengXian"/>
      <family val="2"/>
      <scheme val="minor"/>
    </font>
    <font>
      <vertAlign val="superscript"/>
      <sz val="10.5"/>
      <color theme="1"/>
      <name val="Times New Roman"/>
      <family val="1"/>
    </font>
    <font>
      <sz val="10.5"/>
      <color theme="1"/>
      <name val="宋体"/>
      <family val="1"/>
      <charset val="134"/>
    </font>
    <font>
      <sz val="10.5"/>
      <color theme="1"/>
      <name val="DengXian"/>
      <family val="2"/>
    </font>
    <font>
      <sz val="11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1"/>
      <color rgb="FF9C0006"/>
      <name val="DengXian"/>
      <family val="3"/>
      <charset val="134"/>
      <scheme val="minor"/>
    </font>
    <font>
      <sz val="11"/>
      <color rgb="FF006100"/>
      <name val="DengXian"/>
      <family val="3"/>
      <charset val="134"/>
      <scheme val="minor"/>
    </font>
    <font>
      <sz val="11"/>
      <color theme="1"/>
      <name val="DengXian"/>
      <family val="3"/>
      <charset val="134"/>
      <scheme val="minor"/>
    </font>
    <font>
      <sz val="12"/>
      <color theme="1"/>
      <name val="Times New Roman"/>
      <family val="1"/>
    </font>
    <font>
      <sz val="10.5"/>
      <color theme="1"/>
      <name val="Times New Roman"/>
      <family val="3"/>
      <charset val="134"/>
    </font>
    <font>
      <vertAlign val="superscript"/>
      <sz val="10.5"/>
      <color theme="1"/>
      <name val="宋体"/>
      <family val="3"/>
      <charset val="134"/>
    </font>
    <font>
      <sz val="11"/>
      <color rgb="FF9C0006"/>
      <name val="DengXian"/>
      <family val="2"/>
      <charset val="134"/>
      <scheme val="minor"/>
    </font>
    <font>
      <sz val="10.5"/>
      <color theme="1"/>
      <name val="Times New Roman"/>
      <family val="3"/>
    </font>
    <font>
      <sz val="10.5"/>
      <color theme="1"/>
      <name val="微软雅黑"/>
      <family val="3"/>
      <charset val="134"/>
    </font>
    <font>
      <i/>
      <sz val="12"/>
      <color theme="1"/>
      <name val="DengXian"/>
      <family val="3"/>
      <charset val="134"/>
      <scheme val="minor"/>
    </font>
    <font>
      <i/>
      <sz val="12"/>
      <color theme="1"/>
      <name val="宋体"/>
      <family val="3"/>
      <charset val="134"/>
    </font>
    <font>
      <i/>
      <sz val="12"/>
      <color theme="1"/>
      <name val="Times New Roman"/>
      <family val="1"/>
    </font>
    <font>
      <sz val="10.5"/>
      <color theme="1"/>
      <name val="宋体"/>
      <family val="2"/>
    </font>
    <font>
      <sz val="10"/>
      <color theme="1"/>
      <name val="Times New Roman"/>
      <family val="1"/>
    </font>
    <font>
      <vertAlign val="subscript"/>
      <sz val="10.5"/>
      <color theme="1"/>
      <name val="宋体"/>
      <family val="3"/>
      <charset val="134"/>
    </font>
    <font>
      <vertAlign val="subscript"/>
      <sz val="10.5"/>
      <color theme="1"/>
      <name val="Times New Roman"/>
      <family val="1"/>
    </font>
    <font>
      <sz val="11"/>
      <color theme="1"/>
      <name val="宋体"/>
      <family val="2"/>
    </font>
    <font>
      <b/>
      <sz val="10.5"/>
      <color theme="1"/>
      <name val="Times New Roman"/>
      <family val="1"/>
    </font>
    <font>
      <b/>
      <sz val="10.5"/>
      <color theme="1"/>
      <name val="DengXian"/>
      <family val="2"/>
    </font>
    <font>
      <sz val="10.5"/>
      <color theme="1"/>
      <name val="Times New Roman"/>
      <family val="1"/>
      <charset val="134"/>
    </font>
    <font>
      <sz val="10.5"/>
      <color theme="1"/>
      <name val="DengXian"/>
      <scheme val="minor"/>
    </font>
    <font>
      <sz val="10.5"/>
      <color theme="1"/>
      <name val="DengXian"/>
      <family val="1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9">
    <xf numFmtId="0" fontId="0" fillId="0" borderId="0"/>
    <xf numFmtId="0" fontId="5" fillId="2" borderId="0" applyNumberFormat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0" fontId="11" fillId="0" borderId="0"/>
    <xf numFmtId="0" fontId="3" fillId="0" borderId="0"/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5" fillId="2" borderId="0" applyNumberFormat="0" applyBorder="0" applyAlignment="0" applyProtection="0"/>
    <xf numFmtId="0" fontId="11" fillId="0" borderId="0"/>
    <xf numFmtId="0" fontId="16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7" fillId="5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6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8" fillId="7" borderId="0" applyNumberFormat="0" applyBorder="0" applyAlignment="0" applyProtection="0"/>
    <xf numFmtId="0" fontId="18" fillId="11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3" borderId="0" applyNumberFormat="0" applyBorder="0" applyAlignment="0" applyProtection="0"/>
    <xf numFmtId="0" fontId="18" fillId="27" borderId="0" applyNumberFormat="0" applyBorder="0" applyAlignment="0" applyProtection="0"/>
    <xf numFmtId="0" fontId="18" fillId="4" borderId="0" applyNumberFormat="0" applyBorder="0" applyAlignment="0" applyProtection="0"/>
    <xf numFmtId="0" fontId="18" fillId="8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9" fillId="2" borderId="0" applyNumberFormat="0" applyBorder="0" applyAlignment="0" applyProtection="0"/>
    <xf numFmtId="0" fontId="20" fillId="30" borderId="14" applyNumberFormat="0" applyAlignment="0" applyProtection="0"/>
    <xf numFmtId="0" fontId="21" fillId="31" borderId="17" applyNumberFormat="0" applyAlignment="0" applyProtection="0"/>
    <xf numFmtId="0" fontId="22" fillId="0" borderId="0" applyNumberFormat="0" applyFill="0" applyBorder="0" applyAlignment="0" applyProtection="0"/>
    <xf numFmtId="0" fontId="23" fillId="3" borderId="0" applyNumberFormat="0" applyBorder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6" fillId="0" borderId="13" applyNumberFormat="0" applyFill="0" applyAlignment="0" applyProtection="0"/>
    <xf numFmtId="0" fontId="26" fillId="0" borderId="0" applyNumberFormat="0" applyFill="0" applyBorder="0" applyAlignment="0" applyProtection="0"/>
    <xf numFmtId="0" fontId="27" fillId="29" borderId="14" applyNumberFormat="0" applyAlignment="0" applyProtection="0"/>
    <xf numFmtId="0" fontId="28" fillId="0" borderId="16" applyNumberFormat="0" applyFill="0" applyAlignment="0" applyProtection="0"/>
    <xf numFmtId="0" fontId="29" fillId="28" borderId="0" applyNumberFormat="0" applyBorder="0" applyAlignment="0" applyProtection="0"/>
    <xf numFmtId="0" fontId="17" fillId="32" borderId="18" applyNumberFormat="0" applyFont="0" applyAlignment="0" applyProtection="0"/>
    <xf numFmtId="0" fontId="30" fillId="30" borderId="15" applyNumberFormat="0" applyAlignment="0" applyProtection="0"/>
    <xf numFmtId="0" fontId="31" fillId="0" borderId="0" applyNumberFormat="0" applyFill="0" applyBorder="0" applyAlignment="0" applyProtection="0"/>
    <xf numFmtId="0" fontId="32" fillId="0" borderId="19" applyNumberFormat="0" applyFill="0" applyAlignment="0" applyProtection="0"/>
    <xf numFmtId="0" fontId="33" fillId="0" borderId="0" applyNumberFormat="0" applyFill="0" applyBorder="0" applyAlignment="0" applyProtection="0"/>
    <xf numFmtId="0" fontId="34" fillId="2" borderId="0" applyNumberFormat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/>
    <xf numFmtId="0" fontId="13" fillId="0" borderId="0"/>
    <xf numFmtId="0" fontId="13" fillId="5" borderId="0" applyNumberFormat="0" applyBorder="0" applyAlignment="0" applyProtection="0"/>
    <xf numFmtId="0" fontId="13" fillId="9" borderId="0" applyNumberFormat="0" applyBorder="0" applyAlignment="0" applyProtection="0"/>
    <xf numFmtId="0" fontId="13" fillId="13" borderId="0" applyNumberFormat="0" applyBorder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13" fillId="25" borderId="0" applyNumberFormat="0" applyBorder="0" applyAlignment="0" applyProtection="0"/>
    <xf numFmtId="0" fontId="13" fillId="6" borderId="0" applyNumberFormat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4" fillId="7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4" borderId="0" applyNumberFormat="0" applyBorder="0" applyAlignment="0" applyProtection="0"/>
    <xf numFmtId="0" fontId="14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6" borderId="0" applyNumberFormat="0" applyBorder="0" applyAlignment="0" applyProtection="0"/>
    <xf numFmtId="0" fontId="14" fillId="20" borderId="0" applyNumberFormat="0" applyBorder="0" applyAlignment="0" applyProtection="0"/>
    <xf numFmtId="0" fontId="14" fillId="24" borderId="0" applyNumberFormat="0" applyBorder="0" applyAlignment="0" applyProtection="0"/>
    <xf numFmtId="0" fontId="16" fillId="3" borderId="0" applyNumberFormat="0" applyBorder="0" applyAlignment="0" applyProtection="0"/>
    <xf numFmtId="0" fontId="13" fillId="32" borderId="18" applyNumberFormat="0" applyFont="0" applyAlignment="0" applyProtection="0"/>
    <xf numFmtId="9" fontId="11" fillId="0" borderId="0" applyFont="0" applyFill="0" applyBorder="0" applyAlignment="0" applyProtection="0"/>
    <xf numFmtId="0" fontId="40" fillId="2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42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13" fillId="0" borderId="0"/>
    <xf numFmtId="0" fontId="1" fillId="0" borderId="0">
      <alignment vertical="center"/>
    </xf>
    <xf numFmtId="0" fontId="3" fillId="0" borderId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19" fillId="2" borderId="0" applyNumberFormat="0" applyBorder="0" applyAlignment="0" applyProtection="0"/>
    <xf numFmtId="0" fontId="46" fillId="2" borderId="0" applyNumberFormat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64">
    <xf numFmtId="0" fontId="0" fillId="0" borderId="0" xfId="0"/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/>
    </xf>
    <xf numFmtId="181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80" fontId="8" fillId="0" borderId="1" xfId="0" applyNumberFormat="1" applyFont="1" applyBorder="1" applyAlignment="1">
      <alignment horizontal="center" vertical="center" wrapText="1"/>
    </xf>
    <xf numFmtId="0" fontId="49" fillId="0" borderId="0" xfId="128" applyFont="1" applyAlignment="1" applyProtection="1">
      <alignment horizontal="center" vertical="center"/>
      <protection locked="0"/>
    </xf>
    <xf numFmtId="0" fontId="4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9" fillId="0" borderId="1" xfId="0" applyFont="1" applyBorder="1" applyAlignment="1">
      <alignment horizontal="center" vertical="center" wrapText="1"/>
    </xf>
    <xf numFmtId="180" fontId="43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38" fillId="0" borderId="0" xfId="0" applyFont="1"/>
    <xf numFmtId="0" fontId="9" fillId="0" borderId="0" xfId="0" applyFont="1" applyAlignment="1">
      <alignment vertical="center"/>
    </xf>
    <xf numFmtId="0" fontId="43" fillId="0" borderId="1" xfId="0" applyFont="1" applyBorder="1"/>
    <xf numFmtId="0" fontId="50" fillId="0" borderId="0" xfId="0" applyFont="1" applyAlignment="1">
      <alignment vertical="center"/>
    </xf>
    <xf numFmtId="0" fontId="43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187" fontId="8" fillId="0" borderId="1" xfId="0" applyNumberFormat="1" applyFont="1" applyBorder="1" applyAlignment="1">
      <alignment horizontal="justify" vertical="center" wrapText="1"/>
    </xf>
    <xf numFmtId="49" fontId="8" fillId="0" borderId="1" xfId="0" applyNumberFormat="1" applyFont="1" applyBorder="1" applyAlignment="1">
      <alignment horizontal="justify" vertical="center" wrapText="1"/>
    </xf>
    <xf numFmtId="180" fontId="8" fillId="0" borderId="1" xfId="0" applyNumberFormat="1" applyFont="1" applyBorder="1" applyAlignment="1">
      <alignment horizontal="justify" vertical="center" wrapText="1"/>
    </xf>
    <xf numFmtId="0" fontId="8" fillId="0" borderId="0" xfId="0" applyFont="1" applyAlignment="1">
      <alignment horizontal="left" vertical="center"/>
    </xf>
    <xf numFmtId="0" fontId="8" fillId="0" borderId="0" xfId="3" applyFont="1" applyAlignment="1">
      <alignment vertical="center"/>
    </xf>
    <xf numFmtId="0" fontId="8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80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126" applyFont="1" applyFill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8" fillId="0" borderId="1" xfId="125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0" xfId="126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180" fontId="8" fillId="0" borderId="0" xfId="0" applyNumberFormat="1" applyFont="1" applyAlignment="1">
      <alignment horizontal="left" vertical="center"/>
    </xf>
    <xf numFmtId="178" fontId="8" fillId="0" borderId="2" xfId="0" applyNumberFormat="1" applyFont="1" applyBorder="1" applyAlignment="1">
      <alignment horizontal="center" vertical="center" wrapText="1"/>
    </xf>
    <xf numFmtId="186" fontId="8" fillId="0" borderId="0" xfId="0" applyNumberFormat="1" applyFont="1" applyAlignment="1">
      <alignment horizontal="left" vertical="center"/>
    </xf>
    <xf numFmtId="180" fontId="8" fillId="0" borderId="1" xfId="0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horizontal="left" vertical="center"/>
    </xf>
    <xf numFmtId="0" fontId="44" fillId="0" borderId="0" xfId="0" applyFont="1"/>
    <xf numFmtId="190" fontId="8" fillId="0" borderId="1" xfId="0" applyNumberFormat="1" applyFont="1" applyBorder="1" applyAlignment="1">
      <alignment horizontal="center" vertical="center" wrapText="1"/>
    </xf>
    <xf numFmtId="190" fontId="0" fillId="0" borderId="0" xfId="0" applyNumberFormat="1"/>
    <xf numFmtId="190" fontId="8" fillId="0" borderId="1" xfId="2" applyNumberFormat="1" applyFont="1" applyBorder="1" applyAlignment="1">
      <alignment horizontal="center" vertical="center" wrapText="1"/>
    </xf>
    <xf numFmtId="177" fontId="8" fillId="0" borderId="1" xfId="2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44" fillId="0" borderId="0" xfId="0" applyFont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190" fontId="8" fillId="0" borderId="0" xfId="0" applyNumberFormat="1" applyFont="1" applyAlignment="1">
      <alignment horizontal="center" vertical="center" wrapText="1"/>
    </xf>
    <xf numFmtId="188" fontId="8" fillId="0" borderId="0" xfId="0" applyNumberFormat="1" applyFont="1" applyAlignment="1">
      <alignment horizontal="left" vertical="center"/>
    </xf>
    <xf numFmtId="189" fontId="8" fillId="0" borderId="0" xfId="0" applyNumberFormat="1" applyFont="1" applyAlignment="1">
      <alignment horizontal="left" vertical="center"/>
    </xf>
    <xf numFmtId="0" fontId="36" fillId="0" borderId="0" xfId="0" applyFont="1" applyAlignment="1">
      <alignment horizontal="left"/>
    </xf>
    <xf numFmtId="177" fontId="8" fillId="0" borderId="0" xfId="0" applyNumberFormat="1" applyFont="1" applyAlignment="1">
      <alignment horizontal="center"/>
    </xf>
    <xf numFmtId="177" fontId="9" fillId="0" borderId="0" xfId="0" applyNumberFormat="1" applyFont="1"/>
    <xf numFmtId="177" fontId="8" fillId="0" borderId="0" xfId="0" applyNumberFormat="1" applyFont="1" applyAlignment="1">
      <alignment horizontal="left" vertical="center"/>
    </xf>
    <xf numFmtId="181" fontId="8" fillId="0" borderId="2" xfId="0" applyNumberFormat="1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194" fontId="8" fillId="0" borderId="1" xfId="127" applyNumberFormat="1" applyFont="1" applyFill="1" applyBorder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181" fontId="8" fillId="0" borderId="0" xfId="0" applyNumberFormat="1" applyFont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93" fontId="8" fillId="0" borderId="1" xfId="0" applyNumberFormat="1" applyFont="1" applyBorder="1" applyAlignment="1">
      <alignment horizontal="center" vertical="center"/>
    </xf>
    <xf numFmtId="190" fontId="8" fillId="0" borderId="1" xfId="0" applyNumberFormat="1" applyFont="1" applyBorder="1" applyAlignment="1">
      <alignment horizontal="center" vertical="center"/>
    </xf>
    <xf numFmtId="183" fontId="8" fillId="0" borderId="1" xfId="0" applyNumberFormat="1" applyFont="1" applyBorder="1" applyAlignment="1">
      <alignment horizontal="center" vertical="center"/>
    </xf>
    <xf numFmtId="181" fontId="8" fillId="0" borderId="1" xfId="0" applyNumberFormat="1" applyFont="1" applyBorder="1" applyAlignment="1">
      <alignment horizontal="center" vertical="center"/>
    </xf>
    <xf numFmtId="191" fontId="8" fillId="0" borderId="1" xfId="0" applyNumberFormat="1" applyFont="1" applyBorder="1" applyAlignment="1">
      <alignment horizontal="center" vertical="center"/>
    </xf>
    <xf numFmtId="192" fontId="8" fillId="0" borderId="1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 wrapText="1"/>
    </xf>
    <xf numFmtId="185" fontId="8" fillId="0" borderId="1" xfId="0" applyNumberFormat="1" applyFont="1" applyBorder="1" applyAlignment="1">
      <alignment horizontal="center" vertical="center" wrapText="1"/>
    </xf>
    <xf numFmtId="0" fontId="36" fillId="0" borderId="0" xfId="0" applyFont="1"/>
    <xf numFmtId="0" fontId="8" fillId="0" borderId="0" xfId="0" applyFont="1" applyAlignment="1">
      <alignment horizontal="justify"/>
    </xf>
    <xf numFmtId="0" fontId="53" fillId="0" borderId="1" xfId="0" applyFont="1" applyBorder="1" applyAlignment="1">
      <alignment horizontal="center" vertical="center"/>
    </xf>
    <xf numFmtId="14" fontId="8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left" vertical="center" wrapText="1"/>
    </xf>
    <xf numFmtId="0" fontId="58" fillId="0" borderId="1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59" fillId="0" borderId="1" xfId="0" applyFont="1" applyBorder="1" applyAlignment="1">
      <alignment horizontal="justify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79" applyFont="1" applyBorder="1" applyAlignment="1">
      <alignment horizontal="justify" vertical="center" wrapText="1"/>
    </xf>
    <xf numFmtId="0" fontId="8" fillId="0" borderId="1" xfId="0" quotePrefix="1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49" fontId="8" fillId="0" borderId="4" xfId="0" applyNumberFormat="1" applyFont="1" applyBorder="1" applyAlignment="1">
      <alignment horizontal="left" vertical="center" wrapText="1"/>
    </xf>
    <xf numFmtId="49" fontId="8" fillId="0" borderId="6" xfId="0" applyNumberFormat="1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10" fontId="61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justify" vertical="center" wrapText="1"/>
    </xf>
    <xf numFmtId="0" fontId="60" fillId="0" borderId="4" xfId="0" applyFont="1" applyBorder="1" applyAlignment="1">
      <alignment horizontal="left" vertical="center" wrapText="1"/>
    </xf>
    <xf numFmtId="0" fontId="60" fillId="0" borderId="6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4" fillId="0" borderId="4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center" vertical="center" wrapText="1"/>
    </xf>
    <xf numFmtId="182" fontId="39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4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84" fontId="8" fillId="0" borderId="2" xfId="0" applyNumberFormat="1" applyFont="1" applyBorder="1" applyAlignment="1">
      <alignment horizontal="center" vertical="center" wrapText="1"/>
    </xf>
    <xf numFmtId="184" fontId="8" fillId="0" borderId="3" xfId="0" applyNumberFormat="1" applyFont="1" applyBorder="1" applyAlignment="1">
      <alignment horizontal="center" vertical="center" wrapText="1"/>
    </xf>
    <xf numFmtId="0" fontId="4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53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80" fontId="8" fillId="0" borderId="2" xfId="0" applyNumberFormat="1" applyFont="1" applyBorder="1" applyAlignment="1">
      <alignment horizontal="center" vertical="center"/>
    </xf>
    <xf numFmtId="180" fontId="8" fillId="0" borderId="3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 wrapText="1"/>
    </xf>
    <xf numFmtId="177" fontId="8" fillId="0" borderId="8" xfId="0" applyNumberFormat="1" applyFont="1" applyBorder="1" applyAlignment="1">
      <alignment horizontal="center" vertical="center" wrapText="1"/>
    </xf>
    <xf numFmtId="177" fontId="8" fillId="0" borderId="9" xfId="0" applyNumberFormat="1" applyFont="1" applyBorder="1" applyAlignment="1">
      <alignment horizontal="center" vertical="center" wrapText="1"/>
    </xf>
    <xf numFmtId="177" fontId="8" fillId="0" borderId="10" xfId="0" applyNumberFormat="1" applyFont="1" applyBorder="1" applyAlignment="1">
      <alignment horizontal="center" vertical="center" wrapText="1"/>
    </xf>
    <xf numFmtId="180" fontId="53" fillId="0" borderId="2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180" fontId="8" fillId="0" borderId="1" xfId="0" applyNumberFormat="1" applyFont="1" applyBorder="1" applyAlignment="1">
      <alignment horizontal="center" vertical="center" wrapText="1"/>
    </xf>
    <xf numFmtId="180" fontId="53" fillId="0" borderId="2" xfId="0" applyNumberFormat="1" applyFont="1" applyBorder="1" applyAlignment="1">
      <alignment horizontal="center" vertical="center"/>
    </xf>
    <xf numFmtId="180" fontId="53" fillId="0" borderId="3" xfId="0" applyNumberFormat="1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/>
    </xf>
    <xf numFmtId="0" fontId="44" fillId="0" borderId="4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left" vertical="center" wrapText="1"/>
    </xf>
    <xf numFmtId="0" fontId="44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80" fontId="8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4" fillId="0" borderId="1" xfId="0" applyFont="1" applyBorder="1" applyAlignment="1">
      <alignment horizontal="center" vertical="center" wrapText="1"/>
    </xf>
    <xf numFmtId="180" fontId="8" fillId="0" borderId="2" xfId="0" applyNumberFormat="1" applyFont="1" applyBorder="1" applyAlignment="1">
      <alignment horizontal="center" vertical="center" wrapText="1"/>
    </xf>
    <xf numFmtId="180" fontId="8" fillId="0" borderId="7" xfId="0" applyNumberFormat="1" applyFont="1" applyBorder="1" applyAlignment="1">
      <alignment horizontal="center" vertical="center" wrapText="1"/>
    </xf>
    <xf numFmtId="180" fontId="8" fillId="0" borderId="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</cellXfs>
  <cellStyles count="129">
    <cellStyle name="20% - Accent1" xfId="34" xr:uid="{00000000-0005-0000-0000-000000000000}"/>
    <cellStyle name="20% - Accent1 2" xfId="80" xr:uid="{33F1493C-5CF4-47F7-9023-E12BC9C98A3C}"/>
    <cellStyle name="20% - Accent2" xfId="35" xr:uid="{00000000-0005-0000-0000-000001000000}"/>
    <cellStyle name="20% - Accent2 2" xfId="81" xr:uid="{CF84EDE0-E0A0-4454-8A1A-D2FF8C724539}"/>
    <cellStyle name="20% - Accent3" xfId="36" xr:uid="{00000000-0005-0000-0000-000002000000}"/>
    <cellStyle name="20% - Accent3 2" xfId="82" xr:uid="{F1DD5FD0-8723-4828-98A3-38475F862AAA}"/>
    <cellStyle name="20% - Accent4" xfId="37" xr:uid="{00000000-0005-0000-0000-000003000000}"/>
    <cellStyle name="20% - Accent4 2" xfId="83" xr:uid="{998B56E7-297C-4C47-B098-B9CF1F4A39AD}"/>
    <cellStyle name="20% - Accent5" xfId="38" xr:uid="{00000000-0005-0000-0000-000004000000}"/>
    <cellStyle name="20% - Accent5 2" xfId="84" xr:uid="{2DFCC382-B402-4A2A-A8B7-31EC6A87ACD7}"/>
    <cellStyle name="20% - Accent6" xfId="39" xr:uid="{00000000-0005-0000-0000-000005000000}"/>
    <cellStyle name="20% - Accent6 2" xfId="85" xr:uid="{D2E04634-D820-4A5E-9084-3325529E83F1}"/>
    <cellStyle name="20% - 强调文字颜色 1" xfId="7" xr:uid="{00000000-0005-0000-0000-000006000000}"/>
    <cellStyle name="20% - 强调文字颜色 2" xfId="8" xr:uid="{00000000-0005-0000-0000-000007000000}"/>
    <cellStyle name="20% - 强调文字颜色 3" xfId="9" xr:uid="{00000000-0005-0000-0000-000008000000}"/>
    <cellStyle name="20% - 强调文字颜色 4" xfId="10" xr:uid="{00000000-0005-0000-0000-000009000000}"/>
    <cellStyle name="20% - 强调文字颜色 5" xfId="11" xr:uid="{00000000-0005-0000-0000-00000A000000}"/>
    <cellStyle name="20% - 强调文字颜色 6" xfId="12" xr:uid="{00000000-0005-0000-0000-00000B000000}"/>
    <cellStyle name="40% - Accent1" xfId="40" xr:uid="{00000000-0005-0000-0000-00000C000000}"/>
    <cellStyle name="40% - Accent1 2" xfId="86" xr:uid="{19E452B6-3775-4DE1-B29C-7064871AE751}"/>
    <cellStyle name="40% - Accent2" xfId="41" xr:uid="{00000000-0005-0000-0000-00000D000000}"/>
    <cellStyle name="40% - Accent2 2" xfId="87" xr:uid="{D9407625-3714-43F1-8C4B-53495B2E0FB7}"/>
    <cellStyle name="40% - Accent3" xfId="42" xr:uid="{00000000-0005-0000-0000-00000E000000}"/>
    <cellStyle name="40% - Accent3 2" xfId="88" xr:uid="{B0F9D263-124B-46DF-A294-B46A9DBBD114}"/>
    <cellStyle name="40% - Accent4" xfId="43" xr:uid="{00000000-0005-0000-0000-00000F000000}"/>
    <cellStyle name="40% - Accent4 2" xfId="89" xr:uid="{8AE72576-ACBF-4A20-9F26-C946E7C3DC00}"/>
    <cellStyle name="40% - Accent5" xfId="44" xr:uid="{00000000-0005-0000-0000-000010000000}"/>
    <cellStyle name="40% - Accent5 2" xfId="90" xr:uid="{F1369E33-579B-4CDB-93D7-DD1B77CCE66D}"/>
    <cellStyle name="40% - Accent6" xfId="45" xr:uid="{00000000-0005-0000-0000-000011000000}"/>
    <cellStyle name="40% - Accent6 2" xfId="91" xr:uid="{43A716AE-6C9E-4C1E-A3F1-9E9AD06EA8BD}"/>
    <cellStyle name="40% - 强调文字颜色 1" xfId="13" xr:uid="{00000000-0005-0000-0000-000012000000}"/>
    <cellStyle name="40% - 强调文字颜色 2" xfId="14" xr:uid="{00000000-0005-0000-0000-000013000000}"/>
    <cellStyle name="40% - 强调文字颜色 3" xfId="15" xr:uid="{00000000-0005-0000-0000-000014000000}"/>
    <cellStyle name="40% - 强调文字颜色 4" xfId="16" xr:uid="{00000000-0005-0000-0000-000015000000}"/>
    <cellStyle name="40% - 强调文字颜色 5" xfId="17" xr:uid="{00000000-0005-0000-0000-000016000000}"/>
    <cellStyle name="40% - 强调文字颜色 6" xfId="18" xr:uid="{00000000-0005-0000-0000-000017000000}"/>
    <cellStyle name="60% - Accent1" xfId="46" xr:uid="{00000000-0005-0000-0000-000018000000}"/>
    <cellStyle name="60% - Accent1 2" xfId="92" xr:uid="{4C69368C-0FF4-4554-B03B-81B870986803}"/>
    <cellStyle name="60% - Accent2" xfId="47" xr:uid="{00000000-0005-0000-0000-000019000000}"/>
    <cellStyle name="60% - Accent2 2" xfId="93" xr:uid="{1EDE5DC3-6618-484F-8102-02123CDF0B26}"/>
    <cellStyle name="60% - Accent3" xfId="48" xr:uid="{00000000-0005-0000-0000-00001A000000}"/>
    <cellStyle name="60% - Accent3 2" xfId="94" xr:uid="{972A9F16-5D44-40B8-948E-A6EE4120DD94}"/>
    <cellStyle name="60% - Accent4" xfId="49" xr:uid="{00000000-0005-0000-0000-00001B000000}"/>
    <cellStyle name="60% - Accent4 2" xfId="95" xr:uid="{F6647885-AB3B-4A7B-A95D-C49FF6C85694}"/>
    <cellStyle name="60% - Accent5" xfId="50" xr:uid="{00000000-0005-0000-0000-00001C000000}"/>
    <cellStyle name="60% - Accent5 2" xfId="96" xr:uid="{07686639-B681-4132-B60C-1A2172F84DE6}"/>
    <cellStyle name="60% - Accent6" xfId="51" xr:uid="{00000000-0005-0000-0000-00001D000000}"/>
    <cellStyle name="60% - Accent6 2" xfId="97" xr:uid="{6CDD3A90-EEA2-4594-85D2-6D66A8CBB4FC}"/>
    <cellStyle name="60% - 强调文字颜色 1" xfId="19" xr:uid="{00000000-0005-0000-0000-00001E000000}"/>
    <cellStyle name="60% - 强调文字颜色 2" xfId="20" xr:uid="{00000000-0005-0000-0000-00001F000000}"/>
    <cellStyle name="60% - 强调文字颜色 3" xfId="21" xr:uid="{00000000-0005-0000-0000-000020000000}"/>
    <cellStyle name="60% - 强调文字颜色 4" xfId="22" xr:uid="{00000000-0005-0000-0000-000021000000}"/>
    <cellStyle name="60% - 强调文字颜色 5" xfId="23" xr:uid="{00000000-0005-0000-0000-000022000000}"/>
    <cellStyle name="60% - 强调文字颜色 6" xfId="24" xr:uid="{00000000-0005-0000-0000-000023000000}"/>
    <cellStyle name="Accent1" xfId="52" xr:uid="{00000000-0005-0000-0000-000024000000}"/>
    <cellStyle name="Accent1 2" xfId="98" xr:uid="{C2E0B6D7-2D85-4421-B509-C33A2AE8DD62}"/>
    <cellStyle name="Accent2" xfId="53" xr:uid="{00000000-0005-0000-0000-000025000000}"/>
    <cellStyle name="Accent2 2" xfId="99" xr:uid="{B910FB06-9126-4736-ADA7-CF7C81ECC947}"/>
    <cellStyle name="Accent3" xfId="54" xr:uid="{00000000-0005-0000-0000-000026000000}"/>
    <cellStyle name="Accent3 2" xfId="100" xr:uid="{636722DA-9744-4B29-A322-C734C5920A38}"/>
    <cellStyle name="Accent4" xfId="55" xr:uid="{00000000-0005-0000-0000-000027000000}"/>
    <cellStyle name="Accent4 2" xfId="101" xr:uid="{B76A85D5-7792-4E13-927E-9B282E29967B}"/>
    <cellStyle name="Accent5" xfId="56" xr:uid="{00000000-0005-0000-0000-000028000000}"/>
    <cellStyle name="Accent5 2" xfId="102" xr:uid="{792B2294-EE57-40F6-85EF-5E37B545D765}"/>
    <cellStyle name="Accent6" xfId="57" xr:uid="{00000000-0005-0000-0000-000029000000}"/>
    <cellStyle name="Accent6 2" xfId="103" xr:uid="{F1BA4ED5-3646-48FD-BCCD-6A46C1293C17}"/>
    <cellStyle name="Bad" xfId="58" xr:uid="{00000000-0005-0000-0000-00002A000000}"/>
    <cellStyle name="Bad 2" xfId="1" xr:uid="{00000000-0005-0000-0000-00002B000000}"/>
    <cellStyle name="Bad_表11_Recovery" xfId="75" xr:uid="{00000000-0005-0000-0000-00002C000000}"/>
    <cellStyle name="Calculation" xfId="59" xr:uid="{00000000-0005-0000-0000-00002D000000}"/>
    <cellStyle name="Check Cell" xfId="60" xr:uid="{00000000-0005-0000-0000-00002E000000}"/>
    <cellStyle name="Explanatory Text" xfId="61" xr:uid="{00000000-0005-0000-0000-00002F000000}"/>
    <cellStyle name="Good" xfId="62" xr:uid="{00000000-0005-0000-0000-000030000000}"/>
    <cellStyle name="Good 2" xfId="104" xr:uid="{3F60152A-4685-488D-9168-FDF6D0D0FF26}"/>
    <cellStyle name="Heading 1" xfId="63" xr:uid="{00000000-0005-0000-0000-000031000000}"/>
    <cellStyle name="Heading 2" xfId="64" xr:uid="{00000000-0005-0000-0000-000032000000}"/>
    <cellStyle name="Heading 3" xfId="65" xr:uid="{00000000-0005-0000-0000-000033000000}"/>
    <cellStyle name="Heading 4" xfId="66" xr:uid="{00000000-0005-0000-0000-000034000000}"/>
    <cellStyle name="Input" xfId="67" xr:uid="{00000000-0005-0000-0000-000035000000}"/>
    <cellStyle name="Linked Cell" xfId="68" xr:uid="{00000000-0005-0000-0000-000036000000}"/>
    <cellStyle name="Neutral" xfId="69" xr:uid="{00000000-0005-0000-0000-000037000000}"/>
    <cellStyle name="Normal 2" xfId="2" xr:uid="{00000000-0005-0000-0000-000038000000}"/>
    <cellStyle name="Normal 3" xfId="3" xr:uid="{00000000-0005-0000-0000-000039000000}"/>
    <cellStyle name="Normal_Gilead Samples 02jan07" xfId="6" xr:uid="{00000000-0005-0000-0000-00003A000000}"/>
    <cellStyle name="Note" xfId="70" xr:uid="{00000000-0005-0000-0000-00003C000000}"/>
    <cellStyle name="Note 2" xfId="105" xr:uid="{13AF0080-410F-41C1-B1F2-B44D74F573FE}"/>
    <cellStyle name="Output" xfId="71" xr:uid="{00000000-0005-0000-0000-00003D000000}"/>
    <cellStyle name="Percent 2" xfId="4" xr:uid="{00000000-0005-0000-0000-00003E000000}"/>
    <cellStyle name="Title" xfId="72" xr:uid="{00000000-0005-0000-0000-00003F000000}"/>
    <cellStyle name="Total" xfId="73" xr:uid="{00000000-0005-0000-0000-000040000000}"/>
    <cellStyle name="Warning Text" xfId="74" xr:uid="{00000000-0005-0000-0000-000041000000}"/>
    <cellStyle name="百分比 2" xfId="106" xr:uid="{E0DE712C-37D5-4592-921A-E7D0015E70C1}"/>
    <cellStyle name="差" xfId="126" builtinId="27"/>
    <cellStyle name="差 2" xfId="121" xr:uid="{C314B95F-3F26-4620-8CFC-DCE142DAB5EC}"/>
    <cellStyle name="差 3" xfId="125" xr:uid="{1BED5052-66E7-4553-AD7D-F9D5EA80BF4F}"/>
    <cellStyle name="差_1.1" xfId="25" xr:uid="{00000000-0005-0000-0000-000043000000}"/>
    <cellStyle name="差_1.1 2" xfId="115" xr:uid="{F0432CEE-2663-4926-BE63-DC6B55467989}"/>
    <cellStyle name="差_1.1 3" xfId="122" xr:uid="{33A54E10-7AAA-4873-8AA8-53E1AEC59623}"/>
    <cellStyle name="差_表11_Recovery" xfId="76" xr:uid="{00000000-0005-0000-0000-000044000000}"/>
    <cellStyle name="差_表11_Recovery 2" xfId="116" xr:uid="{C4CF4F12-6FDE-4211-9ED0-34F596EDF326}"/>
    <cellStyle name="差_表11_Recovery 3" xfId="123" xr:uid="{F0C10839-857A-49C6-810A-E8ED5C81AEFC}"/>
    <cellStyle name="差_表2_SST" xfId="107" xr:uid="{0B0F1E74-8EDB-4A6F-8C47-476C5A164877}"/>
    <cellStyle name="差_表25_干扰" xfId="78" xr:uid="{00000000-0005-0000-0000-000045000000}"/>
    <cellStyle name="差_表25_干扰 2" xfId="117" xr:uid="{326582A7-7F02-4135-AFA8-186D8AD1117D}"/>
    <cellStyle name="差_表25_干扰 3" xfId="124" xr:uid="{0BC52407-9B56-4859-8F70-4CED7C152C13}"/>
    <cellStyle name="常规" xfId="0" builtinId="0"/>
    <cellStyle name="常规 2" xfId="26" xr:uid="{00000000-0005-0000-0000-000047000000}"/>
    <cellStyle name="常规 2 2" xfId="5" xr:uid="{00000000-0005-0000-0000-000048000000}"/>
    <cellStyle name="常规 3" xfId="109" xr:uid="{E2A56356-B03B-4F77-97F8-D0F54694D0E1}"/>
    <cellStyle name="常规 3 2" xfId="114" xr:uid="{A5260DFC-28EE-464A-949D-3EA5D2930D23}"/>
    <cellStyle name="常规 4" xfId="110" xr:uid="{2491647E-5AE6-4484-A49C-6ADF97688F11}"/>
    <cellStyle name="常规 4 2" xfId="118" xr:uid="{A418734E-19D1-4495-9695-1C5D92133539}"/>
    <cellStyle name="常规 4 3" xfId="119" xr:uid="{A0D9082A-03A0-47A7-8845-BC8E4E1F14D2}"/>
    <cellStyle name="常规 5" xfId="111" xr:uid="{2405CA5C-E92D-4A59-96DD-7FDCFCDFB34A}"/>
    <cellStyle name="常规 6" xfId="112" xr:uid="{8D15D658-D44B-4EF2-AD4A-DDBCAC25DC53}"/>
    <cellStyle name="常规 7" xfId="113" xr:uid="{9927C9DD-9B0B-4860-A3C0-7A005CC67667}"/>
    <cellStyle name="常规 7 2" xfId="120" xr:uid="{1DF15DCB-23B9-4703-914D-019B51650462}"/>
    <cellStyle name="常规_1.1" xfId="79" xr:uid="{8D03EEFC-C52C-46E1-A064-46E028EDF6F7}"/>
    <cellStyle name="常规_表3_Carryover_1" xfId="128" xr:uid="{31D0B377-910B-47C3-AC36-8946629BD081}"/>
    <cellStyle name="好_1.1" xfId="27" xr:uid="{00000000-0005-0000-0000-00004C000000}"/>
    <cellStyle name="好_表11_Recovery" xfId="77" xr:uid="{00000000-0005-0000-0000-00004D000000}"/>
    <cellStyle name="好_表2_SST" xfId="108" xr:uid="{A19B879A-FB83-4E52-9266-5E210389D91E}"/>
    <cellStyle name="货币" xfId="127" builtinId="4"/>
    <cellStyle name="强调文字颜色 1" xfId="28" xr:uid="{00000000-0005-0000-0000-00004E000000}"/>
    <cellStyle name="强调文字颜色 2" xfId="29" xr:uid="{00000000-0005-0000-0000-00004F000000}"/>
    <cellStyle name="强调文字颜色 3" xfId="30" xr:uid="{00000000-0005-0000-0000-000050000000}"/>
    <cellStyle name="强调文字颜色 4" xfId="31" xr:uid="{00000000-0005-0000-0000-000051000000}"/>
    <cellStyle name="强调文字颜色 5" xfId="32" xr:uid="{00000000-0005-0000-0000-000052000000}"/>
    <cellStyle name="强调文字颜色 6" xfId="33" xr:uid="{00000000-0005-0000-0000-00005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AD35-2D4B-426D-96E9-55A3FC0827AC}">
  <dimension ref="A1:F62"/>
  <sheetViews>
    <sheetView tabSelected="1" topLeftCell="A19" zoomScale="85" zoomScaleNormal="85" zoomScaleSheetLayoutView="100" workbookViewId="0">
      <selection activeCell="B23" sqref="B23:C23"/>
    </sheetView>
  </sheetViews>
  <sheetFormatPr defaultColWidth="8.77734375" defaultRowHeight="13.8"/>
  <cols>
    <col min="1" max="1" width="54.77734375" style="30" customWidth="1"/>
    <col min="2" max="2" width="47.33203125" style="30" customWidth="1"/>
    <col min="3" max="3" width="43.44140625" style="30" customWidth="1"/>
    <col min="4" max="16384" width="8.77734375" style="30"/>
  </cols>
  <sheetData>
    <row r="1" spans="1:3" ht="15.75" customHeight="1">
      <c r="A1" s="30" t="s">
        <v>205</v>
      </c>
    </row>
    <row r="2" spans="1:3" ht="15.75" customHeight="1"/>
    <row r="3" spans="1:3" ht="15.75" customHeight="1">
      <c r="A3" s="58" t="s">
        <v>160</v>
      </c>
      <c r="B3" s="99" t="s">
        <v>95</v>
      </c>
      <c r="C3" s="99"/>
    </row>
    <row r="4" spans="1:3" ht="15.75" customHeight="1">
      <c r="A4" s="58" t="s">
        <v>206</v>
      </c>
      <c r="B4" s="99" t="s">
        <v>112</v>
      </c>
      <c r="C4" s="99"/>
    </row>
    <row r="5" spans="1:3" ht="15.75" customHeight="1">
      <c r="A5" s="58" t="s">
        <v>207</v>
      </c>
      <c r="B5" s="100" t="s">
        <v>208</v>
      </c>
      <c r="C5" s="101"/>
    </row>
    <row r="6" spans="1:3" ht="15.75" customHeight="1">
      <c r="A6" s="58" t="s">
        <v>209</v>
      </c>
      <c r="B6" s="58" t="s">
        <v>210</v>
      </c>
      <c r="C6" s="58" t="s">
        <v>211</v>
      </c>
    </row>
    <row r="7" spans="1:3" ht="15.75" customHeight="1">
      <c r="A7" s="58" t="s">
        <v>212</v>
      </c>
      <c r="B7" s="23" t="s">
        <v>116</v>
      </c>
      <c r="C7" s="24" t="s">
        <v>133</v>
      </c>
    </row>
    <row r="8" spans="1:3" ht="15.75" customHeight="1">
      <c r="A8" s="58" t="s">
        <v>213</v>
      </c>
      <c r="B8" s="58" t="s">
        <v>10</v>
      </c>
      <c r="C8" s="58" t="s">
        <v>214</v>
      </c>
    </row>
    <row r="9" spans="1:3" ht="15.75" customHeight="1">
      <c r="A9" s="58" t="s">
        <v>215</v>
      </c>
      <c r="B9" s="58" t="s">
        <v>10</v>
      </c>
      <c r="C9" s="24" t="s">
        <v>127</v>
      </c>
    </row>
    <row r="10" spans="1:3" ht="15.75" customHeight="1">
      <c r="A10" s="95" t="s">
        <v>216</v>
      </c>
      <c r="B10" s="99" t="s">
        <v>217</v>
      </c>
      <c r="C10" s="99"/>
    </row>
    <row r="11" spans="1:3" ht="15.75" customHeight="1">
      <c r="A11" s="58" t="s">
        <v>218</v>
      </c>
      <c r="B11" s="99" t="s">
        <v>219</v>
      </c>
      <c r="C11" s="99"/>
    </row>
    <row r="12" spans="1:3" ht="15.75" customHeight="1">
      <c r="A12" s="58" t="s">
        <v>220</v>
      </c>
      <c r="B12" s="99" t="s">
        <v>221</v>
      </c>
      <c r="C12" s="99"/>
    </row>
    <row r="13" spans="1:3" ht="15.75" customHeight="1">
      <c r="A13" s="99" t="s">
        <v>222</v>
      </c>
      <c r="B13" s="98" t="s">
        <v>223</v>
      </c>
      <c r="C13" s="99"/>
    </row>
    <row r="14" spans="1:3" ht="15.75" customHeight="1">
      <c r="A14" s="99"/>
      <c r="B14" s="110" t="s">
        <v>117</v>
      </c>
      <c r="C14" s="99"/>
    </row>
    <row r="15" spans="1:3" ht="15.75" customHeight="1">
      <c r="A15" s="99" t="s">
        <v>224</v>
      </c>
      <c r="B15" s="98" t="s">
        <v>225</v>
      </c>
      <c r="C15" s="99"/>
    </row>
    <row r="16" spans="1:3" ht="15.75" customHeight="1">
      <c r="A16" s="99"/>
      <c r="B16" s="98" t="s">
        <v>226</v>
      </c>
      <c r="C16" s="99"/>
    </row>
    <row r="17" spans="1:6" ht="15.75" customHeight="1">
      <c r="A17" s="99"/>
      <c r="B17" s="111" t="s">
        <v>227</v>
      </c>
      <c r="C17" s="101"/>
    </row>
    <row r="18" spans="1:6" ht="15.75" customHeight="1">
      <c r="A18" s="58" t="s">
        <v>228</v>
      </c>
      <c r="B18" s="100" t="s">
        <v>118</v>
      </c>
      <c r="C18" s="101"/>
    </row>
    <row r="19" spans="1:6" ht="15.75" customHeight="1">
      <c r="A19" s="58" t="s">
        <v>229</v>
      </c>
      <c r="B19" s="110" t="s">
        <v>119</v>
      </c>
      <c r="C19" s="99"/>
    </row>
    <row r="20" spans="1:6" ht="15.75" customHeight="1">
      <c r="A20" s="58" t="s">
        <v>230</v>
      </c>
      <c r="B20" s="99" t="s">
        <v>231</v>
      </c>
      <c r="C20" s="99"/>
    </row>
    <row r="21" spans="1:6" ht="15.75" customHeight="1">
      <c r="A21" s="11" t="s">
        <v>49</v>
      </c>
      <c r="B21" s="99" t="s">
        <v>120</v>
      </c>
      <c r="C21" s="99"/>
    </row>
    <row r="22" spans="1:6" ht="15.75" customHeight="1">
      <c r="A22" s="58" t="s">
        <v>232</v>
      </c>
      <c r="B22" s="104" t="s">
        <v>121</v>
      </c>
      <c r="C22" s="101"/>
    </row>
    <row r="23" spans="1:6" ht="15.75" customHeight="1">
      <c r="A23" s="58" t="s">
        <v>233</v>
      </c>
      <c r="B23" s="110" t="s">
        <v>293</v>
      </c>
      <c r="C23" s="99"/>
    </row>
    <row r="24" spans="1:6" ht="15.75" customHeight="1">
      <c r="A24" s="58" t="s">
        <v>234</v>
      </c>
      <c r="B24" s="99" t="s">
        <v>122</v>
      </c>
      <c r="C24" s="99"/>
    </row>
    <row r="25" spans="1:6" ht="15.75" customHeight="1">
      <c r="A25" s="58" t="s">
        <v>235</v>
      </c>
      <c r="B25" s="107" t="s">
        <v>113</v>
      </c>
      <c r="C25" s="107"/>
    </row>
    <row r="26" spans="1:6" ht="15.75" customHeight="1">
      <c r="A26" s="58" t="s">
        <v>236</v>
      </c>
      <c r="B26" s="99" t="s">
        <v>11</v>
      </c>
      <c r="C26" s="99"/>
    </row>
    <row r="27" spans="1:6" ht="15.75" customHeight="1">
      <c r="A27" s="58" t="s">
        <v>237</v>
      </c>
      <c r="B27" s="99" t="s">
        <v>238</v>
      </c>
      <c r="C27" s="99"/>
    </row>
    <row r="28" spans="1:6" ht="15.75" customHeight="1">
      <c r="A28" s="58" t="s">
        <v>239</v>
      </c>
      <c r="B28" s="107" t="s">
        <v>240</v>
      </c>
      <c r="C28" s="107"/>
    </row>
    <row r="29" spans="1:6" ht="15.75" customHeight="1">
      <c r="A29" s="58" t="s">
        <v>241</v>
      </c>
      <c r="B29" s="107" t="s">
        <v>242</v>
      </c>
      <c r="C29" s="107"/>
    </row>
    <row r="30" spans="1:6" ht="15.75" customHeight="1">
      <c r="A30" s="58" t="s">
        <v>243</v>
      </c>
      <c r="B30" s="107" t="s">
        <v>242</v>
      </c>
      <c r="C30" s="107"/>
    </row>
    <row r="31" spans="1:6" ht="15.75" customHeight="1">
      <c r="A31" s="58" t="s">
        <v>244</v>
      </c>
      <c r="B31" s="107" t="s">
        <v>245</v>
      </c>
      <c r="C31" s="107"/>
      <c r="F31" s="14"/>
    </row>
    <row r="32" spans="1:6" ht="15.75" customHeight="1">
      <c r="A32" s="95" t="s">
        <v>246</v>
      </c>
      <c r="B32" s="108" t="s">
        <v>123</v>
      </c>
      <c r="C32" s="109"/>
    </row>
    <row r="33" spans="1:3" ht="30" customHeight="1">
      <c r="A33" s="58" t="s">
        <v>247</v>
      </c>
      <c r="B33" s="108" t="s">
        <v>125</v>
      </c>
      <c r="C33" s="109"/>
    </row>
    <row r="34" spans="1:3" ht="15.75" customHeight="1">
      <c r="A34" s="58" t="s">
        <v>248</v>
      </c>
      <c r="B34" s="108" t="s">
        <v>124</v>
      </c>
      <c r="C34" s="109"/>
    </row>
    <row r="35" spans="1:3" ht="15.75" customHeight="1">
      <c r="A35" s="58" t="s">
        <v>249</v>
      </c>
      <c r="B35" s="99" t="s">
        <v>114</v>
      </c>
      <c r="C35" s="99"/>
    </row>
    <row r="36" spans="1:3" ht="15.75" customHeight="1">
      <c r="A36" s="58" t="s">
        <v>250</v>
      </c>
      <c r="B36" s="100" t="s">
        <v>251</v>
      </c>
      <c r="C36" s="101"/>
    </row>
    <row r="37" spans="1:3" ht="15.75" customHeight="1">
      <c r="A37" s="58" t="s">
        <v>252</v>
      </c>
      <c r="B37" s="99" t="s">
        <v>253</v>
      </c>
      <c r="C37" s="99"/>
    </row>
    <row r="38" spans="1:3" ht="15.75" customHeight="1">
      <c r="A38" s="95" t="s">
        <v>254</v>
      </c>
      <c r="B38" s="58" t="s">
        <v>255</v>
      </c>
      <c r="C38" s="94" t="s">
        <v>256</v>
      </c>
    </row>
    <row r="39" spans="1:3" ht="15.75" customHeight="1">
      <c r="A39" s="96" t="s">
        <v>257</v>
      </c>
      <c r="B39" s="97" t="s">
        <v>258</v>
      </c>
      <c r="C39" s="97" t="s">
        <v>259</v>
      </c>
    </row>
    <row r="40" spans="1:3" ht="15.75" customHeight="1">
      <c r="A40" s="96" t="s">
        <v>260</v>
      </c>
      <c r="B40" s="97" t="s">
        <v>261</v>
      </c>
      <c r="C40" s="97" t="s">
        <v>262</v>
      </c>
    </row>
    <row r="41" spans="1:3" ht="15.75" customHeight="1">
      <c r="A41" s="96" t="s">
        <v>263</v>
      </c>
      <c r="B41" s="97" t="s">
        <v>264</v>
      </c>
      <c r="C41" s="97" t="s">
        <v>265</v>
      </c>
    </row>
    <row r="42" spans="1:3" ht="15.75" customHeight="1">
      <c r="A42" s="96" t="s">
        <v>266</v>
      </c>
      <c r="B42" s="97" t="s">
        <v>267</v>
      </c>
      <c r="C42" s="97" t="s">
        <v>268</v>
      </c>
    </row>
    <row r="43" spans="1:3" ht="62.25" customHeight="1">
      <c r="A43" s="58" t="s">
        <v>269</v>
      </c>
      <c r="B43" s="99" t="s">
        <v>270</v>
      </c>
      <c r="C43" s="99"/>
    </row>
    <row r="44" spans="1:3" ht="38.25" customHeight="1">
      <c r="A44" s="58" t="s">
        <v>271</v>
      </c>
      <c r="B44" s="106" t="s">
        <v>52</v>
      </c>
      <c r="C44" s="99"/>
    </row>
    <row r="45" spans="1:3" ht="19.5" customHeight="1">
      <c r="A45" s="58" t="s">
        <v>272</v>
      </c>
      <c r="B45" s="99" t="s">
        <v>273</v>
      </c>
      <c r="C45" s="99"/>
    </row>
    <row r="46" spans="1:3" ht="48" customHeight="1">
      <c r="A46" s="58" t="s">
        <v>274</v>
      </c>
      <c r="B46" s="100" t="s">
        <v>275</v>
      </c>
      <c r="C46" s="101"/>
    </row>
    <row r="47" spans="1:3" ht="39" customHeight="1">
      <c r="A47" s="58" t="s">
        <v>276</v>
      </c>
      <c r="B47" s="100" t="s">
        <v>275</v>
      </c>
      <c r="C47" s="101"/>
    </row>
    <row r="48" spans="1:3" ht="36.75" customHeight="1">
      <c r="A48" s="58" t="s">
        <v>277</v>
      </c>
      <c r="B48" s="102" t="s">
        <v>278</v>
      </c>
      <c r="C48" s="103"/>
    </row>
    <row r="49" spans="1:3" ht="28.5" customHeight="1">
      <c r="A49" s="58" t="s">
        <v>279</v>
      </c>
      <c r="B49" s="102" t="s">
        <v>278</v>
      </c>
      <c r="C49" s="103"/>
    </row>
    <row r="50" spans="1:3" ht="33.75" customHeight="1">
      <c r="A50" s="58" t="s">
        <v>280</v>
      </c>
      <c r="B50" s="99" t="s">
        <v>281</v>
      </c>
      <c r="C50" s="99"/>
    </row>
    <row r="51" spans="1:3" ht="15.75" customHeight="1">
      <c r="A51" s="58" t="s">
        <v>282</v>
      </c>
      <c r="B51" s="99" t="s">
        <v>283</v>
      </c>
      <c r="C51" s="99"/>
    </row>
    <row r="52" spans="1:3" ht="15.75" customHeight="1">
      <c r="A52" s="58" t="s">
        <v>284</v>
      </c>
      <c r="B52" s="99" t="s">
        <v>285</v>
      </c>
      <c r="C52" s="99"/>
    </row>
    <row r="53" spans="1:3" ht="15.75" customHeight="1">
      <c r="A53" s="11" t="s">
        <v>126</v>
      </c>
      <c r="B53" s="104" t="s">
        <v>286</v>
      </c>
      <c r="C53" s="105"/>
    </row>
    <row r="54" spans="1:3" ht="15.75" customHeight="1">
      <c r="A54" s="58" t="s">
        <v>287</v>
      </c>
      <c r="B54" s="102" t="s">
        <v>128</v>
      </c>
      <c r="C54" s="103"/>
    </row>
    <row r="55" spans="1:3" ht="15.75" customHeight="1">
      <c r="A55" s="58" t="s">
        <v>288</v>
      </c>
      <c r="B55" s="99" t="s">
        <v>289</v>
      </c>
      <c r="C55" s="99"/>
    </row>
    <row r="56" spans="1:3" ht="15.75" customHeight="1">
      <c r="A56" s="58" t="s">
        <v>290</v>
      </c>
      <c r="B56" s="99" t="s">
        <v>108</v>
      </c>
      <c r="C56" s="99"/>
    </row>
    <row r="57" spans="1:3" ht="15.75" customHeight="1">
      <c r="A57" s="58" t="s">
        <v>291</v>
      </c>
      <c r="B57" s="98" t="s">
        <v>292</v>
      </c>
      <c r="C57" s="99"/>
    </row>
    <row r="58" spans="1:3" ht="15.75" customHeight="1"/>
    <row r="60" spans="1:3" ht="19.5" customHeight="1">
      <c r="A60" s="45"/>
    </row>
    <row r="61" spans="1:3" ht="19.5" customHeight="1">
      <c r="A61" s="45"/>
    </row>
    <row r="62" spans="1:3" ht="19.5" customHeight="1">
      <c r="A62" s="45"/>
    </row>
  </sheetData>
  <mergeCells count="48">
    <mergeCell ref="B12:C12"/>
    <mergeCell ref="B3:C3"/>
    <mergeCell ref="B4:C4"/>
    <mergeCell ref="B5:C5"/>
    <mergeCell ref="B11:C11"/>
    <mergeCell ref="B10:C10"/>
    <mergeCell ref="A13:A14"/>
    <mergeCell ref="B13:C13"/>
    <mergeCell ref="B14:C14"/>
    <mergeCell ref="A15:A17"/>
    <mergeCell ref="B15:C15"/>
    <mergeCell ref="B16:C16"/>
    <mergeCell ref="B17:C17"/>
    <mergeCell ref="B29:C2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0:C30"/>
    <mergeCell ref="B31:C31"/>
    <mergeCell ref="B32:C32"/>
    <mergeCell ref="B33:C33"/>
    <mergeCell ref="B34:C34"/>
    <mergeCell ref="B35:C35"/>
    <mergeCell ref="B36:C36"/>
    <mergeCell ref="B37:C37"/>
    <mergeCell ref="B43:C43"/>
    <mergeCell ref="B44:C44"/>
    <mergeCell ref="B45:C45"/>
    <mergeCell ref="B46:C46"/>
    <mergeCell ref="B54:C54"/>
    <mergeCell ref="B55:C55"/>
    <mergeCell ref="B56:C56"/>
    <mergeCell ref="B53:C53"/>
    <mergeCell ref="B57:C57"/>
    <mergeCell ref="B50:C50"/>
    <mergeCell ref="B51:C51"/>
    <mergeCell ref="B52:C52"/>
    <mergeCell ref="B47:C47"/>
    <mergeCell ref="B48:C48"/>
    <mergeCell ref="B49:C49"/>
  </mergeCells>
  <phoneticPr fontId="4" type="noConversion"/>
  <pageMargins left="0.7" right="0.7" top="0.75" bottom="0.75" header="0.3" footer="0.3"/>
  <pageSetup paperSize="9" scale="57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E4D6-520C-47A2-9C3A-9385D058269F}">
  <dimension ref="A2:B11"/>
  <sheetViews>
    <sheetView zoomScaleNormal="100" zoomScaleSheetLayoutView="100" workbookViewId="0">
      <selection activeCell="B16" sqref="B16"/>
    </sheetView>
  </sheetViews>
  <sheetFormatPr defaultColWidth="8.33203125" defaultRowHeight="15.75" customHeight="1"/>
  <cols>
    <col min="1" max="1" width="16.77734375" style="2" customWidth="1"/>
    <col min="2" max="2" width="39.77734375" style="2" customWidth="1"/>
    <col min="3" max="3" width="19.33203125" style="2" customWidth="1"/>
    <col min="4" max="4" width="28.33203125" style="2" customWidth="1"/>
    <col min="5" max="16384" width="8.33203125" style="2"/>
  </cols>
  <sheetData>
    <row r="2" spans="1:2" ht="15.75" customHeight="1">
      <c r="A2" s="14" t="s">
        <v>203</v>
      </c>
    </row>
    <row r="4" spans="1:2" ht="15.75" customHeight="1">
      <c r="A4" s="25" t="s">
        <v>135</v>
      </c>
      <c r="B4" s="93" t="s">
        <v>204</v>
      </c>
    </row>
    <row r="5" spans="1:2" ht="15.75" customHeight="1">
      <c r="A5" s="25" t="s">
        <v>136</v>
      </c>
      <c r="B5" s="25" t="s">
        <v>107</v>
      </c>
    </row>
    <row r="6" spans="1:2" ht="15.75" customHeight="1">
      <c r="A6" s="25" t="s">
        <v>138</v>
      </c>
      <c r="B6" s="25" t="s">
        <v>96</v>
      </c>
    </row>
    <row r="7" spans="1:2" ht="15.75" customHeight="1">
      <c r="A7" s="25" t="s">
        <v>139</v>
      </c>
      <c r="B7" s="25" t="s">
        <v>97</v>
      </c>
    </row>
    <row r="8" spans="1:2" ht="15.75" customHeight="1">
      <c r="A8" s="26" t="s">
        <v>132</v>
      </c>
      <c r="B8" s="27">
        <v>0.85499999999999998</v>
      </c>
    </row>
    <row r="9" spans="1:2" ht="15.75" customHeight="1">
      <c r="A9" s="25" t="s">
        <v>140</v>
      </c>
      <c r="B9" s="25" t="s">
        <v>98</v>
      </c>
    </row>
    <row r="10" spans="1:2" ht="15.75" customHeight="1">
      <c r="A10" s="26" t="s">
        <v>99</v>
      </c>
      <c r="B10" s="29">
        <v>46060</v>
      </c>
    </row>
    <row r="11" spans="1:2" ht="15.75" customHeight="1">
      <c r="A11" s="25" t="s">
        <v>142</v>
      </c>
      <c r="B11" s="25" t="s">
        <v>100</v>
      </c>
    </row>
  </sheetData>
  <phoneticPr fontId="12" type="noConversion"/>
  <printOptions horizontalCentered="1" headings="1" gridLines="1"/>
  <pageMargins left="0.70866141732283472" right="0.70866141732283472" top="0.74803149606299213" bottom="0.74803149606299213" header="0.31496062992125984" footer="0.31496062992125984"/>
  <pageSetup scale="78" orientation="landscape" r:id="rId1"/>
  <headerFooter>
    <oddHeader>&amp;C1632RB2二次数据汇总</oddHeader>
    <oddFooter>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C067-1D70-4E47-AAA0-3FE9DFF76289}">
  <dimension ref="A2:D12"/>
  <sheetViews>
    <sheetView zoomScaleNormal="100" zoomScaleSheetLayoutView="100" workbookViewId="0">
      <selection activeCell="B9" sqref="B9"/>
    </sheetView>
  </sheetViews>
  <sheetFormatPr defaultColWidth="8.33203125" defaultRowHeight="15.75" customHeight="1"/>
  <cols>
    <col min="1" max="1" width="24.77734375" style="2" customWidth="1"/>
    <col min="2" max="2" width="44.109375" style="2" customWidth="1"/>
    <col min="3" max="7" width="8.21875" style="2" customWidth="1"/>
    <col min="8" max="16384" width="8.33203125" style="2"/>
  </cols>
  <sheetData>
    <row r="2" spans="1:4" ht="15.75" customHeight="1">
      <c r="A2" s="14" t="s">
        <v>134</v>
      </c>
      <c r="D2" s="20"/>
    </row>
    <row r="4" spans="1:4" s="14" customFormat="1" ht="15.75" customHeight="1">
      <c r="A4" s="25" t="s">
        <v>135</v>
      </c>
      <c r="B4" s="21" t="s">
        <v>101</v>
      </c>
    </row>
    <row r="5" spans="1:4" s="14" customFormat="1" ht="15.75" customHeight="1">
      <c r="A5" s="25" t="s">
        <v>136</v>
      </c>
      <c r="B5" s="25" t="s">
        <v>137</v>
      </c>
    </row>
    <row r="6" spans="1:4" s="14" customFormat="1" ht="15.75" customHeight="1">
      <c r="A6" s="25" t="s">
        <v>138</v>
      </c>
      <c r="B6" s="25" t="s">
        <v>102</v>
      </c>
    </row>
    <row r="7" spans="1:4" s="14" customFormat="1" ht="15.75" customHeight="1">
      <c r="A7" s="25" t="s">
        <v>139</v>
      </c>
      <c r="B7" s="25" t="s">
        <v>103</v>
      </c>
    </row>
    <row r="8" spans="1:4" s="14" customFormat="1" ht="15.75" customHeight="1">
      <c r="A8" s="26" t="s">
        <v>48</v>
      </c>
      <c r="B8" s="27" t="s">
        <v>104</v>
      </c>
    </row>
    <row r="9" spans="1:4" s="14" customFormat="1" ht="15.75" customHeight="1">
      <c r="A9" s="25" t="s">
        <v>140</v>
      </c>
      <c r="B9" s="28" t="s">
        <v>141</v>
      </c>
    </row>
    <row r="10" spans="1:4" s="14" customFormat="1" ht="15.75" customHeight="1">
      <c r="A10" s="26" t="s">
        <v>99</v>
      </c>
      <c r="B10" s="29">
        <v>46599</v>
      </c>
    </row>
    <row r="11" spans="1:4" s="14" customFormat="1" ht="15.75" customHeight="1">
      <c r="A11" s="25" t="s">
        <v>142</v>
      </c>
      <c r="B11" s="26" t="s">
        <v>105</v>
      </c>
    </row>
    <row r="12" spans="1:4" ht="15.75" customHeight="1">
      <c r="A12" s="22" t="s">
        <v>106</v>
      </c>
    </row>
  </sheetData>
  <phoneticPr fontId="12" type="noConversion"/>
  <printOptions horizontalCentered="1" headings="1" gridLines="1"/>
  <pageMargins left="0.70866141732283472" right="0.70866141732283472" top="0.74803149606299213" bottom="0.74803149606299213" header="0.31496062992125984" footer="0.31496062992125984"/>
  <pageSetup scale="78" orientation="landscape" r:id="rId1"/>
  <headerFooter>
    <oddHeader>&amp;C1632RB2二次数据汇总</oddHeader>
    <oddFooter>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DBEE-943D-43E7-B3B9-053DE2BDDD48}">
  <dimension ref="A2:C10"/>
  <sheetViews>
    <sheetView zoomScaleNormal="100" zoomScaleSheetLayoutView="100" workbookViewId="0">
      <selection activeCell="B10" sqref="B10"/>
    </sheetView>
  </sheetViews>
  <sheetFormatPr defaultColWidth="8.21875" defaultRowHeight="15.75" customHeight="1"/>
  <cols>
    <col min="1" max="1" width="21.33203125" style="20" customWidth="1"/>
    <col min="2" max="2" width="33" style="20" customWidth="1"/>
    <col min="3" max="3" width="30.44140625" style="20" customWidth="1"/>
    <col min="4" max="4" width="17.5546875" style="20" customWidth="1"/>
    <col min="5" max="16384" width="8.21875" style="20"/>
  </cols>
  <sheetData>
    <row r="2" spans="1:3" ht="15.75" customHeight="1">
      <c r="A2" s="20" t="s">
        <v>196</v>
      </c>
    </row>
    <row r="4" spans="1:3" ht="15.75" customHeight="1">
      <c r="A4" s="89" t="s">
        <v>197</v>
      </c>
      <c r="B4" s="89" t="s">
        <v>198</v>
      </c>
      <c r="C4" s="90" t="s">
        <v>47</v>
      </c>
    </row>
    <row r="5" spans="1:3" ht="15.75" customHeight="1">
      <c r="A5" s="58" t="s">
        <v>199</v>
      </c>
      <c r="B5" s="58" t="s">
        <v>46</v>
      </c>
      <c r="C5" s="91" t="s">
        <v>45</v>
      </c>
    </row>
    <row r="6" spans="1:3" ht="15.75" customHeight="1">
      <c r="A6" s="58" t="s">
        <v>200</v>
      </c>
      <c r="B6" s="58" t="s">
        <v>46</v>
      </c>
      <c r="C6" s="91" t="s">
        <v>45</v>
      </c>
    </row>
    <row r="7" spans="1:3" ht="15.75" customHeight="1">
      <c r="A7" s="58" t="s">
        <v>201</v>
      </c>
      <c r="B7" s="58" t="s">
        <v>46</v>
      </c>
      <c r="C7" s="91" t="s">
        <v>45</v>
      </c>
    </row>
    <row r="8" spans="1:3" ht="15.75" customHeight="1">
      <c r="A8" s="92" t="s">
        <v>51</v>
      </c>
      <c r="B8" s="58" t="s">
        <v>46</v>
      </c>
      <c r="C8" s="91" t="s">
        <v>45</v>
      </c>
    </row>
    <row r="9" spans="1:3" ht="15.75" customHeight="1">
      <c r="A9" s="58" t="s">
        <v>202</v>
      </c>
      <c r="B9" s="58" t="s">
        <v>46</v>
      </c>
      <c r="C9" s="91" t="s">
        <v>45</v>
      </c>
    </row>
    <row r="10" spans="1:3" ht="15.75" customHeight="1">
      <c r="A10" s="91" t="s">
        <v>94</v>
      </c>
      <c r="B10" s="11" t="s">
        <v>131</v>
      </c>
      <c r="C10" s="91" t="s">
        <v>45</v>
      </c>
    </row>
  </sheetData>
  <phoneticPr fontId="12" type="noConversion"/>
  <printOptions horizontalCentered="1" headings="1" gridLines="1"/>
  <pageMargins left="0.70866141732283472" right="0.70866141732283472" top="0.74803149606299213" bottom="0.74803149606299213" header="0.31496062992125984" footer="0.31496062992125984"/>
  <pageSetup scale="78" orientation="landscape" r:id="rId1"/>
  <headerFooter>
    <oddHeader>&amp;C1632RB2二次数据汇总</oddHeader>
    <oddFooter>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C5068-DC6B-47A9-8F3E-B64FD7520419}">
  <dimension ref="A1:F6"/>
  <sheetViews>
    <sheetView zoomScaleNormal="100" zoomScaleSheetLayoutView="100" workbookViewId="0">
      <selection activeCell="B16" sqref="B16"/>
    </sheetView>
  </sheetViews>
  <sheetFormatPr defaultColWidth="9" defaultRowHeight="15.75" customHeight="1"/>
  <cols>
    <col min="1" max="1" width="30.77734375" customWidth="1"/>
    <col min="2" max="2" width="35.33203125" customWidth="1"/>
    <col min="3" max="3" width="18" customWidth="1"/>
    <col min="4" max="4" width="18.77734375" customWidth="1"/>
  </cols>
  <sheetData>
    <row r="1" spans="1:6" ht="14.4">
      <c r="A1" s="18" t="s">
        <v>12</v>
      </c>
      <c r="B1" s="19"/>
    </row>
    <row r="3" spans="1:6" s="2" customFormat="1" ht="14.4">
      <c r="A3" s="88" t="s">
        <v>13</v>
      </c>
      <c r="B3" s="88" t="s">
        <v>14</v>
      </c>
      <c r="C3" s="88" t="s">
        <v>15</v>
      </c>
      <c r="D3" s="88" t="s">
        <v>16</v>
      </c>
    </row>
    <row r="4" spans="1:6" s="2" customFormat="1" ht="16.2">
      <c r="A4" s="40" t="s">
        <v>194</v>
      </c>
      <c r="B4" s="12" t="s">
        <v>91</v>
      </c>
      <c r="C4" s="7" t="s">
        <v>90</v>
      </c>
      <c r="D4" s="8">
        <v>45979</v>
      </c>
      <c r="F4" s="18"/>
    </row>
    <row r="5" spans="1:6" s="2" customFormat="1" ht="16.2">
      <c r="A5" s="40" t="s">
        <v>194</v>
      </c>
      <c r="B5" s="12" t="s">
        <v>91</v>
      </c>
      <c r="C5" s="7" t="s">
        <v>92</v>
      </c>
      <c r="D5" s="8">
        <v>45897</v>
      </c>
      <c r="F5" s="18"/>
    </row>
    <row r="6" spans="1:6" ht="15.75" customHeight="1">
      <c r="A6" s="40" t="s">
        <v>195</v>
      </c>
      <c r="B6" s="12" t="s">
        <v>43</v>
      </c>
      <c r="C6" s="7" t="s">
        <v>93</v>
      </c>
      <c r="D6" s="8">
        <v>45901</v>
      </c>
    </row>
  </sheetData>
  <phoneticPr fontId="12" type="noConversion"/>
  <pageMargins left="0.7" right="0.7" top="0.75" bottom="0.75" header="0.3" footer="0.3"/>
  <pageSetup paperSize="9" scale="76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4469-7EDE-483C-8F32-D23A6021BDB3}">
  <dimension ref="A2:C12"/>
  <sheetViews>
    <sheetView zoomScaleNormal="100" zoomScaleSheetLayoutView="100" workbookViewId="0">
      <selection activeCell="B16" sqref="B16"/>
    </sheetView>
  </sheetViews>
  <sheetFormatPr defaultColWidth="8.77734375" defaultRowHeight="16.5" customHeight="1"/>
  <cols>
    <col min="1" max="1" width="23.33203125" style="14" customWidth="1"/>
    <col min="2" max="2" width="26.109375" style="14" customWidth="1"/>
    <col min="3" max="3" width="30.77734375" style="14" customWidth="1"/>
    <col min="4" max="16384" width="8.77734375" style="14"/>
  </cols>
  <sheetData>
    <row r="2" spans="1:3" ht="13.8">
      <c r="A2" s="15" t="s">
        <v>17</v>
      </c>
    </row>
    <row r="4" spans="1:3" ht="15.6">
      <c r="A4" s="16" t="s">
        <v>18</v>
      </c>
      <c r="B4" s="16" t="s">
        <v>19</v>
      </c>
      <c r="C4" s="16" t="s">
        <v>20</v>
      </c>
    </row>
    <row r="5" spans="1:3" ht="15.6">
      <c r="A5" s="112" t="s">
        <v>21</v>
      </c>
      <c r="B5" s="17">
        <v>45902</v>
      </c>
      <c r="C5" s="113" t="s">
        <v>22</v>
      </c>
    </row>
    <row r="6" spans="1:3" ht="15.6">
      <c r="A6" s="112"/>
      <c r="B6" s="17">
        <v>45903</v>
      </c>
      <c r="C6" s="113"/>
    </row>
    <row r="7" spans="1:3" ht="15.6">
      <c r="A7" s="112"/>
      <c r="B7" s="17">
        <v>45905</v>
      </c>
      <c r="C7" s="113"/>
    </row>
    <row r="8" spans="1:3" ht="15.6">
      <c r="A8" s="112"/>
      <c r="B8" s="17">
        <v>45997</v>
      </c>
      <c r="C8" s="113"/>
    </row>
    <row r="9" spans="1:3" ht="15.6">
      <c r="A9" s="112" t="s">
        <v>23</v>
      </c>
      <c r="B9" s="17">
        <v>45902</v>
      </c>
      <c r="C9" s="113" t="s">
        <v>22</v>
      </c>
    </row>
    <row r="10" spans="1:3" ht="15.6">
      <c r="A10" s="112"/>
      <c r="B10" s="17">
        <v>45903</v>
      </c>
      <c r="C10" s="113"/>
    </row>
    <row r="11" spans="1:3" ht="15.6">
      <c r="A11" s="112"/>
      <c r="B11" s="17">
        <v>45905</v>
      </c>
      <c r="C11" s="113"/>
    </row>
    <row r="12" spans="1:3" ht="15.6">
      <c r="A12" s="112"/>
      <c r="B12" s="17">
        <v>45997</v>
      </c>
      <c r="C12" s="113"/>
    </row>
  </sheetData>
  <mergeCells count="4">
    <mergeCell ref="A5:A8"/>
    <mergeCell ref="C5:C8"/>
    <mergeCell ref="A9:A12"/>
    <mergeCell ref="C9:C12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G24"/>
  <sheetViews>
    <sheetView topLeftCell="A3" zoomScaleNormal="100" zoomScaleSheetLayoutView="100" workbookViewId="0">
      <selection activeCell="E5" sqref="E5"/>
    </sheetView>
  </sheetViews>
  <sheetFormatPr defaultColWidth="8.77734375" defaultRowHeight="13.8"/>
  <cols>
    <col min="1" max="1" width="7.77734375" style="2" customWidth="1"/>
    <col min="2" max="2" width="48.44140625" style="2" customWidth="1"/>
    <col min="3" max="4" width="12.21875" style="2" customWidth="1"/>
    <col min="5" max="5" width="13.77734375" style="74" customWidth="1"/>
    <col min="6" max="6" width="13.109375" style="2" customWidth="1"/>
    <col min="7" max="7" width="9.5546875" style="2" bestFit="1" customWidth="1"/>
    <col min="8" max="16384" width="8.77734375" style="2"/>
  </cols>
  <sheetData>
    <row r="2" spans="1:6">
      <c r="A2" s="114" t="s">
        <v>6</v>
      </c>
      <c r="B2" s="114"/>
      <c r="C2" s="1"/>
    </row>
    <row r="3" spans="1:6">
      <c r="A3" s="85"/>
    </row>
    <row r="4" spans="1:6" s="14" customFormat="1" ht="31.5" customHeight="1">
      <c r="A4" s="7" t="s">
        <v>147</v>
      </c>
      <c r="B4" s="7" t="s">
        <v>187</v>
      </c>
      <c r="C4" s="7" t="s">
        <v>188</v>
      </c>
      <c r="D4" s="7" t="s">
        <v>169</v>
      </c>
      <c r="E4" s="7" t="s">
        <v>189</v>
      </c>
      <c r="F4" s="3" t="s">
        <v>190</v>
      </c>
    </row>
    <row r="5" spans="1:6" s="14" customFormat="1" ht="48" customHeight="1">
      <c r="A5" s="86">
        <v>1</v>
      </c>
      <c r="B5" s="11" t="s">
        <v>191</v>
      </c>
      <c r="C5" s="8">
        <v>45902</v>
      </c>
      <c r="D5" s="8">
        <v>45902</v>
      </c>
      <c r="E5" s="7" t="s">
        <v>9</v>
      </c>
      <c r="F5" s="3" t="s">
        <v>67</v>
      </c>
    </row>
    <row r="6" spans="1:6" s="14" customFormat="1" ht="44.25" customHeight="1">
      <c r="A6" s="86">
        <v>2</v>
      </c>
      <c r="B6" s="10" t="s">
        <v>68</v>
      </c>
      <c r="C6" s="8">
        <v>45903</v>
      </c>
      <c r="D6" s="8">
        <v>45903</v>
      </c>
      <c r="E6" s="7" t="s">
        <v>9</v>
      </c>
      <c r="F6" s="3" t="s">
        <v>67</v>
      </c>
    </row>
    <row r="7" spans="1:6" s="14" customFormat="1" ht="71.400000000000006" customHeight="1">
      <c r="A7" s="86">
        <v>3</v>
      </c>
      <c r="B7" s="10" t="s">
        <v>129</v>
      </c>
      <c r="C7" s="8">
        <v>45905</v>
      </c>
      <c r="D7" s="8">
        <v>45905</v>
      </c>
      <c r="E7" s="7" t="s">
        <v>9</v>
      </c>
      <c r="F7" s="3" t="s">
        <v>67</v>
      </c>
    </row>
    <row r="8" spans="1:6" s="14" customFormat="1" ht="45.75" customHeight="1">
      <c r="A8" s="86">
        <v>4</v>
      </c>
      <c r="B8" s="11" t="s">
        <v>69</v>
      </c>
      <c r="C8" s="8">
        <v>45905</v>
      </c>
      <c r="D8" s="8">
        <v>45906</v>
      </c>
      <c r="E8" s="12" t="s">
        <v>192</v>
      </c>
      <c r="F8" s="3" t="s">
        <v>67</v>
      </c>
    </row>
    <row r="9" spans="1:6" s="14" customFormat="1" ht="45.75" customHeight="1">
      <c r="A9" s="86">
        <v>5</v>
      </c>
      <c r="B9" s="11" t="s">
        <v>70</v>
      </c>
      <c r="C9" s="8">
        <v>45905</v>
      </c>
      <c r="D9" s="8">
        <v>45906</v>
      </c>
      <c r="E9" s="12" t="s">
        <v>192</v>
      </c>
      <c r="F9" s="3" t="s">
        <v>67</v>
      </c>
    </row>
    <row r="10" spans="1:6" s="14" customFormat="1" ht="45.75" customHeight="1">
      <c r="A10" s="86">
        <v>6</v>
      </c>
      <c r="B10" s="10" t="s">
        <v>71</v>
      </c>
      <c r="C10" s="8">
        <v>45903</v>
      </c>
      <c r="D10" s="8">
        <v>45906</v>
      </c>
      <c r="E10" s="7" t="s">
        <v>9</v>
      </c>
      <c r="F10" s="3" t="s">
        <v>67</v>
      </c>
    </row>
    <row r="11" spans="1:6" s="14" customFormat="1" ht="45.75" customHeight="1">
      <c r="A11" s="86">
        <v>7</v>
      </c>
      <c r="B11" s="11" t="s">
        <v>130</v>
      </c>
      <c r="C11" s="8">
        <v>45989</v>
      </c>
      <c r="D11" s="8">
        <v>45990</v>
      </c>
      <c r="E11" s="12" t="s">
        <v>192</v>
      </c>
      <c r="F11" s="3" t="s">
        <v>67</v>
      </c>
    </row>
    <row r="12" spans="1:6" s="14" customFormat="1" ht="42.6" customHeight="1">
      <c r="A12" s="86">
        <v>8</v>
      </c>
      <c r="B12" s="11" t="s">
        <v>59</v>
      </c>
      <c r="C12" s="8">
        <v>45997</v>
      </c>
      <c r="D12" s="8">
        <v>45998</v>
      </c>
      <c r="E12" s="7" t="s">
        <v>9</v>
      </c>
      <c r="F12" s="3" t="s">
        <v>67</v>
      </c>
    </row>
    <row r="13" spans="1:6" ht="14.4">
      <c r="A13" s="30" t="s">
        <v>193</v>
      </c>
    </row>
    <row r="14" spans="1:6" s="14" customFormat="1" ht="15.75" customHeight="1">
      <c r="A14" s="13" t="s">
        <v>72</v>
      </c>
    </row>
    <row r="15" spans="1:6" s="14" customFormat="1" ht="15.75" customHeight="1">
      <c r="A15" s="13" t="s">
        <v>44</v>
      </c>
    </row>
    <row r="16" spans="1:6" ht="14.4">
      <c r="A16" s="13" t="s">
        <v>73</v>
      </c>
      <c r="B16" s="18"/>
      <c r="C16" s="18"/>
      <c r="D16" s="18"/>
      <c r="E16" s="18"/>
    </row>
    <row r="21" spans="4:7">
      <c r="G21" s="87"/>
    </row>
    <row r="23" spans="4:7">
      <c r="D23" s="14"/>
      <c r="E23" s="14"/>
      <c r="F23" s="14"/>
    </row>
    <row r="24" spans="4:7">
      <c r="D24" s="14"/>
      <c r="E24" s="14"/>
      <c r="F24" s="14"/>
    </row>
  </sheetData>
  <mergeCells count="1">
    <mergeCell ref="A2:B2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79" orientation="portrait" r:id="rId1"/>
  <headerFooter>
    <oddHeader>&amp;C 1632MV7生物分析方法学验证数据</oddHeader>
    <oddFooter>&amp;C第&amp;P页，共&amp;N页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4B67-A1A6-42CE-BB69-FA8487D26E2F}">
  <dimension ref="A2:D13"/>
  <sheetViews>
    <sheetView zoomScaleNormal="100" zoomScaleSheetLayoutView="85" workbookViewId="0">
      <selection activeCell="B16" sqref="B16"/>
    </sheetView>
  </sheetViews>
  <sheetFormatPr defaultColWidth="8.77734375" defaultRowHeight="13.8"/>
  <cols>
    <col min="1" max="4" width="17.44140625" style="14" customWidth="1"/>
    <col min="5" max="5" width="17.5546875" style="14" customWidth="1"/>
    <col min="6" max="16384" width="8.77734375" style="14"/>
  </cols>
  <sheetData>
    <row r="2" spans="1:4" ht="14.4">
      <c r="A2" s="115" t="s">
        <v>184</v>
      </c>
      <c r="B2" s="116"/>
      <c r="C2" s="116"/>
    </row>
    <row r="4" spans="1:4">
      <c r="A4" s="117" t="s">
        <v>147</v>
      </c>
      <c r="B4" s="118" t="s">
        <v>7</v>
      </c>
      <c r="C4" s="119"/>
      <c r="D4" s="120"/>
    </row>
    <row r="5" spans="1:4" ht="14.4">
      <c r="A5" s="117"/>
      <c r="B5" s="7" t="s">
        <v>185</v>
      </c>
      <c r="C5" s="7" t="s">
        <v>186</v>
      </c>
      <c r="D5" s="7" t="s">
        <v>50</v>
      </c>
    </row>
    <row r="6" spans="1:4">
      <c r="A6" s="3">
        <v>1</v>
      </c>
      <c r="B6" s="72">
        <v>0.4</v>
      </c>
      <c r="C6" s="72">
        <v>0.4</v>
      </c>
      <c r="D6" s="72">
        <v>8</v>
      </c>
    </row>
    <row r="7" spans="1:4">
      <c r="A7" s="3">
        <v>2</v>
      </c>
      <c r="B7" s="72">
        <v>0</v>
      </c>
      <c r="C7" s="72">
        <v>0.4</v>
      </c>
      <c r="D7" s="72">
        <v>2.1</v>
      </c>
    </row>
    <row r="8" spans="1:4">
      <c r="A8" s="3">
        <v>3</v>
      </c>
      <c r="B8" s="72">
        <v>0.4</v>
      </c>
      <c r="C8" s="72">
        <v>0</v>
      </c>
      <c r="D8" s="72">
        <v>3.1</v>
      </c>
    </row>
    <row r="9" spans="1:4">
      <c r="A9" s="3">
        <v>4</v>
      </c>
      <c r="B9" s="72">
        <v>0.4</v>
      </c>
      <c r="C9" s="72">
        <v>0.4</v>
      </c>
      <c r="D9" s="72">
        <v>3.5</v>
      </c>
    </row>
    <row r="10" spans="1:4">
      <c r="A10" s="3">
        <v>5</v>
      </c>
      <c r="B10" s="72">
        <v>0.4</v>
      </c>
      <c r="C10" s="72">
        <v>0.4</v>
      </c>
      <c r="D10" s="72">
        <v>8</v>
      </c>
    </row>
    <row r="11" spans="1:4">
      <c r="A11" s="3">
        <v>6</v>
      </c>
      <c r="B11" s="72">
        <v>0.4</v>
      </c>
      <c r="C11" s="72">
        <v>0.4</v>
      </c>
      <c r="D11" s="72">
        <v>2.9</v>
      </c>
    </row>
    <row r="12" spans="1:4">
      <c r="A12" s="3">
        <v>7</v>
      </c>
      <c r="B12" s="72">
        <v>0.4</v>
      </c>
      <c r="C12" s="72">
        <v>0</v>
      </c>
      <c r="D12" s="72">
        <v>3.6</v>
      </c>
    </row>
    <row r="13" spans="1:4">
      <c r="A13" s="3">
        <v>8</v>
      </c>
      <c r="B13" s="72">
        <v>0</v>
      </c>
      <c r="C13" s="72">
        <v>0</v>
      </c>
      <c r="D13" s="72">
        <v>2.7</v>
      </c>
    </row>
  </sheetData>
  <mergeCells count="3">
    <mergeCell ref="A2:C2"/>
    <mergeCell ref="A4:A5"/>
    <mergeCell ref="B4:D4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2F20-7664-48B5-B0D9-3974F0F8F2A3}">
  <dimension ref="A2:I15"/>
  <sheetViews>
    <sheetView zoomScale="70" zoomScaleNormal="70" zoomScaleSheetLayoutView="70" workbookViewId="0">
      <selection activeCell="B16" sqref="B16"/>
    </sheetView>
  </sheetViews>
  <sheetFormatPr defaultColWidth="8.77734375" defaultRowHeight="13.8"/>
  <cols>
    <col min="1" max="1" width="9.77734375" style="2" customWidth="1"/>
    <col min="2" max="2" width="15.109375" style="2" customWidth="1"/>
    <col min="3" max="3" width="14.77734375" style="2" customWidth="1"/>
    <col min="4" max="6" width="11.109375" style="2" customWidth="1"/>
    <col min="7" max="7" width="15" style="2" customWidth="1"/>
    <col min="8" max="8" width="9.77734375" style="2" customWidth="1"/>
    <col min="9" max="9" width="11.77734375" style="2" customWidth="1"/>
    <col min="10" max="10" width="11.109375" style="2" customWidth="1"/>
    <col min="11" max="16384" width="8.77734375" style="2"/>
  </cols>
  <sheetData>
    <row r="2" spans="1:9" s="14" customFormat="1" ht="18" customHeight="1">
      <c r="A2" s="125" t="s">
        <v>177</v>
      </c>
      <c r="B2" s="126"/>
      <c r="C2" s="126"/>
    </row>
    <row r="3" spans="1:9" s="14" customFormat="1" ht="18" customHeight="1">
      <c r="A3" s="30"/>
      <c r="B3" s="30"/>
      <c r="C3" s="30"/>
    </row>
    <row r="4" spans="1:9" ht="70.5" customHeight="1">
      <c r="A4" s="7" t="s">
        <v>171</v>
      </c>
      <c r="B4" s="7" t="s">
        <v>178</v>
      </c>
      <c r="C4" s="7" t="s">
        <v>179</v>
      </c>
      <c r="D4" s="7" t="s">
        <v>180</v>
      </c>
      <c r="E4" s="7" t="s">
        <v>181</v>
      </c>
      <c r="F4" s="40" t="s">
        <v>182</v>
      </c>
      <c r="G4" s="7" t="s">
        <v>183</v>
      </c>
      <c r="H4" s="7" t="s">
        <v>24</v>
      </c>
      <c r="I4" s="7" t="s">
        <v>25</v>
      </c>
    </row>
    <row r="5" spans="1:9" ht="14.25" customHeight="1">
      <c r="A5" s="121" t="s">
        <v>74</v>
      </c>
      <c r="B5" s="7">
        <v>1820</v>
      </c>
      <c r="C5" s="7">
        <v>1059</v>
      </c>
      <c r="D5" s="82">
        <v>9767</v>
      </c>
      <c r="E5" s="82">
        <v>216407</v>
      </c>
      <c r="F5" s="123">
        <f>ROUND(AVERAGE(D5:D6),0)</f>
        <v>9166</v>
      </c>
      <c r="G5" s="121">
        <f>ROUND(AVERAGE(E5:E6),0)</f>
        <v>211334</v>
      </c>
      <c r="H5" s="83">
        <f>ROUND(B5/F5*100,1)</f>
        <v>19.899999999999999</v>
      </c>
      <c r="I5" s="83">
        <f>ROUND(C5/G5*100,1)</f>
        <v>0.5</v>
      </c>
    </row>
    <row r="6" spans="1:9" ht="14.25" customHeight="1">
      <c r="A6" s="122"/>
      <c r="B6" s="7">
        <v>1861</v>
      </c>
      <c r="C6" s="7">
        <v>442</v>
      </c>
      <c r="D6" s="82">
        <v>8565</v>
      </c>
      <c r="E6" s="82">
        <v>206261</v>
      </c>
      <c r="F6" s="124"/>
      <c r="G6" s="122"/>
      <c r="H6" s="83">
        <f>ROUND(B6/F5*100,1)</f>
        <v>20.3</v>
      </c>
      <c r="I6" s="83">
        <f>ROUND(C6/G5*100,1)</f>
        <v>0.2</v>
      </c>
    </row>
    <row r="7" spans="1:9" ht="14.25" customHeight="1">
      <c r="A7" s="121" t="s">
        <v>75</v>
      </c>
      <c r="B7" s="7">
        <v>1908</v>
      </c>
      <c r="C7" s="7">
        <v>1148</v>
      </c>
      <c r="D7" s="7">
        <v>8364</v>
      </c>
      <c r="E7" s="7">
        <v>201383</v>
      </c>
      <c r="F7" s="123">
        <f>ROUND(AVERAGE(D7:D8),0)</f>
        <v>8432</v>
      </c>
      <c r="G7" s="121">
        <f>ROUND(AVERAGE(E7:E8),0)</f>
        <v>202109</v>
      </c>
      <c r="H7" s="83">
        <f>ROUND(B7/F7*100,1)</f>
        <v>22.6</v>
      </c>
      <c r="I7" s="83">
        <f>ROUND(C7/G7*100,1)</f>
        <v>0.6</v>
      </c>
    </row>
    <row r="8" spans="1:9" ht="14.25" customHeight="1">
      <c r="A8" s="122"/>
      <c r="B8" s="7">
        <v>2102</v>
      </c>
      <c r="C8" s="7">
        <v>1127</v>
      </c>
      <c r="D8" s="7">
        <v>8500</v>
      </c>
      <c r="E8" s="7">
        <v>202834</v>
      </c>
      <c r="F8" s="124"/>
      <c r="G8" s="122"/>
      <c r="H8" s="83">
        <f>ROUND(B8/F7*100,1)</f>
        <v>24.9</v>
      </c>
      <c r="I8" s="83">
        <f>ROUND(C8/G7*100,1)</f>
        <v>0.6</v>
      </c>
    </row>
    <row r="9" spans="1:9" ht="14.25" customHeight="1">
      <c r="A9" s="121" t="s">
        <v>76</v>
      </c>
      <c r="B9" s="7">
        <v>1505</v>
      </c>
      <c r="C9" s="7">
        <v>755</v>
      </c>
      <c r="D9" s="7">
        <v>6009</v>
      </c>
      <c r="E9" s="7">
        <v>184405</v>
      </c>
      <c r="F9" s="123">
        <f>ROUND(AVERAGE(D9:D10),0)</f>
        <v>7107</v>
      </c>
      <c r="G9" s="121">
        <f>ROUND(AVERAGE(E9:E10),0)</f>
        <v>187443</v>
      </c>
      <c r="H9" s="83">
        <f>ROUND(B9/F9*100,1)</f>
        <v>21.2</v>
      </c>
      <c r="I9" s="83">
        <f>ROUND(C9/G9*100,1)</f>
        <v>0.4</v>
      </c>
    </row>
    <row r="10" spans="1:9" ht="14.25" customHeight="1">
      <c r="A10" s="122"/>
      <c r="B10" s="7">
        <v>1269</v>
      </c>
      <c r="C10" s="7">
        <v>473</v>
      </c>
      <c r="D10" s="7">
        <v>8205</v>
      </c>
      <c r="E10" s="7">
        <v>190481</v>
      </c>
      <c r="F10" s="124"/>
      <c r="G10" s="122"/>
      <c r="H10" s="83">
        <f>ROUND(B10/F9*100,1)</f>
        <v>17.899999999999999</v>
      </c>
      <c r="I10" s="83">
        <f>ROUND(C10/G9*100,1)</f>
        <v>0.3</v>
      </c>
    </row>
    <row r="11" spans="1:9">
      <c r="A11" s="121">
        <v>6</v>
      </c>
      <c r="B11" s="7">
        <v>1046</v>
      </c>
      <c r="C11" s="7">
        <v>816</v>
      </c>
      <c r="D11" s="7">
        <v>8038</v>
      </c>
      <c r="E11" s="7">
        <v>197501</v>
      </c>
      <c r="F11" s="123">
        <f>ROUND(AVERAGE(D11:D12),0)</f>
        <v>7798</v>
      </c>
      <c r="G11" s="121">
        <f>ROUND(AVERAGE(E11:E12),0)</f>
        <v>191939</v>
      </c>
      <c r="H11" s="83">
        <f>ROUND(B11/F11*100,1)</f>
        <v>13.4</v>
      </c>
      <c r="I11" s="83">
        <f>ROUND(C11/G11*100,1)</f>
        <v>0.4</v>
      </c>
    </row>
    <row r="12" spans="1:9">
      <c r="A12" s="122"/>
      <c r="B12" s="7">
        <v>1061</v>
      </c>
      <c r="C12" s="7">
        <v>1410</v>
      </c>
      <c r="D12" s="7">
        <v>7558</v>
      </c>
      <c r="E12" s="7">
        <v>186377</v>
      </c>
      <c r="F12" s="124"/>
      <c r="G12" s="122"/>
      <c r="H12" s="83">
        <f>ROUND(B12/F11*100,1)</f>
        <v>13.6</v>
      </c>
      <c r="I12" s="83">
        <f>ROUND(C12/G11*100,1)</f>
        <v>0.7</v>
      </c>
    </row>
    <row r="13" spans="1:9" ht="15.6" customHeight="1">
      <c r="A13" s="121" t="s">
        <v>78</v>
      </c>
      <c r="B13" s="7">
        <v>1671</v>
      </c>
      <c r="C13" s="7">
        <v>854</v>
      </c>
      <c r="D13" s="7">
        <v>5403</v>
      </c>
      <c r="E13" s="7">
        <v>177695</v>
      </c>
      <c r="F13" s="123">
        <f>ROUND(AVERAGE(D13:D14),0)</f>
        <v>6361</v>
      </c>
      <c r="G13" s="121">
        <f>ROUND(AVERAGE(E13:E14),0)</f>
        <v>183238</v>
      </c>
      <c r="H13" s="83">
        <f>ROUND(B13/F13*100,1)</f>
        <v>26.3</v>
      </c>
      <c r="I13" s="83">
        <f>ROUND(C13/G13*100,1)</f>
        <v>0.5</v>
      </c>
    </row>
    <row r="14" spans="1:9">
      <c r="A14" s="122"/>
      <c r="B14" s="7">
        <v>1723</v>
      </c>
      <c r="C14" s="7">
        <v>795</v>
      </c>
      <c r="D14" s="7">
        <v>7318</v>
      </c>
      <c r="E14" s="7">
        <v>188781</v>
      </c>
      <c r="F14" s="124"/>
      <c r="G14" s="122"/>
      <c r="H14" s="83">
        <f>ROUND(B14/F13*100,1)</f>
        <v>27.1</v>
      </c>
      <c r="I14" s="83">
        <f>ROUND(C14/G13*100,1)</f>
        <v>0.4</v>
      </c>
    </row>
    <row r="15" spans="1:9" ht="15.6">
      <c r="A15" s="84" t="s">
        <v>77</v>
      </c>
      <c r="D15" s="9"/>
      <c r="E15" s="9"/>
    </row>
  </sheetData>
  <mergeCells count="16">
    <mergeCell ref="A13:A14"/>
    <mergeCell ref="F13:F14"/>
    <mergeCell ref="G13:G14"/>
    <mergeCell ref="A2:C2"/>
    <mergeCell ref="F5:F6"/>
    <mergeCell ref="G5:G6"/>
    <mergeCell ref="F7:F8"/>
    <mergeCell ref="G7:G8"/>
    <mergeCell ref="A5:A6"/>
    <mergeCell ref="A7:A8"/>
    <mergeCell ref="A11:A12"/>
    <mergeCell ref="F11:F12"/>
    <mergeCell ref="G11:G12"/>
    <mergeCell ref="F9:F10"/>
    <mergeCell ref="G9:G10"/>
    <mergeCell ref="A9:A10"/>
  </mergeCells>
  <phoneticPr fontId="12" type="noConversion"/>
  <pageMargins left="0.7" right="0.7" top="0.75" bottom="0.75" header="0.3" footer="0.3"/>
  <pageSetup paperSize="9" scale="66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2B43-7F75-49F1-B35E-6538948F00E3}">
  <dimension ref="A2:G14"/>
  <sheetViews>
    <sheetView zoomScaleNormal="100" zoomScaleSheetLayoutView="100" workbookViewId="0">
      <selection activeCell="B16" sqref="B16"/>
    </sheetView>
  </sheetViews>
  <sheetFormatPr defaultColWidth="8.77734375" defaultRowHeight="13.8"/>
  <cols>
    <col min="1" max="1" width="12.44140625" style="2" customWidth="1"/>
    <col min="2" max="2" width="12.21875" style="2" customWidth="1"/>
    <col min="3" max="3" width="14.77734375" style="2" customWidth="1"/>
    <col min="4" max="4" width="12.77734375" style="2" customWidth="1"/>
    <col min="5" max="5" width="9.33203125" style="2" customWidth="1"/>
    <col min="6" max="6" width="11.88671875" style="2" customWidth="1"/>
    <col min="7" max="7" width="13" style="2" customWidth="1"/>
    <col min="8" max="16384" width="8.77734375" style="2"/>
  </cols>
  <sheetData>
    <row r="2" spans="1:7" ht="15.75" customHeight="1">
      <c r="A2" s="114" t="s">
        <v>26</v>
      </c>
      <c r="B2" s="114"/>
      <c r="C2" s="114"/>
      <c r="D2" s="114"/>
    </row>
    <row r="3" spans="1:7" ht="15.75" customHeight="1">
      <c r="A3" s="1"/>
      <c r="B3" s="1"/>
      <c r="C3" s="1"/>
      <c r="D3" s="1"/>
    </row>
    <row r="4" spans="1:7" s="74" customFormat="1" ht="30" customHeight="1">
      <c r="A4" s="7" t="s">
        <v>170</v>
      </c>
      <c r="B4" s="7" t="s">
        <v>171</v>
      </c>
      <c r="C4" s="7" t="s">
        <v>172</v>
      </c>
      <c r="D4" s="7" t="s">
        <v>173</v>
      </c>
      <c r="E4" s="7" t="s">
        <v>174</v>
      </c>
      <c r="F4" s="7" t="s">
        <v>175</v>
      </c>
      <c r="G4" s="7" t="s">
        <v>176</v>
      </c>
    </row>
    <row r="5" spans="1:7" s="74" customFormat="1" ht="16.5" customHeight="1">
      <c r="A5" s="49">
        <v>45902</v>
      </c>
      <c r="B5" s="3">
        <v>1</v>
      </c>
      <c r="C5" s="75">
        <v>0.34239999999999998</v>
      </c>
      <c r="D5" s="76">
        <v>9.5790000000000007E-3</v>
      </c>
      <c r="E5" s="77">
        <v>0.99680000000000002</v>
      </c>
      <c r="F5" s="78">
        <v>0.1</v>
      </c>
      <c r="G5" s="78">
        <v>50</v>
      </c>
    </row>
    <row r="6" spans="1:7" s="74" customFormat="1" ht="16.5" customHeight="1">
      <c r="A6" s="49">
        <v>45903</v>
      </c>
      <c r="B6" s="3">
        <v>2</v>
      </c>
      <c r="C6" s="75">
        <v>0.34320000000000001</v>
      </c>
      <c r="D6" s="76">
        <v>8.8419999999999992E-3</v>
      </c>
      <c r="E6" s="77">
        <v>0.99709999999999999</v>
      </c>
      <c r="F6" s="78">
        <v>0.1</v>
      </c>
      <c r="G6" s="78">
        <v>50</v>
      </c>
    </row>
    <row r="7" spans="1:7" s="74" customFormat="1" ht="16.5" customHeight="1">
      <c r="A7" s="49">
        <v>45905</v>
      </c>
      <c r="B7" s="3">
        <v>3</v>
      </c>
      <c r="C7" s="75">
        <v>0.33839999999999998</v>
      </c>
      <c r="D7" s="76">
        <v>4.0029999999999996E-3</v>
      </c>
      <c r="E7" s="77">
        <v>0.99470000000000003</v>
      </c>
      <c r="F7" s="78">
        <v>0.1</v>
      </c>
      <c r="G7" s="78">
        <v>50</v>
      </c>
    </row>
    <row r="8" spans="1:7" s="74" customFormat="1" ht="16.5" customHeight="1">
      <c r="A8" s="49">
        <v>45906</v>
      </c>
      <c r="B8" s="3">
        <v>6</v>
      </c>
      <c r="C8" s="75">
        <v>0.34050000000000002</v>
      </c>
      <c r="D8" s="76">
        <v>6.6E-3</v>
      </c>
      <c r="E8" s="77">
        <v>0.99870000000000003</v>
      </c>
      <c r="F8" s="78">
        <v>0.1</v>
      </c>
      <c r="G8" s="78">
        <v>50</v>
      </c>
    </row>
    <row r="9" spans="1:7" s="74" customFormat="1" ht="16.5" customHeight="1">
      <c r="A9" s="49">
        <v>45998</v>
      </c>
      <c r="B9" s="3">
        <v>8</v>
      </c>
      <c r="C9" s="75">
        <v>0.31030000000000002</v>
      </c>
      <c r="D9" s="76">
        <v>4.9119999999999997E-3</v>
      </c>
      <c r="E9" s="77">
        <v>0.99170000000000003</v>
      </c>
      <c r="F9" s="78">
        <v>0.1</v>
      </c>
      <c r="G9" s="78">
        <v>50</v>
      </c>
    </row>
    <row r="10" spans="1:7" s="74" customFormat="1" ht="16.5" customHeight="1">
      <c r="A10" s="7" t="s">
        <v>64</v>
      </c>
      <c r="B10" s="127"/>
      <c r="C10" s="75">
        <v>0.33500000000000002</v>
      </c>
      <c r="D10" s="79">
        <v>6.7869999999999996E-3</v>
      </c>
      <c r="E10" s="77">
        <v>0.99580000000000002</v>
      </c>
      <c r="F10" s="127"/>
      <c r="G10" s="127"/>
    </row>
    <row r="11" spans="1:7" s="74" customFormat="1" ht="16.5" customHeight="1">
      <c r="A11" s="7" t="s">
        <v>3</v>
      </c>
      <c r="B11" s="127"/>
      <c r="C11" s="80">
        <v>1.391E-2</v>
      </c>
      <c r="D11" s="79">
        <v>2.415E-3</v>
      </c>
      <c r="E11" s="77">
        <v>2.7000000000000001E-3</v>
      </c>
      <c r="F11" s="127"/>
      <c r="G11" s="127"/>
    </row>
    <row r="12" spans="1:7" s="74" customFormat="1" ht="16.5" customHeight="1">
      <c r="A12" s="7" t="s">
        <v>7</v>
      </c>
      <c r="B12" s="127"/>
      <c r="C12" s="81">
        <v>4.2</v>
      </c>
      <c r="D12" s="81">
        <v>35.6</v>
      </c>
      <c r="E12" s="81">
        <v>0.3</v>
      </c>
      <c r="F12" s="127"/>
      <c r="G12" s="127"/>
    </row>
    <row r="13" spans="1:7" s="74" customFormat="1" ht="16.5" customHeight="1">
      <c r="A13" s="7" t="s">
        <v>4</v>
      </c>
      <c r="B13" s="127"/>
      <c r="C13" s="3">
        <v>5</v>
      </c>
      <c r="D13" s="3">
        <v>5</v>
      </c>
      <c r="E13" s="3">
        <v>5</v>
      </c>
      <c r="F13" s="127"/>
      <c r="G13" s="127"/>
    </row>
    <row r="14" spans="1:7">
      <c r="A14" s="2" t="s">
        <v>27</v>
      </c>
    </row>
  </sheetData>
  <mergeCells count="3">
    <mergeCell ref="A2:D2"/>
    <mergeCell ref="B10:B13"/>
    <mergeCell ref="F10:G13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44782-578A-48A9-837B-5F1D11D82838}">
  <dimension ref="A2:R22"/>
  <sheetViews>
    <sheetView zoomScaleNormal="100" zoomScaleSheetLayoutView="100" workbookViewId="0">
      <selection activeCell="B15" sqref="B15:B16"/>
    </sheetView>
  </sheetViews>
  <sheetFormatPr defaultColWidth="8.77734375" defaultRowHeight="13.8"/>
  <cols>
    <col min="1" max="1" width="12.77734375" style="33" customWidth="1"/>
    <col min="2" max="2" width="7.33203125" style="33" customWidth="1"/>
    <col min="3" max="3" width="8.77734375" style="33"/>
    <col min="4" max="4" width="6.77734375" style="33" customWidth="1"/>
    <col min="5" max="5" width="8.109375" style="33" customWidth="1"/>
    <col min="6" max="6" width="7.21875" style="33" customWidth="1"/>
    <col min="7" max="7" width="8.21875" style="33" customWidth="1"/>
    <col min="8" max="8" width="7.33203125" style="33" customWidth="1"/>
    <col min="9" max="9" width="8.5546875" style="33" customWidth="1"/>
    <col min="10" max="10" width="6.77734375" style="33" customWidth="1"/>
    <col min="11" max="11" width="8.77734375" style="33" customWidth="1"/>
    <col min="12" max="12" width="7.21875" style="33" customWidth="1"/>
    <col min="13" max="13" width="9.33203125" style="33" customWidth="1"/>
    <col min="14" max="14" width="7" style="33" customWidth="1"/>
    <col min="15" max="15" width="8.77734375" style="33" customWidth="1"/>
    <col min="16" max="16" width="6.5546875" style="33" customWidth="1"/>
    <col min="17" max="17" width="9.44140625" style="33" customWidth="1"/>
    <col min="18" max="18" width="6.77734375" style="33" customWidth="1"/>
    <col min="19" max="16384" width="8.77734375" style="33"/>
  </cols>
  <sheetData>
    <row r="2" spans="1:18">
      <c r="A2" s="126" t="s">
        <v>28</v>
      </c>
      <c r="B2" s="126"/>
      <c r="C2" s="126"/>
      <c r="D2" s="126"/>
      <c r="E2" s="126"/>
    </row>
    <row r="3" spans="1:18">
      <c r="A3" s="30"/>
      <c r="B3" s="30"/>
      <c r="C3" s="30"/>
      <c r="D3" s="30"/>
      <c r="E3" s="30"/>
    </row>
    <row r="4" spans="1:18" ht="14.1" customHeight="1">
      <c r="A4" s="117" t="s">
        <v>169</v>
      </c>
      <c r="B4" s="117" t="s">
        <v>147</v>
      </c>
      <c r="C4" s="7" t="s">
        <v>29</v>
      </c>
      <c r="D4" s="117" t="s">
        <v>30</v>
      </c>
      <c r="E4" s="7" t="s">
        <v>31</v>
      </c>
      <c r="F4" s="117" t="s">
        <v>30</v>
      </c>
      <c r="G4" s="7" t="s">
        <v>32</v>
      </c>
      <c r="H4" s="117" t="s">
        <v>30</v>
      </c>
      <c r="I4" s="7" t="s">
        <v>33</v>
      </c>
      <c r="J4" s="117" t="s">
        <v>30</v>
      </c>
      <c r="K4" s="7" t="s">
        <v>34</v>
      </c>
      <c r="L4" s="117" t="s">
        <v>35</v>
      </c>
      <c r="M4" s="7" t="s">
        <v>36</v>
      </c>
      <c r="N4" s="117" t="s">
        <v>35</v>
      </c>
      <c r="O4" s="7" t="s">
        <v>37</v>
      </c>
      <c r="P4" s="117" t="s">
        <v>35</v>
      </c>
      <c r="Q4" s="7" t="s">
        <v>38</v>
      </c>
      <c r="R4" s="117" t="s">
        <v>35</v>
      </c>
    </row>
    <row r="5" spans="1:18" s="70" customFormat="1">
      <c r="A5" s="117"/>
      <c r="B5" s="117"/>
      <c r="C5" s="66">
        <v>0.1</v>
      </c>
      <c r="D5" s="117"/>
      <c r="E5" s="66">
        <v>0.2</v>
      </c>
      <c r="F5" s="117"/>
      <c r="G5" s="66">
        <v>0.5</v>
      </c>
      <c r="H5" s="117"/>
      <c r="I5" s="66">
        <v>1</v>
      </c>
      <c r="J5" s="117"/>
      <c r="K5" s="66">
        <v>5</v>
      </c>
      <c r="L5" s="117"/>
      <c r="M5" s="66">
        <v>10</v>
      </c>
      <c r="N5" s="117"/>
      <c r="O5" s="66">
        <v>40</v>
      </c>
      <c r="P5" s="117"/>
      <c r="Q5" s="66">
        <v>50</v>
      </c>
      <c r="R5" s="117"/>
    </row>
    <row r="6" spans="1:18">
      <c r="A6" s="117"/>
      <c r="B6" s="117"/>
      <c r="C6" s="44" t="s">
        <v>5</v>
      </c>
      <c r="D6" s="117"/>
      <c r="E6" s="44" t="s">
        <v>5</v>
      </c>
      <c r="F6" s="117"/>
      <c r="G6" s="44" t="s">
        <v>5</v>
      </c>
      <c r="H6" s="117"/>
      <c r="I6" s="44" t="s">
        <v>5</v>
      </c>
      <c r="J6" s="117"/>
      <c r="K6" s="44" t="s">
        <v>5</v>
      </c>
      <c r="L6" s="117"/>
      <c r="M6" s="44" t="s">
        <v>5</v>
      </c>
      <c r="N6" s="117"/>
      <c r="O6" s="44" t="s">
        <v>5</v>
      </c>
      <c r="P6" s="117"/>
      <c r="Q6" s="44" t="s">
        <v>5</v>
      </c>
      <c r="R6" s="117"/>
    </row>
    <row r="7" spans="1:18">
      <c r="A7" s="132">
        <v>45902</v>
      </c>
      <c r="B7" s="134">
        <v>1</v>
      </c>
      <c r="C7" s="6">
        <v>0.104</v>
      </c>
      <c r="D7" s="4">
        <v>4</v>
      </c>
      <c r="E7" s="6">
        <v>0.185</v>
      </c>
      <c r="F7" s="4">
        <v>-7.5</v>
      </c>
      <c r="G7" s="6">
        <v>0.48299999999999998</v>
      </c>
      <c r="H7" s="4">
        <v>-3.4</v>
      </c>
      <c r="I7" s="6">
        <v>0.98299999999999998</v>
      </c>
      <c r="J7" s="4">
        <v>-1.7</v>
      </c>
      <c r="K7" s="6">
        <v>4.9290000000000003</v>
      </c>
      <c r="L7" s="4">
        <v>-1.4</v>
      </c>
      <c r="M7" s="6">
        <v>9.9160000000000004</v>
      </c>
      <c r="N7" s="4">
        <v>-0.8</v>
      </c>
      <c r="O7" s="6">
        <v>40.037999999999997</v>
      </c>
      <c r="P7" s="4">
        <v>0.1</v>
      </c>
      <c r="Q7" s="6">
        <v>49.963000000000001</v>
      </c>
      <c r="R7" s="4">
        <v>-0.1</v>
      </c>
    </row>
    <row r="8" spans="1:18">
      <c r="A8" s="133"/>
      <c r="B8" s="122"/>
      <c r="C8" s="6">
        <v>9.2999999999999999E-2</v>
      </c>
      <c r="D8" s="4">
        <v>-7</v>
      </c>
      <c r="E8" s="6">
        <v>0.221</v>
      </c>
      <c r="F8" s="4">
        <v>10.5</v>
      </c>
      <c r="G8" s="6">
        <v>0.54300000000000004</v>
      </c>
      <c r="H8" s="4">
        <v>8.6</v>
      </c>
      <c r="I8" s="6">
        <v>1.0329999999999999</v>
      </c>
      <c r="J8" s="4">
        <v>3.3</v>
      </c>
      <c r="K8" s="6">
        <v>4.9669999999999996</v>
      </c>
      <c r="L8" s="4">
        <v>-0.7</v>
      </c>
      <c r="M8" s="6">
        <v>9.8789999999999996</v>
      </c>
      <c r="N8" s="4">
        <v>-1.2</v>
      </c>
      <c r="O8" s="6">
        <v>38.594999999999999</v>
      </c>
      <c r="P8" s="4">
        <v>-3.5</v>
      </c>
      <c r="Q8" s="6">
        <v>50.127000000000002</v>
      </c>
      <c r="R8" s="4">
        <v>0.3</v>
      </c>
    </row>
    <row r="9" spans="1:18">
      <c r="A9" s="132">
        <v>45903</v>
      </c>
      <c r="B9" s="134">
        <v>2</v>
      </c>
      <c r="C9" s="6">
        <v>9.5000000000000001E-2</v>
      </c>
      <c r="D9" s="4">
        <v>-5</v>
      </c>
      <c r="E9" s="6">
        <v>0.222</v>
      </c>
      <c r="F9" s="4">
        <v>11</v>
      </c>
      <c r="G9" s="6">
        <v>0.498</v>
      </c>
      <c r="H9" s="4">
        <v>-0.4</v>
      </c>
      <c r="I9" s="6">
        <v>0.998</v>
      </c>
      <c r="J9" s="4">
        <v>-0.2</v>
      </c>
      <c r="K9" s="6">
        <v>5.2</v>
      </c>
      <c r="L9" s="4">
        <v>4</v>
      </c>
      <c r="M9" s="6">
        <v>9.7590000000000003</v>
      </c>
      <c r="N9" s="4">
        <v>-2.4</v>
      </c>
      <c r="O9" s="6">
        <v>38.807000000000002</v>
      </c>
      <c r="P9" s="4">
        <v>-3</v>
      </c>
      <c r="Q9" s="6">
        <v>50.838999999999999</v>
      </c>
      <c r="R9" s="4">
        <v>1.7</v>
      </c>
    </row>
    <row r="10" spans="1:18">
      <c r="A10" s="133"/>
      <c r="B10" s="122"/>
      <c r="C10" s="6">
        <v>9.6000000000000002E-2</v>
      </c>
      <c r="D10" s="4">
        <v>-4</v>
      </c>
      <c r="E10" s="6">
        <v>0.216</v>
      </c>
      <c r="F10" s="4">
        <v>8</v>
      </c>
      <c r="G10" s="6">
        <v>0.48299999999999998</v>
      </c>
      <c r="H10" s="4">
        <v>-3.4</v>
      </c>
      <c r="I10" s="6">
        <v>0.96199999999999997</v>
      </c>
      <c r="J10" s="4">
        <v>-3.8</v>
      </c>
      <c r="K10" s="6">
        <v>5.109</v>
      </c>
      <c r="L10" s="4">
        <v>2.2000000000000002</v>
      </c>
      <c r="M10" s="6">
        <v>9.9849999999999994</v>
      </c>
      <c r="N10" s="4">
        <v>-0.2</v>
      </c>
      <c r="O10" s="6">
        <v>37.712000000000003</v>
      </c>
      <c r="P10" s="4">
        <v>-5.7</v>
      </c>
      <c r="Q10" s="6">
        <v>50.311999999999998</v>
      </c>
      <c r="R10" s="4">
        <v>0.6</v>
      </c>
    </row>
    <row r="11" spans="1:18">
      <c r="A11" s="132">
        <v>45905</v>
      </c>
      <c r="B11" s="134">
        <v>3</v>
      </c>
      <c r="C11" s="6">
        <v>8.4000000000000005E-2</v>
      </c>
      <c r="D11" s="4">
        <v>-16</v>
      </c>
      <c r="E11" s="6">
        <v>0.2</v>
      </c>
      <c r="F11" s="4">
        <v>0</v>
      </c>
      <c r="G11" s="6">
        <v>0.50700000000000001</v>
      </c>
      <c r="H11" s="4">
        <v>1.4</v>
      </c>
      <c r="I11" s="6">
        <v>0.999</v>
      </c>
      <c r="J11" s="4">
        <v>-0.1</v>
      </c>
      <c r="K11" s="6">
        <v>5.1219999999999999</v>
      </c>
      <c r="L11" s="4">
        <v>2.4</v>
      </c>
      <c r="M11" s="6">
        <v>9.4960000000000004</v>
      </c>
      <c r="N11" s="4">
        <v>-5</v>
      </c>
      <c r="O11" s="6">
        <v>40.526000000000003</v>
      </c>
      <c r="P11" s="4">
        <v>1.3</v>
      </c>
      <c r="Q11" s="6">
        <v>51.290999999999997</v>
      </c>
      <c r="R11" s="4">
        <v>2.6</v>
      </c>
    </row>
    <row r="12" spans="1:18">
      <c r="A12" s="133"/>
      <c r="B12" s="122"/>
      <c r="C12" s="6">
        <v>0.115</v>
      </c>
      <c r="D12" s="4">
        <v>15</v>
      </c>
      <c r="E12" s="6">
        <v>0.20300000000000001</v>
      </c>
      <c r="F12" s="4">
        <v>1.5</v>
      </c>
      <c r="G12" s="6">
        <v>0.46800000000000003</v>
      </c>
      <c r="H12" s="4">
        <v>-6.4</v>
      </c>
      <c r="I12" s="6">
        <v>1.028</v>
      </c>
      <c r="J12" s="4">
        <v>2.8</v>
      </c>
      <c r="K12" s="6">
        <v>5.101</v>
      </c>
      <c r="L12" s="4">
        <v>2</v>
      </c>
      <c r="M12" s="6">
        <v>9.8699999999999992</v>
      </c>
      <c r="N12" s="4">
        <v>-1.3</v>
      </c>
      <c r="O12" s="6">
        <v>40.029000000000003</v>
      </c>
      <c r="P12" s="4">
        <v>0.1</v>
      </c>
      <c r="Q12" s="6">
        <v>49.392000000000003</v>
      </c>
      <c r="R12" s="4">
        <v>-1.2</v>
      </c>
    </row>
    <row r="13" spans="1:18">
      <c r="A13" s="132">
        <v>45906</v>
      </c>
      <c r="B13" s="134">
        <v>6</v>
      </c>
      <c r="C13" s="6">
        <v>0.1</v>
      </c>
      <c r="D13" s="4">
        <v>0</v>
      </c>
      <c r="E13" s="6">
        <v>0.19600000000000001</v>
      </c>
      <c r="F13" s="4">
        <v>-2</v>
      </c>
      <c r="G13" s="6">
        <v>0.498</v>
      </c>
      <c r="H13" s="4">
        <v>-0.4</v>
      </c>
      <c r="I13" s="6">
        <v>1.0269999999999999</v>
      </c>
      <c r="J13" s="4">
        <v>2.7</v>
      </c>
      <c r="K13" s="6">
        <v>5.1120000000000001</v>
      </c>
      <c r="L13" s="4">
        <v>2.2000000000000002</v>
      </c>
      <c r="M13" s="6">
        <v>9.8059999999999992</v>
      </c>
      <c r="N13" s="4">
        <v>-1.9</v>
      </c>
      <c r="O13" s="6">
        <v>38.770000000000003</v>
      </c>
      <c r="P13" s="4">
        <v>-3.1</v>
      </c>
      <c r="Q13" s="6">
        <v>52.265999999999998</v>
      </c>
      <c r="R13" s="4">
        <v>4.5</v>
      </c>
    </row>
    <row r="14" spans="1:18">
      <c r="A14" s="133"/>
      <c r="B14" s="122"/>
      <c r="C14" s="6">
        <v>0.1</v>
      </c>
      <c r="D14" s="4">
        <v>0</v>
      </c>
      <c r="E14" s="6">
        <v>0.20699999999999999</v>
      </c>
      <c r="F14" s="4">
        <v>3.5</v>
      </c>
      <c r="G14" s="6">
        <v>0.47699999999999998</v>
      </c>
      <c r="H14" s="4">
        <v>-4.5999999999999996</v>
      </c>
      <c r="I14" s="6">
        <v>0.99399999999999999</v>
      </c>
      <c r="J14" s="4">
        <v>-0.6</v>
      </c>
      <c r="K14" s="6">
        <v>5.2969999999999997</v>
      </c>
      <c r="L14" s="4">
        <v>5.9</v>
      </c>
      <c r="M14" s="6">
        <v>9.9290000000000003</v>
      </c>
      <c r="N14" s="4">
        <v>-0.7</v>
      </c>
      <c r="O14" s="6">
        <v>38.029000000000003</v>
      </c>
      <c r="P14" s="4">
        <v>-4.9000000000000004</v>
      </c>
      <c r="Q14" s="6">
        <v>49.613999999999997</v>
      </c>
      <c r="R14" s="4">
        <v>-0.8</v>
      </c>
    </row>
    <row r="15" spans="1:18">
      <c r="A15" s="132">
        <v>45998</v>
      </c>
      <c r="B15" s="134">
        <v>8</v>
      </c>
      <c r="C15" s="6">
        <v>8.2000000000000003E-2</v>
      </c>
      <c r="D15" s="4">
        <v>-18</v>
      </c>
      <c r="E15" s="6">
        <v>0.23</v>
      </c>
      <c r="F15" s="4">
        <v>15</v>
      </c>
      <c r="G15" s="6">
        <v>0.505</v>
      </c>
      <c r="H15" s="4">
        <v>1</v>
      </c>
      <c r="I15" s="6">
        <v>0.94199999999999995</v>
      </c>
      <c r="J15" s="4">
        <v>-5.8</v>
      </c>
      <c r="K15" s="6">
        <v>4.9240000000000004</v>
      </c>
      <c r="L15" s="4">
        <v>-1.5</v>
      </c>
      <c r="M15" s="6">
        <v>10.170999999999999</v>
      </c>
      <c r="N15" s="4">
        <v>1.7</v>
      </c>
      <c r="O15" s="6">
        <v>36.841999999999999</v>
      </c>
      <c r="P15" s="4">
        <v>-7.9</v>
      </c>
      <c r="Q15" s="6">
        <v>50.374000000000002</v>
      </c>
      <c r="R15" s="4">
        <v>0.7</v>
      </c>
    </row>
    <row r="16" spans="1:18">
      <c r="A16" s="133"/>
      <c r="B16" s="122"/>
      <c r="C16" s="6">
        <v>0.109</v>
      </c>
      <c r="D16" s="4">
        <v>9</v>
      </c>
      <c r="E16" s="6">
        <v>0.20100000000000001</v>
      </c>
      <c r="F16" s="4">
        <v>0.5</v>
      </c>
      <c r="G16" s="6">
        <v>0.54300000000000004</v>
      </c>
      <c r="H16" s="4">
        <v>8.6</v>
      </c>
      <c r="I16" s="6">
        <v>0.96899999999999997</v>
      </c>
      <c r="J16" s="4">
        <v>-3.1</v>
      </c>
      <c r="K16" s="6">
        <v>5.0540000000000003</v>
      </c>
      <c r="L16" s="4">
        <v>1.1000000000000001</v>
      </c>
      <c r="M16" s="6">
        <v>10.679</v>
      </c>
      <c r="N16" s="4">
        <v>6.8</v>
      </c>
      <c r="O16" s="6">
        <v>37.508000000000003</v>
      </c>
      <c r="P16" s="4">
        <v>-6.2</v>
      </c>
      <c r="Q16" s="6">
        <v>49.003</v>
      </c>
      <c r="R16" s="4">
        <v>-2</v>
      </c>
    </row>
    <row r="17" spans="1:18" ht="14.1" customHeight="1">
      <c r="A17" s="7" t="s">
        <v>151</v>
      </c>
      <c r="B17" s="129"/>
      <c r="C17" s="7">
        <v>9.8000000000000004E-2</v>
      </c>
      <c r="D17" s="129"/>
      <c r="E17" s="7">
        <v>0.20799999999999999</v>
      </c>
      <c r="F17" s="129"/>
      <c r="G17" s="7">
        <v>0.501</v>
      </c>
      <c r="H17" s="129"/>
      <c r="I17" s="7">
        <v>0.99399999999999999</v>
      </c>
      <c r="J17" s="129"/>
      <c r="K17" s="7">
        <v>5.0819999999999999</v>
      </c>
      <c r="L17" s="129"/>
      <c r="M17" s="7">
        <v>9.9489999999999998</v>
      </c>
      <c r="N17" s="129"/>
      <c r="O17" s="7">
        <v>38.686</v>
      </c>
      <c r="P17" s="129"/>
      <c r="Q17" s="7">
        <v>50.317999999999998</v>
      </c>
      <c r="R17" s="135"/>
    </row>
    <row r="18" spans="1:18" ht="14.1" customHeight="1">
      <c r="A18" s="7" t="s">
        <v>3</v>
      </c>
      <c r="B18" s="130"/>
      <c r="C18" s="71">
        <v>0.01</v>
      </c>
      <c r="D18" s="130"/>
      <c r="E18" s="7">
        <v>1.4E-2</v>
      </c>
      <c r="F18" s="130"/>
      <c r="G18" s="7">
        <v>2.5999999999999999E-2</v>
      </c>
      <c r="H18" s="130"/>
      <c r="I18" s="71">
        <v>0.03</v>
      </c>
      <c r="J18" s="130"/>
      <c r="K18" s="7">
        <v>0.11799999999999999</v>
      </c>
      <c r="L18" s="130"/>
      <c r="M18" s="7">
        <v>0.309</v>
      </c>
      <c r="N18" s="130"/>
      <c r="O18" s="7">
        <v>1.212</v>
      </c>
      <c r="P18" s="130"/>
      <c r="Q18" s="7">
        <v>0.95799999999999996</v>
      </c>
      <c r="R18" s="136"/>
    </row>
    <row r="19" spans="1:18" ht="14.1" customHeight="1">
      <c r="A19" s="7" t="s">
        <v>7</v>
      </c>
      <c r="B19" s="130"/>
      <c r="C19" s="7">
        <v>10.199999999999999</v>
      </c>
      <c r="D19" s="130"/>
      <c r="E19" s="7">
        <v>6.7</v>
      </c>
      <c r="F19" s="130"/>
      <c r="G19" s="7">
        <v>5.2</v>
      </c>
      <c r="H19" s="130"/>
      <c r="I19" s="72">
        <v>3</v>
      </c>
      <c r="J19" s="130"/>
      <c r="K19" s="7">
        <v>2.2999999999999998</v>
      </c>
      <c r="L19" s="130"/>
      <c r="M19" s="7">
        <v>3.1</v>
      </c>
      <c r="N19" s="130"/>
      <c r="O19" s="7">
        <v>3.1</v>
      </c>
      <c r="P19" s="130"/>
      <c r="Q19" s="7">
        <v>1.9</v>
      </c>
      <c r="R19" s="136"/>
    </row>
    <row r="20" spans="1:18" ht="27.6" customHeight="1">
      <c r="A20" s="7" t="s">
        <v>30</v>
      </c>
      <c r="B20" s="130"/>
      <c r="C20" s="72">
        <v>-2</v>
      </c>
      <c r="D20" s="130"/>
      <c r="E20" s="72">
        <v>4</v>
      </c>
      <c r="F20" s="130"/>
      <c r="G20" s="7">
        <v>0.2</v>
      </c>
      <c r="H20" s="130"/>
      <c r="I20" s="7">
        <v>-0.6</v>
      </c>
      <c r="J20" s="130"/>
      <c r="K20" s="7">
        <v>1.6</v>
      </c>
      <c r="L20" s="130"/>
      <c r="M20" s="7">
        <v>-0.5</v>
      </c>
      <c r="N20" s="130"/>
      <c r="O20" s="7">
        <v>-3.3</v>
      </c>
      <c r="P20" s="130"/>
      <c r="Q20" s="7">
        <v>0.6</v>
      </c>
      <c r="R20" s="136"/>
    </row>
    <row r="21" spans="1:18" ht="14.1" customHeight="1">
      <c r="A21" s="7" t="s">
        <v>4</v>
      </c>
      <c r="B21" s="131"/>
      <c r="C21" s="73">
        <v>10</v>
      </c>
      <c r="D21" s="131"/>
      <c r="E21" s="73">
        <v>10</v>
      </c>
      <c r="F21" s="131"/>
      <c r="G21" s="73">
        <v>10</v>
      </c>
      <c r="H21" s="131"/>
      <c r="I21" s="73">
        <v>10</v>
      </c>
      <c r="J21" s="131"/>
      <c r="K21" s="73">
        <v>10</v>
      </c>
      <c r="L21" s="131"/>
      <c r="M21" s="73">
        <v>10</v>
      </c>
      <c r="N21" s="131"/>
      <c r="O21" s="73">
        <v>10</v>
      </c>
      <c r="P21" s="131"/>
      <c r="Q21" s="73">
        <v>10</v>
      </c>
      <c r="R21" s="137"/>
    </row>
    <row r="22" spans="1:18">
      <c r="A22" s="128"/>
      <c r="B22" s="128"/>
      <c r="C22" s="128"/>
      <c r="D22" s="128"/>
    </row>
  </sheetData>
  <mergeCells count="31">
    <mergeCell ref="A7:A8"/>
    <mergeCell ref="B7:B8"/>
    <mergeCell ref="A9:A10"/>
    <mergeCell ref="R4:R6"/>
    <mergeCell ref="A2:E2"/>
    <mergeCell ref="A4:A6"/>
    <mergeCell ref="B4:B6"/>
    <mergeCell ref="D4:D6"/>
    <mergeCell ref="F4:F6"/>
    <mergeCell ref="H4:H6"/>
    <mergeCell ref="J4:J6"/>
    <mergeCell ref="L4:L6"/>
    <mergeCell ref="N4:N6"/>
    <mergeCell ref="P4:P6"/>
    <mergeCell ref="B9:B10"/>
    <mergeCell ref="A11:A12"/>
    <mergeCell ref="B11:B12"/>
    <mergeCell ref="R17:R21"/>
    <mergeCell ref="B17:B21"/>
    <mergeCell ref="D17:D21"/>
    <mergeCell ref="A15:A16"/>
    <mergeCell ref="B15:B16"/>
    <mergeCell ref="A13:A14"/>
    <mergeCell ref="B13:B14"/>
    <mergeCell ref="A22:D22"/>
    <mergeCell ref="J17:J21"/>
    <mergeCell ref="L17:L21"/>
    <mergeCell ref="N17:N21"/>
    <mergeCell ref="P17:P21"/>
    <mergeCell ref="F17:F21"/>
    <mergeCell ref="H17:H21"/>
  </mergeCells>
  <phoneticPr fontId="12" type="noConversion"/>
  <pageMargins left="0.7" right="0.7" top="0.75" bottom="0.75" header="0.3" footer="0.3"/>
  <pageSetup paperSize="9" scale="5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87FA-9760-4E34-85D6-E115F00BE953}">
  <dimension ref="A2:J19"/>
  <sheetViews>
    <sheetView zoomScaleNormal="100" zoomScaleSheetLayoutView="100" workbookViewId="0">
      <selection activeCell="B15" sqref="B15:B19"/>
    </sheetView>
  </sheetViews>
  <sheetFormatPr defaultColWidth="8.77734375" defaultRowHeight="13.8"/>
  <cols>
    <col min="1" max="1" width="18.77734375" style="69" customWidth="1"/>
    <col min="2" max="3" width="10.77734375" style="33" customWidth="1"/>
    <col min="4" max="4" width="10.77734375" style="39" customWidth="1"/>
    <col min="5" max="5" width="10.77734375" style="33" customWidth="1"/>
    <col min="6" max="6" width="10.77734375" style="39" customWidth="1"/>
    <col min="7" max="7" width="10.77734375" style="33" customWidth="1"/>
    <col min="8" max="8" width="10.77734375" style="39" customWidth="1"/>
    <col min="9" max="9" width="10.77734375" style="33" customWidth="1"/>
    <col min="10" max="10" width="10.77734375" style="39" customWidth="1"/>
    <col min="11" max="12" width="10.77734375" style="33" customWidth="1"/>
    <col min="13" max="16384" width="8.77734375" style="33"/>
  </cols>
  <sheetData>
    <row r="2" spans="1:10">
      <c r="A2" s="126" t="s">
        <v>40</v>
      </c>
      <c r="B2" s="126"/>
      <c r="C2" s="126"/>
      <c r="D2" s="126"/>
      <c r="E2" s="18"/>
      <c r="F2" s="64"/>
      <c r="G2" s="18"/>
      <c r="H2" s="64"/>
      <c r="I2" s="18"/>
      <c r="J2" s="64"/>
    </row>
    <row r="3" spans="1:10">
      <c r="A3" s="46"/>
      <c r="B3" s="30"/>
      <c r="C3" s="30"/>
      <c r="D3" s="65"/>
      <c r="E3" s="18"/>
      <c r="F3" s="64"/>
      <c r="G3" s="18"/>
      <c r="H3" s="64"/>
      <c r="I3" s="18"/>
      <c r="J3" s="64"/>
    </row>
    <row r="4" spans="1:10" ht="13.5" customHeight="1">
      <c r="A4" s="143" t="s">
        <v>169</v>
      </c>
      <c r="B4" s="117" t="s">
        <v>147</v>
      </c>
      <c r="C4" s="7" t="s">
        <v>2</v>
      </c>
      <c r="D4" s="142" t="s">
        <v>30</v>
      </c>
      <c r="E4" s="7" t="s">
        <v>42</v>
      </c>
      <c r="F4" s="142" t="s">
        <v>30</v>
      </c>
      <c r="G4" s="7" t="s">
        <v>1</v>
      </c>
      <c r="H4" s="142" t="s">
        <v>30</v>
      </c>
      <c r="I4" s="7" t="s">
        <v>0</v>
      </c>
      <c r="J4" s="142" t="s">
        <v>30</v>
      </c>
    </row>
    <row r="5" spans="1:10">
      <c r="A5" s="143"/>
      <c r="B5" s="117"/>
      <c r="C5" s="66">
        <v>0.3</v>
      </c>
      <c r="D5" s="142"/>
      <c r="E5" s="66">
        <v>2.2000000000000002</v>
      </c>
      <c r="F5" s="142"/>
      <c r="G5" s="66">
        <v>15</v>
      </c>
      <c r="H5" s="142"/>
      <c r="I5" s="66">
        <v>37.5</v>
      </c>
      <c r="J5" s="142"/>
    </row>
    <row r="6" spans="1:10">
      <c r="A6" s="143"/>
      <c r="B6" s="117"/>
      <c r="C6" s="44" t="s">
        <v>5</v>
      </c>
      <c r="D6" s="142"/>
      <c r="E6" s="44" t="s">
        <v>5</v>
      </c>
      <c r="F6" s="142"/>
      <c r="G6" s="44" t="s">
        <v>5</v>
      </c>
      <c r="H6" s="142"/>
      <c r="I6" s="44" t="s">
        <v>5</v>
      </c>
      <c r="J6" s="142"/>
    </row>
    <row r="7" spans="1:10">
      <c r="A7" s="138">
        <v>45906</v>
      </c>
      <c r="B7" s="141">
        <v>6</v>
      </c>
      <c r="C7" s="3">
        <v>0.30299999999999999</v>
      </c>
      <c r="D7" s="67">
        <v>1</v>
      </c>
      <c r="E7" s="3">
        <v>2.1469999999999998</v>
      </c>
      <c r="F7" s="3">
        <v>-2.4</v>
      </c>
      <c r="G7" s="5">
        <v>14.941000000000001</v>
      </c>
      <c r="H7" s="3">
        <v>-0.4</v>
      </c>
      <c r="I7" s="3">
        <v>38.704999999999998</v>
      </c>
      <c r="J7" s="3">
        <v>3.2</v>
      </c>
    </row>
    <row r="8" spans="1:10">
      <c r="A8" s="139"/>
      <c r="B8" s="139"/>
      <c r="C8" s="3">
        <v>0.318</v>
      </c>
      <c r="D8" s="67">
        <v>6</v>
      </c>
      <c r="E8" s="3">
        <v>2.165</v>
      </c>
      <c r="F8" s="3">
        <v>-1.6</v>
      </c>
      <c r="G8" s="5">
        <v>15.57</v>
      </c>
      <c r="H8" s="3">
        <v>3.8</v>
      </c>
      <c r="I8" s="3">
        <v>39.201999999999998</v>
      </c>
      <c r="J8" s="3">
        <v>4.5</v>
      </c>
    </row>
    <row r="9" spans="1:10">
      <c r="A9" s="139"/>
      <c r="B9" s="139"/>
      <c r="C9" s="3">
        <v>0.29499999999999998</v>
      </c>
      <c r="D9" s="67">
        <v>-1.7</v>
      </c>
      <c r="E9" s="3">
        <v>2.2490000000000001</v>
      </c>
      <c r="F9" s="3">
        <v>2.2000000000000002</v>
      </c>
      <c r="G9" s="3">
        <v>14.752000000000001</v>
      </c>
      <c r="H9" s="3">
        <v>-1.7</v>
      </c>
      <c r="I9" s="3">
        <v>41.603999999999999</v>
      </c>
      <c r="J9" s="3">
        <v>10.9</v>
      </c>
    </row>
    <row r="10" spans="1:10">
      <c r="A10" s="139"/>
      <c r="B10" s="139"/>
      <c r="C10" s="3">
        <v>0.32400000000000001</v>
      </c>
      <c r="D10" s="67">
        <v>8</v>
      </c>
      <c r="E10" s="3">
        <v>2.2789999999999999</v>
      </c>
      <c r="F10" s="3">
        <v>3.6</v>
      </c>
      <c r="G10" s="3">
        <v>14.656000000000001</v>
      </c>
      <c r="H10" s="3">
        <v>-2.2999999999999998</v>
      </c>
      <c r="I10" s="3">
        <v>40.911000000000001</v>
      </c>
      <c r="J10" s="3">
        <v>9.1</v>
      </c>
    </row>
    <row r="11" spans="1:10">
      <c r="A11" s="139"/>
      <c r="B11" s="139"/>
      <c r="C11" s="3">
        <v>0.316</v>
      </c>
      <c r="D11" s="67">
        <v>5.3</v>
      </c>
      <c r="E11" s="68">
        <v>2.2000000000000002</v>
      </c>
      <c r="F11" s="67">
        <v>0</v>
      </c>
      <c r="G11" s="5">
        <v>15.66</v>
      </c>
      <c r="H11" s="3">
        <v>4.4000000000000004</v>
      </c>
      <c r="I11" s="3">
        <v>39.662999999999997</v>
      </c>
      <c r="J11" s="3">
        <v>5.8</v>
      </c>
    </row>
    <row r="12" spans="1:10">
      <c r="A12" s="140"/>
      <c r="B12" s="140"/>
      <c r="C12" s="3">
        <v>0.32200000000000001</v>
      </c>
      <c r="D12" s="67">
        <v>7.3</v>
      </c>
      <c r="E12" s="3">
        <v>2.2719999999999998</v>
      </c>
      <c r="F12" s="67">
        <v>3.3</v>
      </c>
      <c r="G12" s="3">
        <v>15.378</v>
      </c>
      <c r="H12" s="3">
        <v>2.5</v>
      </c>
      <c r="I12" s="3">
        <v>41.021999999999998</v>
      </c>
      <c r="J12" s="3">
        <v>9.4</v>
      </c>
    </row>
    <row r="13" spans="1:10">
      <c r="A13" s="144">
        <v>45998</v>
      </c>
      <c r="B13" s="146">
        <v>8</v>
      </c>
      <c r="C13" s="3">
        <v>0.28100000000000003</v>
      </c>
      <c r="D13" s="67">
        <v>-6.3</v>
      </c>
      <c r="E13" s="3">
        <v>2.0960000000000001</v>
      </c>
      <c r="F13" s="3">
        <v>-4.7</v>
      </c>
      <c r="G13" s="5">
        <v>14.72</v>
      </c>
      <c r="H13" s="3">
        <v>-1.9</v>
      </c>
      <c r="I13" s="3">
        <v>35.033000000000001</v>
      </c>
      <c r="J13" s="3">
        <v>-6.6</v>
      </c>
    </row>
    <row r="14" spans="1:10">
      <c r="A14" s="145"/>
      <c r="B14" s="147"/>
      <c r="C14" s="3">
        <v>0.33200000000000002</v>
      </c>
      <c r="D14" s="67">
        <v>10.7</v>
      </c>
      <c r="E14" s="3">
        <v>2.1669999999999998</v>
      </c>
      <c r="F14" s="3">
        <v>-1.5</v>
      </c>
      <c r="G14" s="5">
        <v>14.554</v>
      </c>
      <c r="H14" s="67">
        <v>-3</v>
      </c>
      <c r="I14" s="3">
        <v>36.793999999999997</v>
      </c>
      <c r="J14" s="3">
        <v>-1.9</v>
      </c>
    </row>
    <row r="15" spans="1:10" ht="14.4">
      <c r="A15" s="8" t="s">
        <v>64</v>
      </c>
      <c r="B15" s="127"/>
      <c r="C15" s="3">
        <v>0.311</v>
      </c>
      <c r="D15" s="129"/>
      <c r="E15" s="3">
        <v>2.1970000000000001</v>
      </c>
      <c r="F15" s="129"/>
      <c r="G15" s="3">
        <v>15.029</v>
      </c>
      <c r="H15" s="129"/>
      <c r="I15" s="3">
        <v>39.116999999999997</v>
      </c>
      <c r="J15" s="135" t="s">
        <v>65</v>
      </c>
    </row>
    <row r="16" spans="1:10">
      <c r="A16" s="8" t="s">
        <v>3</v>
      </c>
      <c r="B16" s="127"/>
      <c r="C16" s="3">
        <v>1.7000000000000001E-2</v>
      </c>
      <c r="D16" s="130"/>
      <c r="E16" s="3">
        <v>6.5000000000000002E-2</v>
      </c>
      <c r="F16" s="130"/>
      <c r="G16" s="3">
        <v>0.44</v>
      </c>
      <c r="H16" s="130"/>
      <c r="I16" s="3">
        <v>2.2549999999999999</v>
      </c>
      <c r="J16" s="136" t="s">
        <v>65</v>
      </c>
    </row>
    <row r="17" spans="1:10" s="39" customFormat="1">
      <c r="A17" s="8" t="s">
        <v>7</v>
      </c>
      <c r="B17" s="127"/>
      <c r="C17" s="3">
        <v>5.5</v>
      </c>
      <c r="D17" s="130"/>
      <c r="E17" s="42">
        <v>3</v>
      </c>
      <c r="F17" s="130"/>
      <c r="G17" s="3">
        <v>2.9</v>
      </c>
      <c r="H17" s="130"/>
      <c r="I17" s="3">
        <v>5.8</v>
      </c>
      <c r="J17" s="136" t="s">
        <v>65</v>
      </c>
    </row>
    <row r="18" spans="1:10" s="39" customFormat="1">
      <c r="A18" s="8" t="s">
        <v>30</v>
      </c>
      <c r="B18" s="127"/>
      <c r="C18" s="3">
        <v>3.7</v>
      </c>
      <c r="D18" s="130"/>
      <c r="E18" s="3">
        <v>-0.1</v>
      </c>
      <c r="F18" s="130"/>
      <c r="G18" s="3">
        <v>0.2</v>
      </c>
      <c r="H18" s="130"/>
      <c r="I18" s="3">
        <v>4.3</v>
      </c>
      <c r="J18" s="136" t="s">
        <v>65</v>
      </c>
    </row>
    <row r="19" spans="1:10">
      <c r="A19" s="8" t="s">
        <v>4</v>
      </c>
      <c r="B19" s="127"/>
      <c r="C19" s="42">
        <v>8</v>
      </c>
      <c r="D19" s="131"/>
      <c r="E19" s="42">
        <v>8</v>
      </c>
      <c r="F19" s="131"/>
      <c r="G19" s="42">
        <v>8</v>
      </c>
      <c r="H19" s="131"/>
      <c r="I19" s="42">
        <v>8</v>
      </c>
      <c r="J19" s="137" t="s">
        <v>65</v>
      </c>
    </row>
  </sheetData>
  <mergeCells count="16">
    <mergeCell ref="D15:D19"/>
    <mergeCell ref="F15:F19"/>
    <mergeCell ref="H15:H19"/>
    <mergeCell ref="J15:J19"/>
    <mergeCell ref="A13:A14"/>
    <mergeCell ref="B13:B14"/>
    <mergeCell ref="B15:B19"/>
    <mergeCell ref="A7:A12"/>
    <mergeCell ref="B7:B12"/>
    <mergeCell ref="H4:H6"/>
    <mergeCell ref="J4:J6"/>
    <mergeCell ref="A2:D2"/>
    <mergeCell ref="A4:A6"/>
    <mergeCell ref="B4:B6"/>
    <mergeCell ref="D4:D6"/>
    <mergeCell ref="F4:F6"/>
  </mergeCells>
  <phoneticPr fontId="12" type="noConversion"/>
  <pageMargins left="0.7" right="0.7" top="0.75" bottom="0.75" header="0.3" footer="0.3"/>
  <pageSetup paperSize="9" scale="68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8113-83C0-457A-AF9D-92C79B66D521}">
  <dimension ref="A2:H22"/>
  <sheetViews>
    <sheetView workbookViewId="0">
      <selection activeCell="B16" sqref="B16"/>
    </sheetView>
  </sheetViews>
  <sheetFormatPr defaultColWidth="8.77734375" defaultRowHeight="13.8"/>
  <cols>
    <col min="1" max="1" width="14.5546875" style="2" customWidth="1"/>
    <col min="2" max="3" width="16.33203125" style="2" customWidth="1"/>
    <col min="4" max="6" width="8.77734375" style="2"/>
    <col min="7" max="7" width="15.21875" style="2" customWidth="1"/>
    <col min="8" max="16384" width="8.77734375" style="2"/>
  </cols>
  <sheetData>
    <row r="2" spans="1:8">
      <c r="A2" s="1" t="s">
        <v>53</v>
      </c>
      <c r="B2" s="1"/>
    </row>
    <row r="3" spans="1:8" ht="14.4">
      <c r="B3" s="1"/>
      <c r="F3" s="45" t="s">
        <v>167</v>
      </c>
      <c r="G3" s="60">
        <v>45988.740972222222</v>
      </c>
    </row>
    <row r="4" spans="1:8" ht="15" customHeight="1">
      <c r="A4" s="110" t="s">
        <v>79</v>
      </c>
      <c r="B4" s="99"/>
      <c r="C4" s="99"/>
      <c r="F4" s="45" t="s">
        <v>168</v>
      </c>
      <c r="G4" s="60">
        <v>45989.684027777781</v>
      </c>
    </row>
    <row r="5" spans="1:8" ht="15" customHeight="1">
      <c r="A5" s="129"/>
      <c r="B5" s="118" t="s">
        <v>160</v>
      </c>
      <c r="C5" s="120"/>
      <c r="F5" s="45" t="s">
        <v>165</v>
      </c>
      <c r="G5" s="61">
        <f>(G4-G3)*24</f>
        <v>22.633333333418705</v>
      </c>
    </row>
    <row r="6" spans="1:8" ht="15" customHeight="1">
      <c r="A6" s="130"/>
      <c r="B6" s="149" t="s">
        <v>166</v>
      </c>
      <c r="C6" s="120"/>
    </row>
    <row r="7" spans="1:8" ht="15" customHeight="1">
      <c r="A7" s="130"/>
      <c r="B7" s="118" t="s">
        <v>54</v>
      </c>
      <c r="C7" s="120"/>
    </row>
    <row r="8" spans="1:8" ht="15" customHeight="1">
      <c r="A8" s="130"/>
      <c r="B8" s="6">
        <v>1</v>
      </c>
      <c r="C8" s="7" t="s">
        <v>55</v>
      </c>
    </row>
    <row r="9" spans="1:8" ht="15" customHeight="1">
      <c r="A9" s="130"/>
      <c r="B9" s="118" t="s">
        <v>156</v>
      </c>
      <c r="C9" s="120"/>
    </row>
    <row r="10" spans="1:8" ht="15" customHeight="1">
      <c r="A10" s="131"/>
      <c r="B10" s="7" t="s">
        <v>157</v>
      </c>
      <c r="C10" s="7" t="s">
        <v>158</v>
      </c>
    </row>
    <row r="11" spans="1:8" ht="15" customHeight="1">
      <c r="A11" s="7">
        <v>1</v>
      </c>
      <c r="B11" s="52">
        <v>13.465960000000001</v>
      </c>
      <c r="C11" s="52">
        <v>12.731586</v>
      </c>
      <c r="D11" s="53"/>
      <c r="G11" s="59"/>
      <c r="H11" s="59"/>
    </row>
    <row r="12" spans="1:8" ht="15" customHeight="1">
      <c r="A12" s="7">
        <v>2</v>
      </c>
      <c r="B12" s="52">
        <v>13.400342</v>
      </c>
      <c r="C12" s="52">
        <v>13.265795000000001</v>
      </c>
      <c r="D12" s="53"/>
      <c r="G12" s="59"/>
      <c r="H12" s="59"/>
    </row>
    <row r="13" spans="1:8" ht="15" customHeight="1">
      <c r="A13" s="7">
        <v>3</v>
      </c>
      <c r="B13" s="52">
        <v>13.263249999999999</v>
      </c>
      <c r="C13" s="52">
        <v>13.033344</v>
      </c>
      <c r="D13" s="53"/>
      <c r="G13" s="59"/>
      <c r="H13" s="59"/>
    </row>
    <row r="14" spans="1:8" ht="15" customHeight="1">
      <c r="A14" s="7">
        <v>4</v>
      </c>
      <c r="B14" s="52">
        <v>13.327756000000001</v>
      </c>
      <c r="C14" s="52">
        <v>12.999860999999999</v>
      </c>
      <c r="D14" s="53"/>
      <c r="G14" s="59"/>
      <c r="H14" s="59"/>
    </row>
    <row r="15" spans="1:8" ht="15" customHeight="1">
      <c r="A15" s="7">
        <v>5</v>
      </c>
      <c r="B15" s="52">
        <v>13.815438</v>
      </c>
      <c r="C15" s="52">
        <v>13.349944000000001</v>
      </c>
      <c r="D15" s="53"/>
      <c r="G15" s="59"/>
      <c r="H15" s="59"/>
    </row>
    <row r="16" spans="1:8" ht="15" customHeight="1">
      <c r="A16" s="7">
        <v>6</v>
      </c>
      <c r="B16" s="52">
        <v>13.464649</v>
      </c>
      <c r="C16" s="52">
        <v>13.056284</v>
      </c>
      <c r="D16" s="53"/>
      <c r="G16" s="59"/>
      <c r="H16" s="59"/>
    </row>
    <row r="17" spans="1:4" ht="15" customHeight="1">
      <c r="A17" s="7" t="s">
        <v>151</v>
      </c>
      <c r="B17" s="54">
        <f>ROUND(AVERAGE(B11:B16),6)</f>
        <v>13.456232999999999</v>
      </c>
      <c r="C17" s="54">
        <f>ROUND(AVERAGE(C11:C16),6)</f>
        <v>13.072801999999999</v>
      </c>
      <c r="D17" s="53"/>
    </row>
    <row r="18" spans="1:4" ht="15" customHeight="1">
      <c r="A18" s="7" t="s">
        <v>3</v>
      </c>
      <c r="B18" s="54">
        <f>ROUND(STDEV(B11:B16),6)</f>
        <v>0.192907</v>
      </c>
      <c r="C18" s="54">
        <f>ROUND(STDEV(C11:C16),6)</f>
        <v>0.21800600000000001</v>
      </c>
      <c r="D18" s="53"/>
    </row>
    <row r="19" spans="1:4" ht="15" customHeight="1">
      <c r="A19" s="7" t="s">
        <v>7</v>
      </c>
      <c r="B19" s="55">
        <f>ROUND(B18/B17*100,1)</f>
        <v>1.4</v>
      </c>
      <c r="C19" s="55">
        <f>ROUND(C18/C17*100,1)</f>
        <v>1.7</v>
      </c>
      <c r="D19" s="53"/>
    </row>
    <row r="20" spans="1:4">
      <c r="A20" s="56" t="s">
        <v>56</v>
      </c>
      <c r="B20" s="148">
        <f>ROUND((C17-B17)/B17*100,1)</f>
        <v>-2.8</v>
      </c>
      <c r="C20" s="148"/>
      <c r="D20" s="53"/>
    </row>
    <row r="21" spans="1:4">
      <c r="D21" s="53"/>
    </row>
    <row r="22" spans="1:4">
      <c r="D22" s="53"/>
    </row>
  </sheetData>
  <mergeCells count="7">
    <mergeCell ref="B20:C20"/>
    <mergeCell ref="A4:C4"/>
    <mergeCell ref="A5:A10"/>
    <mergeCell ref="B5:C5"/>
    <mergeCell ref="B6:C6"/>
    <mergeCell ref="B7:C7"/>
    <mergeCell ref="B9:C9"/>
  </mergeCells>
  <phoneticPr fontId="12" type="noConversion"/>
  <conditionalFormatting sqref="E11:E22">
    <cfRule type="colorScale" priority="1">
      <colorScale>
        <cfvo type="num" val="0"/>
        <cfvo type="num" val="2"/>
        <color rgb="FFFF7128"/>
        <color rgb="FFFFEF9C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30E0-19FC-4B51-AA9E-6A911786CFB3}">
  <dimension ref="A2:I28"/>
  <sheetViews>
    <sheetView workbookViewId="0">
      <selection activeCell="B16" sqref="B16"/>
    </sheetView>
  </sheetViews>
  <sheetFormatPr defaultColWidth="8.77734375" defaultRowHeight="13.8"/>
  <cols>
    <col min="1" max="1" width="15.33203125" style="2" customWidth="1"/>
    <col min="2" max="2" width="12.44140625" style="2" customWidth="1"/>
    <col min="3" max="3" width="15.77734375" style="2" customWidth="1"/>
    <col min="4" max="4" width="12.77734375" style="2" customWidth="1"/>
    <col min="5" max="5" width="15.5546875" style="2" customWidth="1"/>
    <col min="6" max="6" width="8.77734375" style="2"/>
    <col min="7" max="7" width="13.109375" style="2" customWidth="1"/>
    <col min="8" max="8" width="15.77734375" style="2" customWidth="1"/>
    <col min="9" max="16384" width="8.77734375" style="2"/>
  </cols>
  <sheetData>
    <row r="2" spans="1:9" ht="14.4">
      <c r="A2" s="51" t="s">
        <v>162</v>
      </c>
    </row>
    <row r="3" spans="1:9" ht="14.4">
      <c r="G3" s="45" t="s">
        <v>163</v>
      </c>
      <c r="H3" s="60">
        <v>45988.756249999999</v>
      </c>
    </row>
    <row r="4" spans="1:9" s="14" customFormat="1" ht="15" customHeight="1">
      <c r="A4" s="104" t="s">
        <v>79</v>
      </c>
      <c r="B4" s="150"/>
      <c r="C4" s="150"/>
      <c r="D4" s="150"/>
      <c r="E4" s="150"/>
      <c r="G4" s="45" t="s">
        <v>164</v>
      </c>
      <c r="H4" s="60">
        <v>45989.684027777781</v>
      </c>
    </row>
    <row r="5" spans="1:9" s="14" customFormat="1" ht="15" customHeight="1">
      <c r="A5" s="127"/>
      <c r="B5" s="117" t="s">
        <v>57</v>
      </c>
      <c r="C5" s="117"/>
      <c r="D5" s="117" t="s">
        <v>80</v>
      </c>
      <c r="E5" s="117"/>
      <c r="G5" s="45" t="s">
        <v>165</v>
      </c>
      <c r="H5" s="61">
        <f>(H4-H3)*24</f>
        <v>22.266666666779201</v>
      </c>
    </row>
    <row r="6" spans="1:9" s="14" customFormat="1" ht="15" customHeight="1">
      <c r="A6" s="127"/>
      <c r="B6" s="149" t="s">
        <v>166</v>
      </c>
      <c r="C6" s="120"/>
      <c r="D6" s="149" t="s">
        <v>166</v>
      </c>
      <c r="E6" s="120"/>
    </row>
    <row r="7" spans="1:9" s="14" customFormat="1" ht="15" customHeight="1">
      <c r="A7" s="127"/>
      <c r="B7" s="117" t="s">
        <v>54</v>
      </c>
      <c r="C7" s="117"/>
      <c r="D7" s="117" t="s">
        <v>54</v>
      </c>
      <c r="E7" s="117"/>
      <c r="G7" s="2"/>
      <c r="H7" s="2"/>
      <c r="I7" s="2"/>
    </row>
    <row r="8" spans="1:9" s="14" customFormat="1" ht="15" customHeight="1">
      <c r="A8" s="127"/>
      <c r="B8" s="6">
        <v>2</v>
      </c>
      <c r="C8" s="7" t="s">
        <v>58</v>
      </c>
      <c r="D8" s="6">
        <v>1000</v>
      </c>
      <c r="E8" s="7" t="s">
        <v>5</v>
      </c>
      <c r="G8" s="2"/>
      <c r="H8" s="2"/>
      <c r="I8" s="2"/>
    </row>
    <row r="9" spans="1:9" s="14" customFormat="1" ht="15" customHeight="1">
      <c r="A9" s="127"/>
      <c r="B9" s="117" t="s">
        <v>156</v>
      </c>
      <c r="C9" s="117"/>
      <c r="D9" s="117" t="s">
        <v>156</v>
      </c>
      <c r="E9" s="117"/>
      <c r="G9" s="2"/>
      <c r="H9" s="2"/>
      <c r="I9" s="2"/>
    </row>
    <row r="10" spans="1:9" s="14" customFormat="1" ht="15" customHeight="1">
      <c r="A10" s="127"/>
      <c r="B10" s="7" t="s">
        <v>157</v>
      </c>
      <c r="C10" s="7" t="s">
        <v>158</v>
      </c>
      <c r="D10" s="7" t="s">
        <v>157</v>
      </c>
      <c r="E10" s="7" t="s">
        <v>158</v>
      </c>
      <c r="G10" s="2"/>
      <c r="H10" s="2"/>
      <c r="I10" s="2"/>
    </row>
    <row r="11" spans="1:9" s="14" customFormat="1" ht="15" customHeight="1">
      <c r="A11" s="7">
        <v>1</v>
      </c>
      <c r="B11" s="52">
        <v>0.15945500000000001</v>
      </c>
      <c r="C11" s="52">
        <v>0.165496</v>
      </c>
      <c r="D11" s="52">
        <v>13.095146</v>
      </c>
      <c r="E11" s="52">
        <v>13.483779</v>
      </c>
      <c r="F11" s="53"/>
      <c r="G11" s="2"/>
      <c r="H11" s="53"/>
      <c r="I11" s="2"/>
    </row>
    <row r="12" spans="1:9" s="14" customFormat="1" ht="15" customHeight="1">
      <c r="A12" s="7">
        <v>2</v>
      </c>
      <c r="B12" s="52">
        <v>0.18415899999999999</v>
      </c>
      <c r="C12" s="52">
        <v>0.16531000000000001</v>
      </c>
      <c r="D12" s="52">
        <v>13.498661999999999</v>
      </c>
      <c r="E12" s="52">
        <v>13.587678</v>
      </c>
      <c r="F12" s="53"/>
      <c r="G12" s="2"/>
      <c r="H12" s="53"/>
      <c r="I12" s="2"/>
    </row>
    <row r="13" spans="1:9" s="14" customFormat="1" ht="15" customHeight="1">
      <c r="A13" s="7">
        <v>3</v>
      </c>
      <c r="B13" s="52">
        <v>0.166515</v>
      </c>
      <c r="C13" s="52">
        <v>0.15454100000000001</v>
      </c>
      <c r="D13" s="52">
        <v>13.578189</v>
      </c>
      <c r="E13" s="52">
        <v>13.535873</v>
      </c>
      <c r="F13" s="53"/>
      <c r="G13" s="2"/>
      <c r="H13" s="53"/>
      <c r="I13" s="2"/>
    </row>
    <row r="14" spans="1:9" s="14" customFormat="1" ht="15" customHeight="1">
      <c r="A14" s="7">
        <v>4</v>
      </c>
      <c r="B14" s="52">
        <v>0.16867499999999999</v>
      </c>
      <c r="C14" s="52">
        <v>0.17632600000000001</v>
      </c>
      <c r="D14" s="52">
        <v>13.274165</v>
      </c>
      <c r="E14" s="52">
        <v>13.207214</v>
      </c>
      <c r="F14" s="53"/>
      <c r="G14" s="2"/>
      <c r="H14" s="53"/>
      <c r="I14" s="2"/>
    </row>
    <row r="15" spans="1:9" s="14" customFormat="1" ht="15" customHeight="1">
      <c r="A15" s="7">
        <v>5</v>
      </c>
      <c r="B15" s="52">
        <v>0.14963199999999999</v>
      </c>
      <c r="C15" s="52">
        <v>0.17083499999999999</v>
      </c>
      <c r="D15" s="52">
        <v>13.60397</v>
      </c>
      <c r="E15" s="52">
        <v>12.886813999999999</v>
      </c>
      <c r="F15" s="53"/>
      <c r="G15" s="2"/>
      <c r="H15" s="53"/>
      <c r="I15" s="2"/>
    </row>
    <row r="16" spans="1:9" s="14" customFormat="1" ht="15" customHeight="1">
      <c r="A16" s="7">
        <v>6</v>
      </c>
      <c r="B16" s="52">
        <v>0.163136</v>
      </c>
      <c r="C16" s="52">
        <v>0.16669600000000001</v>
      </c>
      <c r="D16" s="52">
        <v>13.352702000000001</v>
      </c>
      <c r="E16" s="52">
        <v>13.376696000000001</v>
      </c>
      <c r="F16" s="53"/>
      <c r="G16" s="2"/>
      <c r="H16" s="53"/>
      <c r="I16" s="2"/>
    </row>
    <row r="17" spans="1:9" s="14" customFormat="1" ht="15" customHeight="1">
      <c r="A17" s="7" t="s">
        <v>151</v>
      </c>
      <c r="B17" s="54">
        <f t="shared" ref="B17:E17" si="0">ROUND(AVERAGE(B11:B16),6)</f>
        <v>0.16526199999999999</v>
      </c>
      <c r="C17" s="54">
        <f t="shared" si="0"/>
        <v>0.16653399999999999</v>
      </c>
      <c r="D17" s="54">
        <f t="shared" si="0"/>
        <v>13.400472000000001</v>
      </c>
      <c r="E17" s="54">
        <f t="shared" si="0"/>
        <v>13.346342</v>
      </c>
      <c r="F17" s="53"/>
      <c r="G17" s="2"/>
      <c r="H17" s="53"/>
      <c r="I17" s="2"/>
    </row>
    <row r="18" spans="1:9" s="14" customFormat="1" ht="15" customHeight="1">
      <c r="A18" s="7" t="s">
        <v>3</v>
      </c>
      <c r="B18" s="54">
        <f t="shared" ref="B18:E18" si="1">ROUND(STDEV(B11:B16),6)</f>
        <v>1.1427E-2</v>
      </c>
      <c r="C18" s="54">
        <f t="shared" si="1"/>
        <v>7.2220000000000001E-3</v>
      </c>
      <c r="D18" s="54">
        <f t="shared" si="1"/>
        <v>0.19702600000000001</v>
      </c>
      <c r="E18" s="54">
        <f t="shared" si="1"/>
        <v>0.26248700000000003</v>
      </c>
      <c r="F18" s="53"/>
      <c r="G18" s="2"/>
      <c r="H18" s="53"/>
      <c r="I18" s="2"/>
    </row>
    <row r="19" spans="1:9" s="14" customFormat="1" ht="15" customHeight="1">
      <c r="A19" s="7" t="s">
        <v>7</v>
      </c>
      <c r="B19" s="55">
        <f t="shared" ref="B19:E19" si="2">ROUND(B18/B17*100,1)</f>
        <v>6.9</v>
      </c>
      <c r="C19" s="55">
        <f t="shared" si="2"/>
        <v>4.3</v>
      </c>
      <c r="D19" s="55">
        <f t="shared" si="2"/>
        <v>1.5</v>
      </c>
      <c r="E19" s="55">
        <f t="shared" si="2"/>
        <v>2</v>
      </c>
      <c r="F19" s="53"/>
      <c r="G19" s="2"/>
      <c r="H19" s="53"/>
      <c r="I19" s="2"/>
    </row>
    <row r="20" spans="1:9">
      <c r="A20" s="56" t="s">
        <v>56</v>
      </c>
      <c r="B20" s="148">
        <f>ROUND((C17-B17)/B17*100,1)</f>
        <v>0.8</v>
      </c>
      <c r="C20" s="148"/>
      <c r="D20" s="148">
        <f>ROUND((E17-D17)/D17*100,1)</f>
        <v>-0.4</v>
      </c>
      <c r="E20" s="148"/>
      <c r="F20" s="53"/>
      <c r="H20" s="53"/>
    </row>
    <row r="21" spans="1:9" ht="14.4">
      <c r="A21" s="62" t="s">
        <v>115</v>
      </c>
      <c r="B21" s="63"/>
      <c r="C21" s="63"/>
      <c r="D21" s="63"/>
      <c r="E21" s="63"/>
      <c r="F21" s="63"/>
      <c r="G21" s="63"/>
    </row>
    <row r="22" spans="1:9">
      <c r="F22" s="53"/>
      <c r="H22" s="53"/>
    </row>
    <row r="23" spans="1:9">
      <c r="H23" s="53"/>
    </row>
    <row r="24" spans="1:9">
      <c r="H24" s="53"/>
    </row>
    <row r="25" spans="1:9">
      <c r="H25" s="53"/>
    </row>
    <row r="26" spans="1:9">
      <c r="H26" s="53"/>
    </row>
    <row r="27" spans="1:9">
      <c r="H27" s="53"/>
    </row>
    <row r="28" spans="1:9">
      <c r="H28" s="53"/>
    </row>
  </sheetData>
  <mergeCells count="12">
    <mergeCell ref="B20:C20"/>
    <mergeCell ref="D20:E20"/>
    <mergeCell ref="A4:E4"/>
    <mergeCell ref="A5:A10"/>
    <mergeCell ref="B5:C5"/>
    <mergeCell ref="D5:E5"/>
    <mergeCell ref="B6:C6"/>
    <mergeCell ref="D6:E6"/>
    <mergeCell ref="B7:C7"/>
    <mergeCell ref="D7:E7"/>
    <mergeCell ref="B9:C9"/>
    <mergeCell ref="D9:E9"/>
  </mergeCells>
  <phoneticPr fontId="12" type="noConversion"/>
  <conditionalFormatting sqref="G11:G20 G22">
    <cfRule type="colorScale" priority="4">
      <colorScale>
        <cfvo type="num" val="0"/>
        <cfvo type="num" val="2"/>
        <color rgb="FFFF7128"/>
        <color rgb="FFFFEF9C"/>
      </colorScale>
    </cfRule>
  </conditionalFormatting>
  <conditionalFormatting sqref="I11:I20 I22">
    <cfRule type="colorScale" priority="3">
      <colorScale>
        <cfvo type="num" val="0"/>
        <cfvo type="num" val="2"/>
        <color rgb="FFFF7128"/>
        <color rgb="FFFFEF9C"/>
      </colorScale>
    </cfRule>
  </conditionalFormatting>
  <conditionalFormatting sqref="I21">
    <cfRule type="colorScale" priority="2">
      <colorScale>
        <cfvo type="num" val="0"/>
        <cfvo type="num" val="2"/>
        <color rgb="FFFF7128"/>
        <color rgb="FFFFEF9C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285A-1A33-4F7F-808D-374898FB01FE}">
  <dimension ref="A2:G22"/>
  <sheetViews>
    <sheetView workbookViewId="0">
      <selection activeCell="B16" sqref="B16"/>
    </sheetView>
  </sheetViews>
  <sheetFormatPr defaultColWidth="8.77734375" defaultRowHeight="13.8"/>
  <cols>
    <col min="1" max="1" width="14.5546875" style="2" customWidth="1"/>
    <col min="2" max="3" width="19.21875" style="2" customWidth="1"/>
    <col min="4" max="6" width="8.77734375" style="2"/>
    <col min="7" max="7" width="15.21875" style="2" customWidth="1"/>
    <col min="8" max="16384" width="8.77734375" style="2"/>
  </cols>
  <sheetData>
    <row r="2" spans="1:7" ht="14.4">
      <c r="A2" s="57" t="s">
        <v>159</v>
      </c>
      <c r="B2" s="1"/>
    </row>
    <row r="3" spans="1:7" ht="14.4">
      <c r="B3" s="1"/>
      <c r="F3" s="45" t="s">
        <v>149</v>
      </c>
      <c r="G3" s="46">
        <v>45901</v>
      </c>
    </row>
    <row r="4" spans="1:7" ht="15" customHeight="1">
      <c r="A4" s="110" t="s">
        <v>79</v>
      </c>
      <c r="B4" s="99"/>
      <c r="C4" s="99"/>
      <c r="F4" s="45" t="s">
        <v>150</v>
      </c>
      <c r="G4" s="46">
        <v>45989</v>
      </c>
    </row>
    <row r="5" spans="1:7" ht="15" customHeight="1">
      <c r="A5" s="129"/>
      <c r="B5" s="118" t="s">
        <v>160</v>
      </c>
      <c r="C5" s="120"/>
      <c r="F5" s="45" t="s">
        <v>41</v>
      </c>
      <c r="G5" s="48">
        <f>G4-G3</f>
        <v>88</v>
      </c>
    </row>
    <row r="6" spans="1:7" ht="15" customHeight="1">
      <c r="A6" s="130"/>
      <c r="B6" s="149" t="s">
        <v>161</v>
      </c>
      <c r="C6" s="120"/>
    </row>
    <row r="7" spans="1:7" ht="15" customHeight="1">
      <c r="A7" s="130"/>
      <c r="B7" s="118" t="s">
        <v>54</v>
      </c>
      <c r="C7" s="120"/>
      <c r="F7" s="45"/>
      <c r="G7" s="50"/>
    </row>
    <row r="8" spans="1:7" ht="15" customHeight="1">
      <c r="A8" s="130"/>
      <c r="B8" s="6">
        <v>1</v>
      </c>
      <c r="C8" s="7" t="s">
        <v>55</v>
      </c>
      <c r="F8" s="45"/>
      <c r="G8" s="50"/>
    </row>
    <row r="9" spans="1:7" ht="15" customHeight="1">
      <c r="A9" s="130"/>
      <c r="B9" s="118" t="s">
        <v>156</v>
      </c>
      <c r="C9" s="120"/>
      <c r="F9" s="45"/>
      <c r="G9" s="48"/>
    </row>
    <row r="10" spans="1:7" ht="15" customHeight="1">
      <c r="A10" s="131"/>
      <c r="B10" s="7" t="s">
        <v>157</v>
      </c>
      <c r="C10" s="7" t="s">
        <v>158</v>
      </c>
    </row>
    <row r="11" spans="1:7" ht="15" customHeight="1">
      <c r="A11" s="7">
        <v>1</v>
      </c>
      <c r="B11" s="52">
        <v>13.465960000000001</v>
      </c>
      <c r="C11" s="52">
        <v>13.372564000000001</v>
      </c>
      <c r="D11" s="53"/>
      <c r="E11" s="59"/>
      <c r="F11" s="59"/>
    </row>
    <row r="12" spans="1:7" ht="15" customHeight="1">
      <c r="A12" s="7">
        <v>2</v>
      </c>
      <c r="B12" s="52">
        <v>13.400342</v>
      </c>
      <c r="C12" s="52">
        <v>13.167996</v>
      </c>
      <c r="D12" s="53"/>
      <c r="E12" s="59"/>
      <c r="F12" s="59"/>
    </row>
    <row r="13" spans="1:7" ht="15" customHeight="1">
      <c r="A13" s="7">
        <v>3</v>
      </c>
      <c r="B13" s="52">
        <v>13.263249999999999</v>
      </c>
      <c r="C13" s="52">
        <v>13.083569000000001</v>
      </c>
      <c r="D13" s="53"/>
      <c r="E13" s="59"/>
      <c r="F13" s="59"/>
    </row>
    <row r="14" spans="1:7" ht="15" customHeight="1">
      <c r="A14" s="7">
        <v>4</v>
      </c>
      <c r="B14" s="52">
        <v>13.327756000000001</v>
      </c>
      <c r="C14" s="52">
        <v>13.168179</v>
      </c>
      <c r="D14" s="53"/>
      <c r="E14" s="59"/>
      <c r="F14" s="59"/>
    </row>
    <row r="15" spans="1:7" ht="15" customHeight="1">
      <c r="A15" s="7">
        <v>5</v>
      </c>
      <c r="B15" s="52">
        <v>13.815438</v>
      </c>
      <c r="C15" s="52">
        <v>13.5288</v>
      </c>
      <c r="D15" s="53"/>
      <c r="E15" s="59"/>
      <c r="F15" s="59"/>
    </row>
    <row r="16" spans="1:7" ht="15" customHeight="1">
      <c r="A16" s="7">
        <v>6</v>
      </c>
      <c r="B16" s="52">
        <v>13.464649</v>
      </c>
      <c r="C16" s="52">
        <v>13.112155</v>
      </c>
      <c r="D16" s="53"/>
      <c r="E16" s="59"/>
      <c r="F16" s="59"/>
    </row>
    <row r="17" spans="1:4" ht="15" customHeight="1">
      <c r="A17" s="7" t="s">
        <v>151</v>
      </c>
      <c r="B17" s="54">
        <f>ROUND(AVERAGE(B11:B16),6)</f>
        <v>13.456232999999999</v>
      </c>
      <c r="C17" s="54">
        <f>ROUND(AVERAGE(C11:C16),6)</f>
        <v>13.238877</v>
      </c>
      <c r="D17" s="53"/>
    </row>
    <row r="18" spans="1:4" ht="15" customHeight="1">
      <c r="A18" s="7" t="s">
        <v>3</v>
      </c>
      <c r="B18" s="54">
        <f>ROUND(STDEV(B11:B16),6)</f>
        <v>0.192907</v>
      </c>
      <c r="C18" s="54">
        <f>ROUND(STDEV(C11:C16),6)</f>
        <v>0.17443</v>
      </c>
      <c r="D18" s="53"/>
    </row>
    <row r="19" spans="1:4" ht="15" customHeight="1">
      <c r="A19" s="7" t="s">
        <v>7</v>
      </c>
      <c r="B19" s="55">
        <f>ROUND(B18/B17*100,1)</f>
        <v>1.4</v>
      </c>
      <c r="C19" s="55">
        <f>ROUND(C18/C17*100,1)</f>
        <v>1.3</v>
      </c>
      <c r="D19" s="53"/>
    </row>
    <row r="20" spans="1:4">
      <c r="A20" s="56" t="s">
        <v>56</v>
      </c>
      <c r="B20" s="148">
        <f>ROUND((C17-B17)/B17*100,1)</f>
        <v>-1.6</v>
      </c>
      <c r="C20" s="148"/>
      <c r="D20" s="53"/>
    </row>
    <row r="21" spans="1:4">
      <c r="D21" s="53"/>
    </row>
    <row r="22" spans="1:4">
      <c r="D22" s="53"/>
    </row>
  </sheetData>
  <mergeCells count="7">
    <mergeCell ref="B20:C20"/>
    <mergeCell ref="A4:C4"/>
    <mergeCell ref="A5:A10"/>
    <mergeCell ref="B5:C5"/>
    <mergeCell ref="B6:C6"/>
    <mergeCell ref="B7:C7"/>
    <mergeCell ref="B9:C9"/>
  </mergeCells>
  <phoneticPr fontId="12" type="noConversion"/>
  <conditionalFormatting sqref="E17:E22">
    <cfRule type="colorScale" priority="1">
      <colorScale>
        <cfvo type="num" val="0"/>
        <cfvo type="num" val="2"/>
        <color rgb="FFFF7128"/>
        <color rgb="FFFFEF9C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E212-1B3F-4FDF-9EC5-D6BBB9931AED}">
  <dimension ref="A2:I27"/>
  <sheetViews>
    <sheetView workbookViewId="0">
      <selection activeCell="B16" sqref="B16"/>
    </sheetView>
  </sheetViews>
  <sheetFormatPr defaultColWidth="8.77734375" defaultRowHeight="13.8"/>
  <cols>
    <col min="1" max="1" width="15.33203125" style="2" customWidth="1"/>
    <col min="2" max="2" width="12.44140625" style="2" customWidth="1"/>
    <col min="3" max="3" width="15.77734375" style="2" customWidth="1"/>
    <col min="4" max="4" width="12.77734375" style="2" customWidth="1"/>
    <col min="5" max="5" width="15.5546875" style="2" customWidth="1"/>
    <col min="6" max="6" width="8.77734375" style="2"/>
    <col min="7" max="7" width="33.44140625" style="2" customWidth="1"/>
    <col min="8" max="8" width="15.77734375" style="2" customWidth="1"/>
    <col min="9" max="16384" width="8.77734375" style="2"/>
  </cols>
  <sheetData>
    <row r="2" spans="1:9" ht="14.4">
      <c r="A2" s="51" t="s">
        <v>153</v>
      </c>
    </row>
    <row r="3" spans="1:9" ht="14.4">
      <c r="G3" s="45" t="s">
        <v>149</v>
      </c>
      <c r="H3" s="46">
        <v>45901</v>
      </c>
    </row>
    <row r="4" spans="1:9" s="14" customFormat="1" ht="15" customHeight="1">
      <c r="A4" s="104" t="s">
        <v>79</v>
      </c>
      <c r="B4" s="150"/>
      <c r="C4" s="150"/>
      <c r="D4" s="150"/>
      <c r="E4" s="150"/>
      <c r="G4" s="45" t="s">
        <v>150</v>
      </c>
      <c r="H4" s="46">
        <v>45989</v>
      </c>
    </row>
    <row r="5" spans="1:9" s="14" customFormat="1" ht="15" customHeight="1">
      <c r="A5" s="127"/>
      <c r="B5" s="117" t="s">
        <v>57</v>
      </c>
      <c r="C5" s="117"/>
      <c r="D5" s="117" t="s">
        <v>80</v>
      </c>
      <c r="E5" s="117"/>
      <c r="G5" s="45" t="s">
        <v>41</v>
      </c>
      <c r="H5" s="48">
        <f>H4-H3</f>
        <v>88</v>
      </c>
    </row>
    <row r="6" spans="1:9" s="14" customFormat="1" ht="15" customHeight="1">
      <c r="A6" s="127"/>
      <c r="B6" s="149" t="s">
        <v>154</v>
      </c>
      <c r="C6" s="151"/>
      <c r="D6" s="149" t="s">
        <v>155</v>
      </c>
      <c r="E6" s="151"/>
    </row>
    <row r="7" spans="1:9" s="14" customFormat="1" ht="15" customHeight="1">
      <c r="A7" s="127"/>
      <c r="B7" s="117" t="s">
        <v>54</v>
      </c>
      <c r="C7" s="117"/>
      <c r="D7" s="117" t="s">
        <v>54</v>
      </c>
      <c r="E7" s="117"/>
      <c r="G7" s="2"/>
      <c r="H7" s="2"/>
      <c r="I7" s="2"/>
    </row>
    <row r="8" spans="1:9" s="14" customFormat="1" ht="15" customHeight="1">
      <c r="A8" s="127"/>
      <c r="B8" s="6">
        <v>2</v>
      </c>
      <c r="C8" s="7" t="s">
        <v>58</v>
      </c>
      <c r="D8" s="6">
        <v>1000</v>
      </c>
      <c r="E8" s="7" t="s">
        <v>5</v>
      </c>
      <c r="G8" s="45"/>
      <c r="H8" s="50"/>
      <c r="I8" s="2"/>
    </row>
    <row r="9" spans="1:9" s="14" customFormat="1" ht="15" customHeight="1">
      <c r="A9" s="127"/>
      <c r="B9" s="117" t="s">
        <v>156</v>
      </c>
      <c r="C9" s="117"/>
      <c r="D9" s="117" t="s">
        <v>156</v>
      </c>
      <c r="E9" s="117"/>
      <c r="G9" s="45"/>
      <c r="H9" s="50"/>
      <c r="I9" s="2"/>
    </row>
    <row r="10" spans="1:9" s="14" customFormat="1" ht="15" customHeight="1">
      <c r="A10" s="127"/>
      <c r="B10" s="7" t="s">
        <v>157</v>
      </c>
      <c r="C10" s="7" t="s">
        <v>158</v>
      </c>
      <c r="D10" s="7" t="s">
        <v>157</v>
      </c>
      <c r="E10" s="7" t="s">
        <v>158</v>
      </c>
      <c r="G10" s="45"/>
      <c r="H10" s="48"/>
      <c r="I10" s="2"/>
    </row>
    <row r="11" spans="1:9" s="14" customFormat="1" ht="15" customHeight="1">
      <c r="A11" s="7">
        <v>1</v>
      </c>
      <c r="B11" s="52">
        <v>0.15945500000000001</v>
      </c>
      <c r="C11" s="52">
        <v>0.15958800000000001</v>
      </c>
      <c r="D11" s="52">
        <v>13.095146</v>
      </c>
      <c r="E11" s="52">
        <v>13.510109</v>
      </c>
      <c r="F11" s="53"/>
      <c r="G11" s="2"/>
      <c r="H11" s="53"/>
      <c r="I11" s="2"/>
    </row>
    <row r="12" spans="1:9" s="14" customFormat="1" ht="15" customHeight="1">
      <c r="A12" s="7">
        <v>2</v>
      </c>
      <c r="B12" s="52">
        <v>0.18415899999999999</v>
      </c>
      <c r="C12" s="52">
        <v>0.16208700000000001</v>
      </c>
      <c r="D12" s="52">
        <v>13.498661999999999</v>
      </c>
      <c r="E12" s="52">
        <v>13.036543999999999</v>
      </c>
      <c r="F12" s="53"/>
      <c r="G12" s="2"/>
      <c r="H12" s="53"/>
      <c r="I12" s="2"/>
    </row>
    <row r="13" spans="1:9" s="14" customFormat="1" ht="15" customHeight="1">
      <c r="A13" s="7">
        <v>3</v>
      </c>
      <c r="B13" s="52">
        <v>0.166515</v>
      </c>
      <c r="C13" s="52">
        <v>0.175428</v>
      </c>
      <c r="D13" s="52">
        <v>13.578189</v>
      </c>
      <c r="E13" s="52">
        <v>13.3605</v>
      </c>
      <c r="F13" s="53"/>
      <c r="G13" s="2"/>
      <c r="H13" s="53"/>
      <c r="I13" s="2"/>
    </row>
    <row r="14" spans="1:9" s="14" customFormat="1" ht="15" customHeight="1">
      <c r="A14" s="7">
        <v>4</v>
      </c>
      <c r="B14" s="52">
        <v>0.16867499999999999</v>
      </c>
      <c r="C14" s="52">
        <v>0.16577500000000001</v>
      </c>
      <c r="D14" s="52">
        <v>13.274165</v>
      </c>
      <c r="E14" s="52">
        <v>13.679592</v>
      </c>
      <c r="F14" s="53"/>
      <c r="G14" s="2"/>
      <c r="H14" s="53"/>
      <c r="I14" s="2"/>
    </row>
    <row r="15" spans="1:9" s="14" customFormat="1" ht="15" customHeight="1">
      <c r="A15" s="7">
        <v>5</v>
      </c>
      <c r="B15" s="52">
        <v>0.14963199999999999</v>
      </c>
      <c r="C15" s="52">
        <v>0.17501700000000001</v>
      </c>
      <c r="D15" s="52">
        <v>13.60397</v>
      </c>
      <c r="E15" s="52">
        <v>13.444566999999999</v>
      </c>
      <c r="F15" s="53"/>
      <c r="G15" s="2"/>
      <c r="H15" s="53"/>
      <c r="I15" s="2"/>
    </row>
    <row r="16" spans="1:9" s="14" customFormat="1" ht="15" customHeight="1">
      <c r="A16" s="7">
        <v>6</v>
      </c>
      <c r="B16" s="52">
        <v>0.163136</v>
      </c>
      <c r="C16" s="52">
        <v>0.171324</v>
      </c>
      <c r="D16" s="52">
        <v>13.352702000000001</v>
      </c>
      <c r="E16" s="52">
        <v>13.338668</v>
      </c>
      <c r="F16" s="53"/>
      <c r="G16" s="2"/>
      <c r="H16" s="53"/>
      <c r="I16" s="2"/>
    </row>
    <row r="17" spans="1:9" s="14" customFormat="1" ht="15" customHeight="1">
      <c r="A17" s="7" t="s">
        <v>151</v>
      </c>
      <c r="B17" s="54">
        <f t="shared" ref="B17:E17" si="0">ROUND(AVERAGE(B11:B16),6)</f>
        <v>0.16526199999999999</v>
      </c>
      <c r="C17" s="54">
        <f t="shared" si="0"/>
        <v>0.16820299999999999</v>
      </c>
      <c r="D17" s="54">
        <f t="shared" si="0"/>
        <v>13.400472000000001</v>
      </c>
      <c r="E17" s="54">
        <f t="shared" si="0"/>
        <v>13.394997</v>
      </c>
      <c r="F17" s="53"/>
      <c r="G17" s="2"/>
      <c r="H17" s="53"/>
      <c r="I17" s="2"/>
    </row>
    <row r="18" spans="1:9" s="14" customFormat="1" ht="15" customHeight="1">
      <c r="A18" s="7" t="s">
        <v>3</v>
      </c>
      <c r="B18" s="54">
        <f t="shared" ref="B18:E18" si="1">ROUND(STDEV(B11:B16),6)</f>
        <v>1.1427E-2</v>
      </c>
      <c r="C18" s="54">
        <f t="shared" si="1"/>
        <v>6.7210000000000004E-3</v>
      </c>
      <c r="D18" s="54">
        <f t="shared" si="1"/>
        <v>0.19702600000000001</v>
      </c>
      <c r="E18" s="54">
        <f t="shared" si="1"/>
        <v>0.21426799999999999</v>
      </c>
      <c r="F18" s="53"/>
      <c r="G18" s="2"/>
      <c r="H18" s="53"/>
      <c r="I18" s="2"/>
    </row>
    <row r="19" spans="1:9" s="14" customFormat="1" ht="15" customHeight="1">
      <c r="A19" s="7" t="s">
        <v>7</v>
      </c>
      <c r="B19" s="55">
        <f t="shared" ref="B19:E19" si="2">ROUND(B18/B17*100,1)</f>
        <v>6.9</v>
      </c>
      <c r="C19" s="55">
        <f t="shared" si="2"/>
        <v>4</v>
      </c>
      <c r="D19" s="55">
        <f t="shared" si="2"/>
        <v>1.5</v>
      </c>
      <c r="E19" s="55">
        <f t="shared" si="2"/>
        <v>1.6</v>
      </c>
      <c r="F19" s="53"/>
      <c r="G19" s="2"/>
      <c r="H19" s="53"/>
      <c r="I19" s="2"/>
    </row>
    <row r="20" spans="1:9">
      <c r="A20" s="56" t="s">
        <v>56</v>
      </c>
      <c r="B20" s="148">
        <f>ROUND((C17-B17)/B17*100,1)</f>
        <v>1.8</v>
      </c>
      <c r="C20" s="148"/>
      <c r="D20" s="148">
        <f>ROUND((E17-D17)/D17*100,1)</f>
        <v>0</v>
      </c>
      <c r="E20" s="148"/>
      <c r="F20" s="53"/>
      <c r="H20" s="53"/>
    </row>
    <row r="21" spans="1:9">
      <c r="F21" s="53"/>
      <c r="H21" s="53"/>
    </row>
    <row r="22" spans="1:9">
      <c r="F22" s="53"/>
    </row>
    <row r="23" spans="1:9">
      <c r="F23" s="53"/>
    </row>
    <row r="24" spans="1:9">
      <c r="F24" s="53"/>
    </row>
    <row r="25" spans="1:9">
      <c r="F25" s="53"/>
    </row>
    <row r="26" spans="1:9">
      <c r="F26" s="53"/>
    </row>
    <row r="27" spans="1:9">
      <c r="F27" s="53"/>
    </row>
  </sheetData>
  <mergeCells count="12">
    <mergeCell ref="B20:C20"/>
    <mergeCell ref="D20:E20"/>
    <mergeCell ref="A4:E4"/>
    <mergeCell ref="A5:A10"/>
    <mergeCell ref="B5:C5"/>
    <mergeCell ref="D5:E5"/>
    <mergeCell ref="B6:C6"/>
    <mergeCell ref="D6:E6"/>
    <mergeCell ref="B7:C7"/>
    <mergeCell ref="D7:E7"/>
    <mergeCell ref="B9:C9"/>
    <mergeCell ref="D9:E9"/>
  </mergeCells>
  <phoneticPr fontId="12" type="noConversion"/>
  <conditionalFormatting sqref="G11:G21">
    <cfRule type="colorScale" priority="4">
      <colorScale>
        <cfvo type="num" val="0"/>
        <cfvo type="num" val="2"/>
        <color rgb="FFFF7128"/>
        <color rgb="FFFFEF9C"/>
      </colorScale>
    </cfRule>
  </conditionalFormatting>
  <conditionalFormatting sqref="I11:I21">
    <cfRule type="colorScale" priority="3">
      <colorScale>
        <cfvo type="num" val="0"/>
        <cfvo type="num" val="2"/>
        <color rgb="FFFF7128"/>
        <color rgb="FFFFEF9C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8BF1-D082-4746-83A0-5C02FACFAF50}">
  <dimension ref="A2:I19"/>
  <sheetViews>
    <sheetView zoomScaleNormal="100" zoomScaleSheetLayoutView="100" workbookViewId="0">
      <selection activeCell="B16" sqref="B16"/>
    </sheetView>
  </sheetViews>
  <sheetFormatPr defaultColWidth="8.77734375" defaultRowHeight="13.8"/>
  <cols>
    <col min="1" max="6" width="14.5546875" style="2" customWidth="1"/>
    <col min="7" max="7" width="22.21875" style="2" customWidth="1"/>
    <col min="8" max="8" width="8.77734375" style="2"/>
    <col min="9" max="9" width="20" style="2" customWidth="1"/>
    <col min="10" max="16384" width="8.77734375" style="2"/>
  </cols>
  <sheetData>
    <row r="2" spans="1:9" ht="14.4">
      <c r="A2" s="114" t="s">
        <v>39</v>
      </c>
      <c r="B2" s="114"/>
      <c r="C2" s="114"/>
    </row>
    <row r="3" spans="1:9">
      <c r="A3" s="1"/>
      <c r="B3" s="1"/>
      <c r="C3" s="1"/>
    </row>
    <row r="4" spans="1:9" ht="14.4">
      <c r="A4" s="13" t="s">
        <v>146</v>
      </c>
      <c r="B4" s="14"/>
      <c r="C4" s="14"/>
      <c r="D4" s="14"/>
      <c r="E4" s="14"/>
      <c r="F4" s="14"/>
      <c r="G4" s="14"/>
      <c r="H4" s="14"/>
      <c r="I4" s="14"/>
    </row>
    <row r="5" spans="1:9" ht="14.25" customHeight="1">
      <c r="A5" s="121" t="s">
        <v>143</v>
      </c>
      <c r="B5" s="121" t="s">
        <v>147</v>
      </c>
      <c r="C5" s="7" t="s">
        <v>60</v>
      </c>
      <c r="D5" s="117" t="s">
        <v>148</v>
      </c>
      <c r="E5" s="7" t="s">
        <v>0</v>
      </c>
      <c r="F5" s="121" t="s">
        <v>148</v>
      </c>
      <c r="G5" s="14"/>
      <c r="H5" s="45" t="s">
        <v>149</v>
      </c>
      <c r="I5" s="46">
        <v>45902</v>
      </c>
    </row>
    <row r="6" spans="1:9" ht="13.5" customHeight="1">
      <c r="A6" s="152"/>
      <c r="B6" s="152"/>
      <c r="C6" s="47">
        <v>0.3</v>
      </c>
      <c r="D6" s="117"/>
      <c r="E6" s="47">
        <v>37.5</v>
      </c>
      <c r="F6" s="152"/>
      <c r="G6" s="14"/>
      <c r="H6" s="45" t="s">
        <v>150</v>
      </c>
      <c r="I6" s="46">
        <v>45997</v>
      </c>
    </row>
    <row r="7" spans="1:9">
      <c r="A7" s="122"/>
      <c r="B7" s="122"/>
      <c r="C7" s="44" t="s">
        <v>5</v>
      </c>
      <c r="D7" s="117"/>
      <c r="E7" s="44" t="s">
        <v>5</v>
      </c>
      <c r="F7" s="122"/>
      <c r="G7" s="14"/>
      <c r="H7" s="45" t="s">
        <v>41</v>
      </c>
      <c r="I7" s="48">
        <f>I6-I5</f>
        <v>95</v>
      </c>
    </row>
    <row r="8" spans="1:9">
      <c r="A8" s="153">
        <v>45998</v>
      </c>
      <c r="B8" s="121">
        <v>7</v>
      </c>
      <c r="C8" s="3">
        <v>0.32800000000000001</v>
      </c>
      <c r="D8" s="4">
        <f>ROUND((C8-C$6)/C$6*100,1)</f>
        <v>9.3000000000000007</v>
      </c>
      <c r="E8" s="3">
        <v>38.106999999999999</v>
      </c>
      <c r="F8" s="4">
        <f>ROUND((E8-E$6)/E$6*100,1)</f>
        <v>1.6</v>
      </c>
      <c r="G8" s="14"/>
      <c r="H8" s="14"/>
      <c r="I8" s="14"/>
    </row>
    <row r="9" spans="1:9">
      <c r="A9" s="153"/>
      <c r="B9" s="152"/>
      <c r="C9" s="3">
        <v>0.28399999999999997</v>
      </c>
      <c r="D9" s="4">
        <f t="shared" ref="D9:F13" si="0">ROUND((C9-C$6)/C$6*100,1)</f>
        <v>-5.3</v>
      </c>
      <c r="E9" s="3">
        <v>37.246000000000002</v>
      </c>
      <c r="F9" s="4">
        <f t="shared" si="0"/>
        <v>-0.7</v>
      </c>
      <c r="G9" s="14"/>
      <c r="H9" s="14"/>
      <c r="I9" s="14"/>
    </row>
    <row r="10" spans="1:9">
      <c r="A10" s="153"/>
      <c r="B10" s="152"/>
      <c r="C10" s="5">
        <v>0.29299999999999998</v>
      </c>
      <c r="D10" s="4">
        <f t="shared" si="0"/>
        <v>-2.2999999999999998</v>
      </c>
      <c r="E10" s="3">
        <v>37.924999999999997</v>
      </c>
      <c r="F10" s="4">
        <f t="shared" si="0"/>
        <v>1.1000000000000001</v>
      </c>
      <c r="G10" s="14"/>
      <c r="H10" s="45"/>
      <c r="I10" s="50"/>
    </row>
    <row r="11" spans="1:9">
      <c r="A11" s="153"/>
      <c r="B11" s="152"/>
      <c r="C11" s="5">
        <v>0.314</v>
      </c>
      <c r="D11" s="4">
        <f t="shared" si="0"/>
        <v>4.7</v>
      </c>
      <c r="E11" s="5">
        <v>40.369</v>
      </c>
      <c r="F11" s="4">
        <f t="shared" si="0"/>
        <v>7.7</v>
      </c>
      <c r="G11" s="14"/>
      <c r="H11" s="45"/>
      <c r="I11" s="50"/>
    </row>
    <row r="12" spans="1:9">
      <c r="A12" s="153"/>
      <c r="B12" s="152"/>
      <c r="C12" s="3">
        <v>0.28499999999999998</v>
      </c>
      <c r="D12" s="4">
        <f t="shared" si="0"/>
        <v>-5</v>
      </c>
      <c r="E12" s="3">
        <v>41.183</v>
      </c>
      <c r="F12" s="4">
        <f t="shared" si="0"/>
        <v>9.8000000000000007</v>
      </c>
      <c r="G12" s="14"/>
      <c r="H12" s="45"/>
      <c r="I12" s="48"/>
    </row>
    <row r="13" spans="1:9">
      <c r="A13" s="153"/>
      <c r="B13" s="122"/>
      <c r="C13" s="3">
        <v>0.32900000000000001</v>
      </c>
      <c r="D13" s="4">
        <f t="shared" si="0"/>
        <v>9.6999999999999993</v>
      </c>
      <c r="E13" s="3">
        <v>38.325000000000003</v>
      </c>
      <c r="F13" s="4">
        <f t="shared" si="0"/>
        <v>2.2000000000000002</v>
      </c>
      <c r="G13" s="14"/>
      <c r="H13" s="14"/>
      <c r="I13" s="14"/>
    </row>
    <row r="14" spans="1:9" ht="14.4">
      <c r="A14" s="7" t="s">
        <v>151</v>
      </c>
      <c r="B14" s="129"/>
      <c r="C14" s="6">
        <f>ROUND(AVERAGE(C8:C13),3)</f>
        <v>0.30599999999999999</v>
      </c>
      <c r="D14" s="129"/>
      <c r="E14" s="6">
        <f>ROUND(AVERAGE(E8:E13),3)</f>
        <v>38.859000000000002</v>
      </c>
      <c r="F14" s="129"/>
      <c r="G14" s="14"/>
      <c r="H14" s="14"/>
      <c r="I14" s="14"/>
    </row>
    <row r="15" spans="1:9">
      <c r="A15" s="7" t="s">
        <v>3</v>
      </c>
      <c r="B15" s="130"/>
      <c r="C15" s="6">
        <f>ROUND(STDEV(C8:C13),3)</f>
        <v>2.1000000000000001E-2</v>
      </c>
      <c r="D15" s="130"/>
      <c r="E15" s="6">
        <f>ROUND(STDEV(E8:E13),3)</f>
        <v>1.55</v>
      </c>
      <c r="F15" s="130"/>
      <c r="G15" s="14"/>
      <c r="H15" s="14"/>
      <c r="I15" s="14"/>
    </row>
    <row r="16" spans="1:9">
      <c r="A16" s="7" t="s">
        <v>8</v>
      </c>
      <c r="B16" s="130"/>
      <c r="C16" s="4">
        <f>ROUND(C15/C14*100,1)</f>
        <v>6.9</v>
      </c>
      <c r="D16" s="130"/>
      <c r="E16" s="4">
        <f>ROUND(E15/E14*100,1)</f>
        <v>4</v>
      </c>
      <c r="F16" s="130"/>
      <c r="G16" s="14"/>
      <c r="H16" s="14"/>
      <c r="I16" s="14"/>
    </row>
    <row r="17" spans="1:9" ht="14.4">
      <c r="A17" s="7" t="s">
        <v>152</v>
      </c>
      <c r="B17" s="130"/>
      <c r="C17" s="4">
        <f>ROUND(C14/C$6*100,1)</f>
        <v>102</v>
      </c>
      <c r="D17" s="130"/>
      <c r="E17" s="4">
        <f>ROUND(E14/E$6*100,1)</f>
        <v>103.6</v>
      </c>
      <c r="F17" s="130"/>
      <c r="G17" s="14"/>
      <c r="H17" s="14"/>
      <c r="I17" s="14"/>
    </row>
    <row r="18" spans="1:9" ht="14.4">
      <c r="A18" s="7" t="s">
        <v>148</v>
      </c>
      <c r="B18" s="130"/>
      <c r="C18" s="4">
        <f>ROUND((C14-C$6)/C$6*100,1)</f>
        <v>2</v>
      </c>
      <c r="D18" s="130"/>
      <c r="E18" s="4">
        <f>ROUND((E14-E$6)/E$6*100,1)</f>
        <v>3.6</v>
      </c>
      <c r="F18" s="130"/>
      <c r="G18" s="14"/>
      <c r="H18" s="14"/>
      <c r="I18" s="14"/>
    </row>
    <row r="19" spans="1:9">
      <c r="A19" s="7" t="s">
        <v>4</v>
      </c>
      <c r="B19" s="131"/>
      <c r="C19" s="7">
        <v>6</v>
      </c>
      <c r="D19" s="131"/>
      <c r="E19" s="7">
        <v>6</v>
      </c>
      <c r="F19" s="131"/>
      <c r="G19" s="14"/>
      <c r="H19" s="14"/>
      <c r="I19" s="14"/>
    </row>
  </sheetData>
  <mergeCells count="10">
    <mergeCell ref="A2:C2"/>
    <mergeCell ref="B14:B19"/>
    <mergeCell ref="D14:D19"/>
    <mergeCell ref="F14:F19"/>
    <mergeCell ref="A5:A7"/>
    <mergeCell ref="B5:B7"/>
    <mergeCell ref="D5:D7"/>
    <mergeCell ref="F5:F7"/>
    <mergeCell ref="A8:A13"/>
    <mergeCell ref="B8:B13"/>
  </mergeCells>
  <phoneticPr fontId="12" type="noConversion"/>
  <pageMargins left="0.7" right="0.7" top="0.75" bottom="0.75" header="0.3" footer="0.3"/>
  <pageSetup paperSize="9" scale="68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5A08-051C-485C-8F60-4DFA4F059512}">
  <dimension ref="A1:F19"/>
  <sheetViews>
    <sheetView workbookViewId="0">
      <selection activeCell="B15" sqref="B15:B16"/>
    </sheetView>
  </sheetViews>
  <sheetFormatPr defaultRowHeight="13.8"/>
  <cols>
    <col min="1" max="1" width="16.77734375" customWidth="1"/>
    <col min="2" max="2" width="14.77734375" customWidth="1"/>
    <col min="3" max="3" width="29.33203125" customWidth="1"/>
    <col min="4" max="4" width="17.77734375" customWidth="1"/>
    <col min="5" max="5" width="28.33203125" customWidth="1"/>
    <col min="6" max="6" width="21.21875" customWidth="1"/>
  </cols>
  <sheetData>
    <row r="1" spans="1:6" ht="14.4">
      <c r="A1" s="154" t="s">
        <v>61</v>
      </c>
      <c r="B1" s="126"/>
      <c r="C1" s="126"/>
      <c r="D1" s="31"/>
      <c r="E1" s="31"/>
      <c r="F1" s="31"/>
    </row>
    <row r="2" spans="1:6">
      <c r="A2" s="31"/>
      <c r="B2" s="31"/>
      <c r="C2" s="32"/>
      <c r="D2" s="33"/>
      <c r="E2" s="33"/>
      <c r="F2" s="33"/>
    </row>
    <row r="3" spans="1:6" ht="14.1" customHeight="1">
      <c r="A3" s="154" t="s">
        <v>62</v>
      </c>
      <c r="B3" s="126"/>
      <c r="C3" s="126"/>
      <c r="D3" s="31"/>
      <c r="E3" s="31"/>
      <c r="F3" s="31"/>
    </row>
    <row r="4" spans="1:6">
      <c r="A4" s="31"/>
      <c r="B4" s="31"/>
      <c r="C4" s="32"/>
      <c r="D4" s="33"/>
      <c r="E4" s="33"/>
      <c r="F4" s="33"/>
    </row>
    <row r="5" spans="1:6">
      <c r="A5" s="34"/>
      <c r="B5" s="35"/>
      <c r="C5" s="36"/>
      <c r="D5" s="37"/>
      <c r="E5" s="38"/>
      <c r="F5" s="39"/>
    </row>
    <row r="6" spans="1:6" ht="13.95" customHeight="1">
      <c r="A6" s="117" t="s">
        <v>143</v>
      </c>
      <c r="B6" s="117" t="s">
        <v>144</v>
      </c>
      <c r="C6" s="117" t="s">
        <v>145</v>
      </c>
      <c r="D6" s="155" t="s">
        <v>81</v>
      </c>
      <c r="E6" s="155" t="s">
        <v>82</v>
      </c>
      <c r="F6" s="155" t="s">
        <v>83</v>
      </c>
    </row>
    <row r="7" spans="1:6">
      <c r="A7" s="117"/>
      <c r="B7" s="117"/>
      <c r="C7" s="117"/>
      <c r="D7" s="117"/>
      <c r="E7" s="117"/>
      <c r="F7" s="117"/>
    </row>
    <row r="8" spans="1:6">
      <c r="A8" s="156">
        <v>45998</v>
      </c>
      <c r="B8" s="117">
        <v>8</v>
      </c>
      <c r="C8" s="41" t="s">
        <v>84</v>
      </c>
      <c r="D8" s="42">
        <v>8231</v>
      </c>
      <c r="E8" s="163">
        <v>183238</v>
      </c>
      <c r="F8" s="160">
        <f>ROUND(AVERAGE(D8:D10)/E8*100,1)</f>
        <v>4.9000000000000004</v>
      </c>
    </row>
    <row r="9" spans="1:6">
      <c r="A9" s="157"/>
      <c r="B9" s="117"/>
      <c r="C9" s="41" t="s">
        <v>85</v>
      </c>
      <c r="D9" s="42">
        <v>10432</v>
      </c>
      <c r="E9" s="163"/>
      <c r="F9" s="161"/>
    </row>
    <row r="10" spans="1:6">
      <c r="A10" s="158"/>
      <c r="B10" s="117"/>
      <c r="C10" s="41" t="s">
        <v>86</v>
      </c>
      <c r="D10" s="42">
        <v>8466</v>
      </c>
      <c r="E10" s="163"/>
      <c r="F10" s="162"/>
    </row>
    <row r="11" spans="1:6">
      <c r="A11" s="31"/>
      <c r="B11" s="43"/>
      <c r="C11" s="36"/>
      <c r="D11" s="33"/>
      <c r="E11" s="38"/>
      <c r="F11" s="39"/>
    </row>
    <row r="12" spans="1:6" ht="14.1" customHeight="1">
      <c r="A12" s="31"/>
      <c r="B12" s="43"/>
      <c r="C12" s="36"/>
      <c r="D12" s="33"/>
      <c r="E12" s="38"/>
      <c r="F12" s="39"/>
    </row>
    <row r="13" spans="1:6" ht="14.4">
      <c r="A13" s="154" t="s">
        <v>63</v>
      </c>
      <c r="B13" s="126"/>
      <c r="C13" s="126"/>
      <c r="D13" s="33"/>
      <c r="E13" s="33"/>
      <c r="F13" s="33"/>
    </row>
    <row r="15" spans="1:6">
      <c r="A15" s="117" t="s">
        <v>143</v>
      </c>
      <c r="B15" s="117" t="s">
        <v>144</v>
      </c>
      <c r="C15" s="117" t="s">
        <v>145</v>
      </c>
      <c r="D15" s="155" t="s">
        <v>109</v>
      </c>
      <c r="E15" s="155" t="s">
        <v>110</v>
      </c>
      <c r="F15" s="155" t="s">
        <v>111</v>
      </c>
    </row>
    <row r="16" spans="1:6">
      <c r="A16" s="117"/>
      <c r="B16" s="117"/>
      <c r="C16" s="117"/>
      <c r="D16" s="117"/>
      <c r="E16" s="117"/>
      <c r="F16" s="117"/>
    </row>
    <row r="17" spans="1:6">
      <c r="A17" s="156">
        <v>45998</v>
      </c>
      <c r="B17" s="121">
        <v>8</v>
      </c>
      <c r="C17" s="41" t="s">
        <v>87</v>
      </c>
      <c r="D17" s="42">
        <v>1023</v>
      </c>
      <c r="E17" s="159">
        <v>6361</v>
      </c>
      <c r="F17" s="160">
        <f>ROUND(AVERAGE(D17:D19)/E17*100,1)</f>
        <v>18.399999999999999</v>
      </c>
    </row>
    <row r="18" spans="1:6">
      <c r="A18" s="157"/>
      <c r="B18" s="152"/>
      <c r="C18" s="41" t="s">
        <v>88</v>
      </c>
      <c r="D18" s="42">
        <v>853</v>
      </c>
      <c r="E18" s="159"/>
      <c r="F18" s="161"/>
    </row>
    <row r="19" spans="1:6">
      <c r="A19" s="158"/>
      <c r="B19" s="122"/>
      <c r="C19" s="41" t="s">
        <v>89</v>
      </c>
      <c r="D19" s="42">
        <v>1638</v>
      </c>
      <c r="E19" s="159"/>
      <c r="F19" s="162"/>
    </row>
  </sheetData>
  <mergeCells count="23">
    <mergeCell ref="F8:F10"/>
    <mergeCell ref="D6:D7"/>
    <mergeCell ref="A1:C1"/>
    <mergeCell ref="A3:C3"/>
    <mergeCell ref="A6:A7"/>
    <mergeCell ref="B6:B7"/>
    <mergeCell ref="C6:C7"/>
    <mergeCell ref="A13:C13"/>
    <mergeCell ref="E6:E7"/>
    <mergeCell ref="F15:F16"/>
    <mergeCell ref="A17:A19"/>
    <mergeCell ref="B17:B19"/>
    <mergeCell ref="E17:E19"/>
    <mergeCell ref="F17:F19"/>
    <mergeCell ref="A15:A16"/>
    <mergeCell ref="B15:B16"/>
    <mergeCell ref="C15:C16"/>
    <mergeCell ref="D15:D16"/>
    <mergeCell ref="E15:E16"/>
    <mergeCell ref="F6:F7"/>
    <mergeCell ref="A8:A10"/>
    <mergeCell ref="B8:B10"/>
    <mergeCell ref="E8:E10"/>
  </mergeCells>
  <phoneticPr fontId="1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78D5-2CA2-4E34-8A98-E11174D49108}">
  <dimension ref="B2"/>
  <sheetViews>
    <sheetView workbookViewId="0">
      <selection activeCell="J24" sqref="J24"/>
    </sheetView>
  </sheetViews>
  <sheetFormatPr defaultRowHeight="13.8"/>
  <cols>
    <col min="2" max="2" width="19.6640625" customWidth="1"/>
    <col min="3" max="3" width="16.5546875" customWidth="1"/>
    <col min="4" max="4" width="12.77734375" customWidth="1"/>
  </cols>
  <sheetData>
    <row r="2" spans="2:2">
      <c r="B2" t="s">
        <v>66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19</vt:i4>
      </vt:variant>
      <vt:variant>
        <vt:lpstr>命名范围</vt:lpstr>
      </vt:variant>
      <vt:variant>
        <vt:i4>2</vt:i4>
      </vt:variant>
    </vt:vector>
  </HeadingPairs>
  <TitlesOfParts>
    <vt:vector size="21" baseType="lpstr">
      <vt:lpstr>1.1</vt:lpstr>
      <vt:lpstr>2.1 标准品</vt:lpstr>
      <vt:lpstr>2.2 内标</vt:lpstr>
      <vt:lpstr>2.5 试剂</vt:lpstr>
      <vt:lpstr>2.6 空白基质</vt:lpstr>
      <vt:lpstr>2.9 标准曲线质控样品的配制</vt:lpstr>
      <vt:lpstr>表1_schedule</vt:lpstr>
      <vt:lpstr>表2_系统适用性</vt:lpstr>
      <vt:lpstr>表3_批量样品检测过程的残留</vt:lpstr>
      <vt:lpstr>表7_Regression</vt:lpstr>
      <vt:lpstr>表8_curve</vt:lpstr>
      <vt:lpstr>表10 QC (除准确度精密度分析批）</vt:lpstr>
      <vt:lpstr>表14_stock ST</vt:lpstr>
      <vt:lpstr>表15_spike ST</vt:lpstr>
      <vt:lpstr>表16_stock LT</vt:lpstr>
      <vt:lpstr>表17_spike LT</vt:lpstr>
      <vt:lpstr>表21_LTS</vt:lpstr>
      <vt:lpstr>表24_内标适用性考察</vt:lpstr>
      <vt:lpstr>天平</vt:lpstr>
      <vt:lpstr>表2_系统适用性!Print_Area</vt:lpstr>
      <vt:lpstr>表3_批量样品检测过程的残留!Print_Area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</dc:creator>
  <cp:lastModifiedBy>lguo</cp:lastModifiedBy>
  <cp:lastPrinted>2025-09-24T05:52:10Z</cp:lastPrinted>
  <dcterms:created xsi:type="dcterms:W3CDTF">2016-03-17T02:40:20Z</dcterms:created>
  <dcterms:modified xsi:type="dcterms:W3CDTF">2025-12-16T10:04:10Z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GFID">
    <vt:lpwstr>[DocID]=E3F42394-16F6-46B4-B257-E4A8262C4353</vt:lpwstr>
  </property>
</Properties>
</file>