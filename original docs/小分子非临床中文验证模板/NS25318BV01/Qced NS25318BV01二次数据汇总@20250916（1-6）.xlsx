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guo\Desktop\未完成\03 QC\NS25318BV01(1-6)\"/>
    </mc:Choice>
  </mc:AlternateContent>
  <xr:revisionPtr revIDLastSave="0" documentId="13_ncr:1_{4E55D476-F722-4445-855F-CF8F6C322328}" xr6:coauthVersionLast="47" xr6:coauthVersionMax="47" xr10:uidLastSave="{00000000-0000-0000-0000-000000000000}"/>
  <bookViews>
    <workbookView xWindow="-108" yWindow="-108" windowWidth="23256" windowHeight="12576" tabRatio="852" xr2:uid="{00000000-000D-0000-FFFF-FFFF00000000}"/>
  </bookViews>
  <sheets>
    <sheet name="表1_schedule" sheetId="7" r:id="rId1"/>
    <sheet name="表2_系统适用性" sheetId="59" r:id="rId2"/>
    <sheet name="表3_批量样品检测过程的残留" sheetId="60" r:id="rId3"/>
    <sheet name="表4_Selectivity" sheetId="11" r:id="rId4"/>
    <sheet name="表5_特异性" sheetId="31" r:id="rId5"/>
    <sheet name="表6_ME" sheetId="47" r:id="rId6"/>
    <sheet name="表9_Inter QC" sheetId="52" r:id="rId7"/>
    <sheet name="表11_Recovery" sheetId="48" r:id="rId8"/>
    <sheet name="表13_Dilution" sheetId="18" r:id="rId9"/>
    <sheet name="表18_ST" sheetId="24" r:id="rId10"/>
    <sheet name="表19_FT" sheetId="23" r:id="rId11"/>
    <sheet name="表20_PSS" sheetId="25" r:id="rId12"/>
    <sheet name="表22_Blood" sheetId="26" r:id="rId13"/>
    <sheet name="表23_溶血效应" sheetId="30" r:id="rId14"/>
    <sheet name="表24_处理后样品再进样重现性" sheetId="71" r:id="rId15"/>
  </sheets>
  <definedNames>
    <definedName name="_xlnm.Print_Area" localSheetId="7">表11_Recovery!$A$1:$J$18</definedName>
    <definedName name="_xlnm.Print_Area" localSheetId="10">表19_FT!$A$1:$G$20</definedName>
    <definedName name="_xlnm.Print_Area" localSheetId="14">表24_处理后样品再进样重现性!$A$1:$M$18</definedName>
    <definedName name="_xlnm.Print_Area" localSheetId="5">表6_ME!$A$1:$E$61</definedName>
  </definedNames>
  <calcPr calcId="191029"/>
</workbook>
</file>

<file path=xl/calcChain.xml><?xml version="1.0" encoding="utf-8"?>
<calcChain xmlns="http://schemas.openxmlformats.org/spreadsheetml/2006/main">
  <c r="H17" i="11" l="1"/>
  <c r="E17" i="11"/>
  <c r="H7" i="11"/>
  <c r="E7" i="11"/>
  <c r="P25" i="52"/>
  <c r="O25" i="52"/>
  <c r="P24" i="52"/>
  <c r="O24" i="52"/>
  <c r="P21" i="52"/>
  <c r="O21" i="52"/>
  <c r="P20" i="52"/>
  <c r="O20" i="52"/>
  <c r="M7" i="71" l="1"/>
  <c r="I7" i="25"/>
  <c r="I7" i="24"/>
  <c r="F15" i="31" l="1"/>
  <c r="F7" i="31"/>
  <c r="G11" i="60" l="1"/>
  <c r="I12" i="60" s="1"/>
  <c r="F11" i="60"/>
  <c r="H12" i="60" s="1"/>
  <c r="H11" i="60" l="1"/>
  <c r="I11" i="60"/>
  <c r="P34" i="52" l="1"/>
  <c r="O34" i="52"/>
  <c r="P33" i="52"/>
  <c r="O33" i="52"/>
  <c r="P30" i="52"/>
  <c r="O30" i="52"/>
  <c r="P29" i="52"/>
  <c r="O29" i="52"/>
  <c r="E11" i="30"/>
  <c r="C11" i="30"/>
  <c r="C12" i="30" s="1"/>
  <c r="E10" i="30"/>
  <c r="C10" i="30"/>
  <c r="C13" i="30" s="1"/>
  <c r="F9" i="30"/>
  <c r="D9" i="30"/>
  <c r="F8" i="30"/>
  <c r="D8" i="30"/>
  <c r="F7" i="30"/>
  <c r="D7" i="30"/>
  <c r="G16" i="26"/>
  <c r="F16" i="26"/>
  <c r="E16" i="26"/>
  <c r="E17" i="26" s="1"/>
  <c r="D16" i="26"/>
  <c r="D17" i="26" s="1"/>
  <c r="G15" i="26"/>
  <c r="F15" i="26"/>
  <c r="E15" i="26"/>
  <c r="D15" i="26"/>
  <c r="E15" i="25"/>
  <c r="E16" i="25" s="1"/>
  <c r="C15" i="25"/>
  <c r="E14" i="25"/>
  <c r="C14" i="25"/>
  <c r="F13" i="25"/>
  <c r="D13" i="25"/>
  <c r="F12" i="25"/>
  <c r="D12" i="25"/>
  <c r="F11" i="25"/>
  <c r="D11" i="25"/>
  <c r="F10" i="25"/>
  <c r="D10" i="25"/>
  <c r="F9" i="25"/>
  <c r="D9" i="25"/>
  <c r="F8" i="25"/>
  <c r="D8" i="25"/>
  <c r="F15" i="23"/>
  <c r="F16" i="23" s="1"/>
  <c r="D15" i="23"/>
  <c r="F14" i="23"/>
  <c r="F17" i="23" s="1"/>
  <c r="D14" i="23"/>
  <c r="G13" i="23"/>
  <c r="E13" i="23"/>
  <c r="G12" i="23"/>
  <c r="E12" i="23"/>
  <c r="G11" i="23"/>
  <c r="E11" i="23"/>
  <c r="G10" i="23"/>
  <c r="E10" i="23"/>
  <c r="G9" i="23"/>
  <c r="E9" i="23"/>
  <c r="G8" i="23"/>
  <c r="E8" i="23"/>
  <c r="E15" i="24"/>
  <c r="C15" i="24"/>
  <c r="C16" i="24" s="1"/>
  <c r="E14" i="24"/>
  <c r="C14" i="24"/>
  <c r="F13" i="24"/>
  <c r="D13" i="24"/>
  <c r="F12" i="24"/>
  <c r="D12" i="24"/>
  <c r="F11" i="24"/>
  <c r="D11" i="24"/>
  <c r="F10" i="24"/>
  <c r="D10" i="24"/>
  <c r="F9" i="24"/>
  <c r="D9" i="24"/>
  <c r="F8" i="24"/>
  <c r="D8" i="24"/>
  <c r="C14" i="18"/>
  <c r="C15" i="18" s="1"/>
  <c r="C13" i="18"/>
  <c r="D12" i="18"/>
  <c r="D11" i="18"/>
  <c r="D10" i="18"/>
  <c r="D9" i="18"/>
  <c r="D8" i="18"/>
  <c r="D7" i="18"/>
  <c r="I13" i="48"/>
  <c r="J9" i="48" s="1"/>
  <c r="H13" i="48"/>
  <c r="F13" i="48"/>
  <c r="G9" i="48" s="1"/>
  <c r="E13" i="48"/>
  <c r="C13" i="48"/>
  <c r="D9" i="48" s="1"/>
  <c r="B13" i="48"/>
  <c r="G17" i="26" l="1"/>
  <c r="E12" i="30"/>
  <c r="F17" i="26"/>
  <c r="C16" i="25"/>
  <c r="D16" i="23"/>
  <c r="E13" i="30"/>
  <c r="F18" i="26"/>
  <c r="D18" i="26"/>
  <c r="E16" i="24"/>
  <c r="J10" i="48"/>
  <c r="G7" i="48"/>
  <c r="G11" i="48"/>
  <c r="G10" i="48"/>
  <c r="D7" i="48"/>
  <c r="D10" i="48"/>
  <c r="D11" i="48"/>
  <c r="C17" i="25"/>
  <c r="E17" i="25"/>
  <c r="D17" i="23"/>
  <c r="C17" i="24"/>
  <c r="E17" i="24"/>
  <c r="C16" i="18"/>
  <c r="D12" i="48"/>
  <c r="J7" i="48"/>
  <c r="G12" i="48"/>
  <c r="G8" i="48"/>
  <c r="J8" i="48"/>
  <c r="J12" i="48"/>
  <c r="J11" i="48"/>
  <c r="D8" i="48"/>
  <c r="G13" i="48" l="1"/>
  <c r="D13" i="48"/>
  <c r="J14" i="48"/>
  <c r="J13" i="48"/>
  <c r="D14" i="48"/>
  <c r="G14" i="48"/>
  <c r="G15" i="48" l="1"/>
  <c r="D15" i="48"/>
  <c r="B16" i="48"/>
  <c r="B17" i="48" s="1"/>
  <c r="J15" i="48"/>
  <c r="G9" i="60" l="1"/>
  <c r="I10" i="60" s="1"/>
  <c r="F9" i="60"/>
  <c r="H9" i="60" s="1"/>
  <c r="G7" i="60"/>
  <c r="I8" i="60" s="1"/>
  <c r="F7" i="60"/>
  <c r="H8" i="60" s="1"/>
  <c r="G5" i="60"/>
  <c r="I6" i="60" s="1"/>
  <c r="F5" i="60"/>
  <c r="H6" i="60" s="1"/>
  <c r="H5" i="60" l="1"/>
  <c r="I9" i="60"/>
  <c r="H10" i="60"/>
  <c r="H7" i="60"/>
  <c r="I7" i="60"/>
  <c r="I5" i="60"/>
  <c r="C8" i="47" l="1"/>
  <c r="E8" i="47"/>
  <c r="C9" i="47"/>
  <c r="E9" i="47"/>
  <c r="C10" i="47"/>
  <c r="E10" i="47"/>
  <c r="B11" i="47"/>
  <c r="B14" i="47" s="1"/>
  <c r="D11" i="47"/>
  <c r="D14" i="47" s="1"/>
  <c r="B12" i="47"/>
  <c r="D12" i="47"/>
  <c r="D13" i="47" s="1"/>
  <c r="C17" i="47"/>
  <c r="E17" i="47"/>
  <c r="C18" i="47"/>
  <c r="E18" i="47"/>
  <c r="C19" i="47"/>
  <c r="E19" i="47"/>
  <c r="B20" i="47"/>
  <c r="B24" i="47" s="1"/>
  <c r="D20" i="47"/>
  <c r="B21" i="47"/>
  <c r="B22" i="47" s="1"/>
  <c r="D21" i="47"/>
  <c r="C26" i="47"/>
  <c r="E26" i="47"/>
  <c r="C27" i="47"/>
  <c r="E27" i="47"/>
  <c r="C28" i="47"/>
  <c r="E28" i="47"/>
  <c r="B29" i="47"/>
  <c r="B32" i="47" s="1"/>
  <c r="D29" i="47"/>
  <c r="D33" i="47" s="1"/>
  <c r="B30" i="47"/>
  <c r="D30" i="47"/>
  <c r="D31" i="47" s="1"/>
  <c r="C35" i="47"/>
  <c r="E35" i="47"/>
  <c r="C36" i="47"/>
  <c r="E36" i="47"/>
  <c r="C37" i="47"/>
  <c r="E37" i="47"/>
  <c r="B38" i="47"/>
  <c r="B42" i="47" s="1"/>
  <c r="D38" i="47"/>
  <c r="D42" i="47" s="1"/>
  <c r="B39" i="47"/>
  <c r="B40" i="47" s="1"/>
  <c r="D39" i="47"/>
  <c r="D40" i="47" s="1"/>
  <c r="C44" i="47"/>
  <c r="E44" i="47"/>
  <c r="C45" i="47"/>
  <c r="E45" i="47"/>
  <c r="C46" i="47"/>
  <c r="E46" i="47"/>
  <c r="B47" i="47"/>
  <c r="B50" i="47" s="1"/>
  <c r="D47" i="47"/>
  <c r="D50" i="47" s="1"/>
  <c r="B48" i="47"/>
  <c r="D48" i="47"/>
  <c r="C53" i="47"/>
  <c r="E53" i="47"/>
  <c r="C54" i="47"/>
  <c r="E54" i="47"/>
  <c r="C55" i="47"/>
  <c r="E55" i="47"/>
  <c r="B56" i="47"/>
  <c r="B59" i="47" s="1"/>
  <c r="D56" i="47"/>
  <c r="D60" i="47" s="1"/>
  <c r="B57" i="47"/>
  <c r="B58" i="47" s="1"/>
  <c r="D57" i="47"/>
  <c r="D58" i="47" s="1"/>
  <c r="D49" i="47" l="1"/>
  <c r="B49" i="47"/>
  <c r="B31" i="47"/>
  <c r="D59" i="47"/>
  <c r="D41" i="47"/>
  <c r="D32" i="47"/>
  <c r="B41" i="47"/>
  <c r="B13" i="47"/>
  <c r="D22" i="47"/>
  <c r="B60" i="47"/>
  <c r="D51" i="47"/>
  <c r="B51" i="47"/>
  <c r="B33" i="47"/>
  <c r="D24" i="47"/>
  <c r="D23" i="47"/>
  <c r="B23" i="47"/>
  <c r="D15" i="47"/>
  <c r="B15" i="47"/>
  <c r="I11" i="47" l="1"/>
  <c r="I12" i="47"/>
  <c r="H12" i="47"/>
  <c r="H8" i="11" l="1"/>
  <c r="H9" i="11"/>
  <c r="H10" i="11"/>
  <c r="H11" i="11"/>
  <c r="H12" i="11"/>
  <c r="E9" i="11"/>
  <c r="E10" i="11"/>
  <c r="E11" i="11"/>
  <c r="E12" i="11"/>
  <c r="E8" i="11"/>
</calcChain>
</file>

<file path=xl/sharedStrings.xml><?xml version="1.0" encoding="utf-8"?>
<sst xmlns="http://schemas.openxmlformats.org/spreadsheetml/2006/main" count="371" uniqueCount="183">
  <si>
    <t>LLOQ</t>
  </si>
  <si>
    <t>HQC</t>
  </si>
  <si>
    <t>MQC</t>
  </si>
  <si>
    <t>LQC</t>
  </si>
  <si>
    <t>SD</t>
  </si>
  <si>
    <t>n</t>
  </si>
  <si>
    <t>ng/mL</t>
  </si>
  <si>
    <t xml:space="preserve"> LQC</t>
  </si>
  <si>
    <r>
      <t xml:space="preserve"> </t>
    </r>
    <r>
      <rPr>
        <sz val="10.5"/>
        <rFont val="宋体"/>
        <family val="3"/>
        <charset val="134"/>
      </rPr>
      <t>样品名称</t>
    </r>
  </si>
  <si>
    <r>
      <rPr>
        <sz val="10.5"/>
        <rFont val="宋体"/>
        <family val="3"/>
        <charset val="134"/>
      </rPr>
      <t>检测批次编号</t>
    </r>
  </si>
  <si>
    <r>
      <rPr>
        <sz val="10.5"/>
        <rFont val="宋体"/>
        <family val="3"/>
        <charset val="134"/>
      </rPr>
      <t>检测内容</t>
    </r>
  </si>
  <si>
    <r>
      <rPr>
        <sz val="10.5"/>
        <rFont val="宋体"/>
        <family val="3"/>
        <charset val="134"/>
      </rPr>
      <t>检测日期</t>
    </r>
  </si>
  <si>
    <r>
      <rPr>
        <sz val="10.5"/>
        <rFont val="宋体"/>
        <family val="3"/>
        <charset val="134"/>
      </rPr>
      <t>序号</t>
    </r>
  </si>
  <si>
    <r>
      <rPr>
        <sz val="10.5"/>
        <rFont val="宋体"/>
        <family val="3"/>
        <charset val="134"/>
      </rPr>
      <t>不同来源基质的编号</t>
    </r>
  </si>
  <si>
    <r>
      <rPr>
        <sz val="10.5"/>
        <rFont val="宋体"/>
        <family val="3"/>
        <charset val="134"/>
      </rPr>
      <t>内标响应值</t>
    </r>
  </si>
  <si>
    <r>
      <rPr>
        <sz val="10.5"/>
        <rFont val="宋体"/>
        <family val="3"/>
        <charset val="134"/>
      </rPr>
      <t>空白基质</t>
    </r>
  </si>
  <si>
    <r>
      <rPr>
        <sz val="10.5"/>
        <rFont val="宋体"/>
        <family val="3"/>
        <charset val="134"/>
      </rPr>
      <t>平均值</t>
    </r>
  </si>
  <si>
    <r>
      <rPr>
        <sz val="10.5"/>
        <color theme="1"/>
        <rFont val="宋体"/>
        <family val="3"/>
        <charset val="134"/>
      </rPr>
      <t>检测批次编号</t>
    </r>
  </si>
  <si>
    <r>
      <rPr>
        <sz val="10.5"/>
        <color theme="1"/>
        <rFont val="宋体"/>
        <family val="3"/>
        <charset val="134"/>
      </rPr>
      <t>平均值</t>
    </r>
  </si>
  <si>
    <t>ng/mL</t>
    <phoneticPr fontId="5" type="noConversion"/>
  </si>
  <si>
    <r>
      <rPr>
        <sz val="10.5"/>
        <color theme="1"/>
        <rFont val="宋体"/>
        <family val="3"/>
        <charset val="134"/>
      </rPr>
      <t>冻融循环次数</t>
    </r>
  </si>
  <si>
    <r>
      <rPr>
        <sz val="10.5"/>
        <rFont val="宋体"/>
        <family val="3"/>
        <charset val="134"/>
      </rPr>
      <t>样品编号</t>
    </r>
  </si>
  <si>
    <r>
      <t>T</t>
    </r>
    <r>
      <rPr>
        <vertAlign val="subscript"/>
        <sz val="10.5"/>
        <rFont val="Times New Roman"/>
        <family val="1"/>
      </rPr>
      <t>0</t>
    </r>
  </si>
  <si>
    <r>
      <t xml:space="preserve"> </t>
    </r>
    <r>
      <rPr>
        <sz val="10.5"/>
        <rFont val="宋体"/>
        <family val="3"/>
        <charset val="134"/>
      </rPr>
      <t>检测批次编号</t>
    </r>
    <phoneticPr fontId="5" type="noConversion"/>
  </si>
  <si>
    <r>
      <rPr>
        <sz val="10.5"/>
        <rFont val="宋体"/>
        <family val="3"/>
        <charset val="134"/>
      </rPr>
      <t>浓度</t>
    </r>
    <phoneticPr fontId="5" type="noConversion"/>
  </si>
  <si>
    <r>
      <rPr>
        <sz val="10.5"/>
        <rFont val="宋体"/>
        <family val="3"/>
        <charset val="134"/>
      </rPr>
      <t>待测物与内标的峰面积比</t>
    </r>
    <phoneticPr fontId="5" type="noConversion"/>
  </si>
  <si>
    <r>
      <rPr>
        <sz val="10.5"/>
        <rFont val="宋体"/>
        <family val="3"/>
        <charset val="134"/>
      </rPr>
      <t>检测日期</t>
    </r>
    <phoneticPr fontId="5" type="noConversion"/>
  </si>
  <si>
    <r>
      <rPr>
        <sz val="10.5"/>
        <rFont val="宋体"/>
        <family val="3"/>
        <charset val="134"/>
      </rPr>
      <t>检测时间</t>
    </r>
  </si>
  <si>
    <t>表19：冻融稳定性</t>
  </si>
  <si>
    <t xml:space="preserve">表18：生物样品前处理过程中的短期稳定性 </t>
  </si>
  <si>
    <t>表13：稀释可靠性</t>
  </si>
  <si>
    <t>表9：批内/批间样品检测的精密度和准确度</t>
  </si>
  <si>
    <t>表4：选择性考察</t>
  </si>
  <si>
    <t>表1：批量样品检测情况列表</t>
  </si>
  <si>
    <t>干扰 (%）</t>
  </si>
  <si>
    <t>干扰（%）</t>
  </si>
  <si>
    <t>CV（%）</t>
  </si>
  <si>
    <t>差异（%）</t>
  </si>
  <si>
    <t>提取回收率（%）</t>
  </si>
  <si>
    <r>
      <rPr>
        <sz val="10.5"/>
        <rFont val="宋体"/>
        <family val="3"/>
        <charset val="134"/>
      </rPr>
      <t>待测物响应值</t>
    </r>
    <phoneticPr fontId="5" type="noConversion"/>
  </si>
  <si>
    <r>
      <rPr>
        <sz val="10.5"/>
        <rFont val="宋体"/>
        <family val="3"/>
        <charset val="134"/>
      </rPr>
      <t>提取日期</t>
    </r>
    <phoneticPr fontId="5" type="noConversion"/>
  </si>
  <si>
    <r>
      <rPr>
        <sz val="10.5"/>
        <rFont val="宋体"/>
        <family val="3"/>
        <charset val="134"/>
      </rPr>
      <t>设备编号</t>
    </r>
    <phoneticPr fontId="5" type="noConversion"/>
  </si>
  <si>
    <r>
      <rPr>
        <sz val="10.5"/>
        <rFont val="宋体"/>
        <family val="3"/>
        <charset val="134"/>
      </rPr>
      <t>备注：</t>
    </r>
  </si>
  <si>
    <t>Max</t>
    <phoneticPr fontId="5" type="noConversion"/>
  </si>
  <si>
    <t>Min</t>
    <phoneticPr fontId="5" type="noConversion"/>
  </si>
  <si>
    <t>批内</t>
    <phoneticPr fontId="5" type="noConversion"/>
  </si>
  <si>
    <t>批间</t>
    <phoneticPr fontId="5" type="noConversion"/>
  </si>
  <si>
    <t>%Bias</t>
    <phoneticPr fontId="5" type="noConversion"/>
  </si>
  <si>
    <t>%CV</t>
    <phoneticPr fontId="5" type="noConversion"/>
  </si>
  <si>
    <r>
      <rPr>
        <sz val="10.5"/>
        <color theme="1"/>
        <rFont val="宋体"/>
        <family val="3"/>
        <charset val="134"/>
      </rPr>
      <t>除</t>
    </r>
    <r>
      <rPr>
        <sz val="10.5"/>
        <color theme="1"/>
        <rFont val="Times New Roman"/>
        <family val="1"/>
      </rPr>
      <t>LLOQ</t>
    </r>
    <r>
      <rPr>
        <sz val="10.5"/>
        <color theme="1"/>
        <rFont val="宋体"/>
        <family val="3"/>
        <charset val="134"/>
      </rPr>
      <t>外</t>
    </r>
    <phoneticPr fontId="5" type="noConversion"/>
  </si>
  <si>
    <t>LLOQ</t>
    <phoneticPr fontId="5" type="noConversion"/>
  </si>
  <si>
    <t>GMQC</t>
    <phoneticPr fontId="5" type="noConversion"/>
  </si>
  <si>
    <r>
      <rPr>
        <sz val="10.5"/>
        <rFont val="宋体"/>
        <family val="3"/>
        <charset val="134"/>
      </rPr>
      <t>准确度偏差</t>
    </r>
    <r>
      <rPr>
        <sz val="10.5"/>
        <rFont val="Times New Roman"/>
        <family val="1"/>
      </rPr>
      <t>%</t>
    </r>
  </si>
  <si>
    <t>%CV</t>
  </si>
  <si>
    <r>
      <rPr>
        <sz val="10.5"/>
        <rFont val="宋体"/>
        <family val="3"/>
        <charset val="134"/>
      </rPr>
      <t>准确度</t>
    </r>
    <r>
      <rPr>
        <sz val="10.5"/>
        <rFont val="Times New Roman"/>
        <family val="1"/>
      </rPr>
      <t>%</t>
    </r>
  </si>
  <si>
    <t>表6：基质效应试验</t>
    <phoneticPr fontId="5" type="noConversion"/>
  </si>
  <si>
    <t>ng/mL</t>
    <phoneticPr fontId="20" type="noConversion"/>
  </si>
  <si>
    <r>
      <rPr>
        <sz val="10.5"/>
        <rFont val="宋体"/>
        <family val="3"/>
        <charset val="134"/>
      </rPr>
      <t>个体</t>
    </r>
    <r>
      <rPr>
        <sz val="10.5"/>
        <rFont val="Times New Roman"/>
        <family val="1"/>
      </rPr>
      <t>1</t>
    </r>
    <phoneticPr fontId="5" type="noConversion"/>
  </si>
  <si>
    <r>
      <rPr>
        <sz val="10.5"/>
        <rFont val="宋体"/>
        <family val="3"/>
        <charset val="134"/>
      </rPr>
      <t>个体</t>
    </r>
    <r>
      <rPr>
        <sz val="10.5"/>
        <rFont val="Times New Roman"/>
        <family val="1"/>
      </rPr>
      <t>2</t>
    </r>
    <r>
      <rPr>
        <sz val="11"/>
        <color theme="1"/>
        <rFont val="DengXian"/>
        <family val="2"/>
        <charset val="134"/>
        <scheme val="minor"/>
      </rPr>
      <t/>
    </r>
  </si>
  <si>
    <r>
      <rPr>
        <sz val="10.5"/>
        <rFont val="宋体"/>
        <family val="3"/>
        <charset val="134"/>
      </rPr>
      <t>个体</t>
    </r>
    <r>
      <rPr>
        <sz val="10.5"/>
        <rFont val="Times New Roman"/>
        <family val="1"/>
      </rPr>
      <t>3</t>
    </r>
    <r>
      <rPr>
        <sz val="11"/>
        <color theme="1"/>
        <rFont val="DengXian"/>
        <family val="2"/>
        <charset val="134"/>
        <scheme val="minor"/>
      </rPr>
      <t/>
    </r>
  </si>
  <si>
    <r>
      <rPr>
        <sz val="10.5"/>
        <rFont val="宋体"/>
        <family val="3"/>
        <charset val="134"/>
      </rPr>
      <t>个体</t>
    </r>
    <r>
      <rPr>
        <sz val="10.5"/>
        <rFont val="Times New Roman"/>
        <family val="1"/>
      </rPr>
      <t>4</t>
    </r>
    <r>
      <rPr>
        <sz val="11"/>
        <color theme="1"/>
        <rFont val="DengXian"/>
        <family val="2"/>
        <charset val="134"/>
        <scheme val="minor"/>
      </rPr>
      <t/>
    </r>
  </si>
  <si>
    <r>
      <rPr>
        <sz val="10.5"/>
        <rFont val="宋体"/>
        <family val="3"/>
        <charset val="134"/>
      </rPr>
      <t>个体</t>
    </r>
    <r>
      <rPr>
        <sz val="10.5"/>
        <rFont val="Times New Roman"/>
        <family val="1"/>
      </rPr>
      <t>5</t>
    </r>
    <r>
      <rPr>
        <sz val="11"/>
        <color theme="1"/>
        <rFont val="DengXian"/>
        <family val="2"/>
        <charset val="134"/>
        <scheme val="minor"/>
      </rPr>
      <t/>
    </r>
  </si>
  <si>
    <r>
      <rPr>
        <sz val="10.5"/>
        <rFont val="宋体"/>
        <family val="3"/>
        <charset val="134"/>
      </rPr>
      <t>个体</t>
    </r>
    <r>
      <rPr>
        <sz val="10.5"/>
        <rFont val="Times New Roman"/>
        <family val="1"/>
      </rPr>
      <t>6</t>
    </r>
    <r>
      <rPr>
        <sz val="11"/>
        <color theme="1"/>
        <rFont val="DengXian"/>
        <family val="2"/>
        <charset val="134"/>
        <scheme val="minor"/>
      </rPr>
      <t/>
    </r>
  </si>
  <si>
    <t>溶血</t>
    <phoneticPr fontId="5" type="noConversion"/>
  </si>
  <si>
    <t>Min</t>
    <phoneticPr fontId="20" type="noConversion"/>
  </si>
  <si>
    <t>Max</t>
    <phoneticPr fontId="20" type="noConversion"/>
  </si>
  <si>
    <t xml:space="preserve"> </t>
    <phoneticPr fontId="5" type="noConversion"/>
  </si>
  <si>
    <r>
      <rPr>
        <sz val="10.5"/>
        <rFont val="宋体"/>
        <family val="3"/>
        <charset val="134"/>
      </rPr>
      <t>未提取的峰面积比</t>
    </r>
  </si>
  <si>
    <r>
      <rPr>
        <sz val="10.5"/>
        <rFont val="宋体"/>
        <family val="3"/>
        <charset val="134"/>
      </rPr>
      <t>提取后峰面积比</t>
    </r>
  </si>
  <si>
    <r>
      <rPr>
        <sz val="10.5"/>
        <color indexed="8"/>
        <rFont val="宋体"/>
        <family val="3"/>
        <charset val="134"/>
      </rPr>
      <t>未提取的峰面积比</t>
    </r>
    <r>
      <rPr>
        <sz val="10.5"/>
        <color indexed="8"/>
        <rFont val="Times New Roman"/>
        <family val="1"/>
      </rPr>
      <t xml:space="preserve"> </t>
    </r>
  </si>
  <si>
    <t>表11：待测物提取回收率：以待测物与内标的峰面积比计</t>
    <phoneticPr fontId="5" type="noConversion"/>
  </si>
  <si>
    <t>提取后峰面积比</t>
    <phoneticPr fontId="20" type="noConversion"/>
  </si>
  <si>
    <r>
      <rPr>
        <sz val="10.5"/>
        <color theme="1"/>
        <rFont val="宋体"/>
        <family val="3"/>
        <charset val="134"/>
      </rPr>
      <t>是</t>
    </r>
  </si>
  <si>
    <t>分析批是否接受</t>
    <phoneticPr fontId="5" type="noConversion"/>
  </si>
  <si>
    <r>
      <rPr>
        <sz val="10.5"/>
        <color theme="1"/>
        <rFont val="宋体"/>
        <family val="3"/>
        <charset val="134"/>
      </rPr>
      <t>注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宋体"/>
        <family val="3"/>
        <charset val="134"/>
      </rPr>
      <t>：本分析批无标曲质控样品</t>
    </r>
    <r>
      <rPr>
        <sz val="10.5"/>
        <color theme="1"/>
        <rFont val="宋体"/>
        <family val="1"/>
        <charset val="134"/>
      </rPr>
      <t>。</t>
    </r>
    <phoneticPr fontId="5" type="noConversion"/>
  </si>
  <si>
    <r>
      <rPr>
        <sz val="10.5"/>
        <color theme="1"/>
        <rFont val="宋体"/>
        <family val="3"/>
        <charset val="134"/>
      </rPr>
      <t>生物基质批号</t>
    </r>
  </si>
  <si>
    <r>
      <rPr>
        <sz val="10.5"/>
        <color theme="1"/>
        <rFont val="宋体"/>
        <family val="3"/>
        <charset val="134"/>
      </rPr>
      <t>准确度偏差</t>
    </r>
    <r>
      <rPr>
        <sz val="10.5"/>
        <color theme="1"/>
        <rFont val="Times New Roman"/>
        <family val="1"/>
      </rPr>
      <t>%</t>
    </r>
  </si>
  <si>
    <r>
      <rPr>
        <sz val="10.5"/>
        <rFont val="宋体"/>
        <family val="3"/>
        <charset val="134"/>
      </rPr>
      <t>运行批次编号</t>
    </r>
  </si>
  <si>
    <r>
      <rPr>
        <sz val="10.5"/>
        <rFont val="宋体"/>
        <family val="3"/>
        <charset val="134"/>
      </rPr>
      <t>批内均值</t>
    </r>
  </si>
  <si>
    <r>
      <rPr>
        <sz val="10.5"/>
        <rFont val="宋体"/>
        <family val="3"/>
        <charset val="134"/>
      </rPr>
      <t>批内</t>
    </r>
    <r>
      <rPr>
        <sz val="10.5"/>
        <rFont val="Times New Roman"/>
        <family val="1"/>
      </rPr>
      <t>SD</t>
    </r>
  </si>
  <si>
    <r>
      <rPr>
        <sz val="10.5"/>
        <rFont val="宋体"/>
        <family val="3"/>
        <charset val="134"/>
      </rPr>
      <t>批内</t>
    </r>
    <r>
      <rPr>
        <sz val="10.5"/>
        <rFont val="Times New Roman"/>
        <family val="1"/>
      </rPr>
      <t>%CV</t>
    </r>
  </si>
  <si>
    <r>
      <rPr>
        <sz val="10.5"/>
        <rFont val="宋体"/>
        <family val="3"/>
        <charset val="134"/>
      </rPr>
      <t>批内准确度偏差</t>
    </r>
    <r>
      <rPr>
        <sz val="10.5"/>
        <rFont val="Times New Roman"/>
        <family val="1"/>
      </rPr>
      <t>%</t>
    </r>
  </si>
  <si>
    <r>
      <rPr>
        <sz val="10.5"/>
        <rFont val="宋体"/>
        <family val="3"/>
        <charset val="134"/>
      </rPr>
      <t>平均实测浓度</t>
    </r>
  </si>
  <si>
    <r>
      <rPr>
        <sz val="10.5"/>
        <rFont val="宋体"/>
        <family val="3"/>
        <charset val="134"/>
      </rPr>
      <t>批间</t>
    </r>
    <r>
      <rPr>
        <sz val="10.5"/>
        <rFont val="Times New Roman"/>
        <family val="1"/>
      </rPr>
      <t>SD</t>
    </r>
  </si>
  <si>
    <r>
      <rPr>
        <sz val="10.5"/>
        <rFont val="宋体"/>
        <family val="3"/>
        <charset val="134"/>
      </rPr>
      <t>批间</t>
    </r>
    <r>
      <rPr>
        <sz val="10.5"/>
        <rFont val="Times New Roman"/>
        <family val="1"/>
      </rPr>
      <t>%CV</t>
    </r>
  </si>
  <si>
    <r>
      <rPr>
        <sz val="10.5"/>
        <rFont val="宋体"/>
        <family val="3"/>
        <charset val="134"/>
      </rPr>
      <t>批间准确度偏差</t>
    </r>
    <r>
      <rPr>
        <sz val="10.5"/>
        <rFont val="Times New Roman"/>
        <family val="1"/>
      </rPr>
      <t>%</t>
    </r>
  </si>
  <si>
    <r>
      <rPr>
        <sz val="10.5"/>
        <rFont val="宋体"/>
        <family val="3"/>
        <charset val="134"/>
      </rPr>
      <t>总体回收率</t>
    </r>
    <r>
      <rPr>
        <sz val="10.5"/>
        <rFont val="Times New Roman"/>
        <family val="1"/>
      </rPr>
      <t>%</t>
    </r>
  </si>
  <si>
    <r>
      <rPr>
        <sz val="10.5"/>
        <rFont val="宋体"/>
        <family val="3"/>
        <charset val="134"/>
      </rPr>
      <t>总体变异</t>
    </r>
    <r>
      <rPr>
        <sz val="10.5"/>
        <rFont val="Times New Roman"/>
        <family val="1"/>
      </rPr>
      <t>%CV</t>
    </r>
    <phoneticPr fontId="20" type="noConversion"/>
  </si>
  <si>
    <r>
      <rPr>
        <sz val="10.5"/>
        <color theme="1"/>
        <rFont val="宋体"/>
        <family val="3"/>
        <charset val="134"/>
      </rPr>
      <t>检测时间</t>
    </r>
  </si>
  <si>
    <r>
      <t>DQC</t>
    </r>
    <r>
      <rPr>
        <sz val="10.5"/>
        <color theme="1"/>
        <rFont val="宋体"/>
        <family val="3"/>
        <charset val="134"/>
      </rPr>
      <t>（稀释倍数</t>
    </r>
    <r>
      <rPr>
        <sz val="10.5"/>
        <color theme="1"/>
        <rFont val="Times New Roman"/>
        <family val="1"/>
      </rPr>
      <t>20</t>
    </r>
    <r>
      <rPr>
        <sz val="10.5"/>
        <color theme="1"/>
        <rFont val="宋体"/>
        <family val="3"/>
        <charset val="134"/>
      </rPr>
      <t>倍</t>
    </r>
    <r>
      <rPr>
        <sz val="10.5"/>
        <color theme="1"/>
        <rFont val="Times New Roman"/>
        <family val="1"/>
      </rPr>
      <t>)</t>
    </r>
    <phoneticPr fontId="5" type="noConversion"/>
  </si>
  <si>
    <t>试验条件：</t>
    <phoneticPr fontId="5" type="noConversion"/>
  </si>
  <si>
    <r>
      <rPr>
        <sz val="10.5"/>
        <rFont val="宋体"/>
        <family val="3"/>
        <charset val="134"/>
      </rPr>
      <t>样品开始放置时间：</t>
    </r>
    <phoneticPr fontId="5" type="noConversion"/>
  </si>
  <si>
    <r>
      <rPr>
        <sz val="10.5"/>
        <rFont val="宋体"/>
        <family val="3"/>
        <charset val="134"/>
      </rPr>
      <t>样品结束放置时间：</t>
    </r>
    <phoneticPr fontId="5" type="noConversion"/>
  </si>
  <si>
    <r>
      <rPr>
        <sz val="10.5"/>
        <rFont val="宋体"/>
        <family val="3"/>
        <charset val="134"/>
      </rPr>
      <t>放置时间：</t>
    </r>
    <phoneticPr fontId="5" type="noConversion"/>
  </si>
  <si>
    <t>4次</t>
    <phoneticPr fontId="5" type="noConversion"/>
  </si>
  <si>
    <r>
      <rPr>
        <sz val="10.5"/>
        <color theme="1"/>
        <rFont val="宋体"/>
        <family val="3"/>
        <charset val="134"/>
      </rPr>
      <t>表</t>
    </r>
    <r>
      <rPr>
        <sz val="10.5"/>
        <color theme="1"/>
        <rFont val="Times New Roman"/>
        <family val="1"/>
      </rPr>
      <t>20</t>
    </r>
    <r>
      <rPr>
        <sz val="10.5"/>
        <color theme="1"/>
        <rFont val="宋体"/>
        <family val="3"/>
        <charset val="134"/>
      </rPr>
      <t>：制备后样品的稳定性</t>
    </r>
  </si>
  <si>
    <t>样品处理完成时间：</t>
    <phoneticPr fontId="5" type="noConversion"/>
  </si>
  <si>
    <t>该样品第一针进样时间：</t>
    <phoneticPr fontId="5" type="noConversion"/>
  </si>
  <si>
    <r>
      <rPr>
        <sz val="10.5"/>
        <color theme="1"/>
        <rFont val="宋体"/>
        <family val="3"/>
        <charset val="134"/>
      </rPr>
      <t>表</t>
    </r>
    <r>
      <rPr>
        <sz val="10.5"/>
        <color theme="1"/>
        <rFont val="Times New Roman"/>
        <family val="1"/>
      </rPr>
      <t>22</t>
    </r>
    <r>
      <rPr>
        <sz val="10.5"/>
        <color theme="1"/>
        <rFont val="宋体"/>
        <family val="3"/>
        <charset val="134"/>
      </rPr>
      <t>：样品离心分离前基质中待测物稳定性</t>
    </r>
  </si>
  <si>
    <r>
      <rPr>
        <sz val="10.5"/>
        <color theme="1"/>
        <rFont val="宋体"/>
        <family val="3"/>
        <charset val="134"/>
      </rPr>
      <t>表</t>
    </r>
    <r>
      <rPr>
        <sz val="10.5"/>
        <color theme="1"/>
        <rFont val="Times New Roman"/>
        <family val="1"/>
      </rPr>
      <t>23</t>
    </r>
    <r>
      <rPr>
        <sz val="10.5"/>
        <color theme="1"/>
        <rFont val="宋体"/>
        <family val="3"/>
        <charset val="134"/>
      </rPr>
      <t>：溶血效应</t>
    </r>
    <phoneticPr fontId="5" type="noConversion"/>
  </si>
  <si>
    <r>
      <t>系统适用性，标准曲线及范围，第一批批内准确度和精密度，特异性，稀释可靠性，稳定性样品T</t>
    </r>
    <r>
      <rPr>
        <vertAlign val="subscript"/>
        <sz val="10.5"/>
        <rFont val="宋体"/>
        <family val="3"/>
        <charset val="134"/>
      </rPr>
      <t>0</t>
    </r>
    <r>
      <rPr>
        <sz val="10.5"/>
        <rFont val="宋体"/>
        <family val="3"/>
        <charset val="134"/>
      </rPr>
      <t>，残留评价</t>
    </r>
    <phoneticPr fontId="5" type="noConversion"/>
  </si>
  <si>
    <t>Only ULOQ 1</t>
    <phoneticPr fontId="5" type="noConversion"/>
  </si>
  <si>
    <t>Only ULOQ 2</t>
  </si>
  <si>
    <t>Only ULOQ 3</t>
  </si>
  <si>
    <t>Only IS 1</t>
    <phoneticPr fontId="5" type="noConversion"/>
  </si>
  <si>
    <t>Only IS 2</t>
  </si>
  <si>
    <t>Only IS 3</t>
  </si>
  <si>
    <r>
      <rPr>
        <sz val="10.5"/>
        <rFont val="宋体"/>
        <family val="3"/>
        <charset val="134"/>
      </rPr>
      <t>待测物保留时间</t>
    </r>
    <phoneticPr fontId="5" type="noConversion"/>
  </si>
  <si>
    <r>
      <rPr>
        <sz val="10.5"/>
        <rFont val="宋体"/>
        <family val="3"/>
        <charset val="134"/>
      </rPr>
      <t>内标保留时间</t>
    </r>
  </si>
  <si>
    <r>
      <rPr>
        <sz val="10.5"/>
        <color theme="1"/>
        <rFont val="宋体"/>
        <family val="3"/>
        <charset val="134"/>
      </rPr>
      <t>峰面积比</t>
    </r>
    <phoneticPr fontId="5" type="noConversion"/>
  </si>
  <si>
    <r>
      <rPr>
        <sz val="10.5"/>
        <rFont val="宋体"/>
        <family val="3"/>
        <charset val="134"/>
      </rPr>
      <t>表</t>
    </r>
    <r>
      <rPr>
        <sz val="10.5"/>
        <rFont val="Times New Roman"/>
        <family val="1"/>
      </rPr>
      <t xml:space="preserve">2 </t>
    </r>
    <r>
      <rPr>
        <sz val="10.5"/>
        <rFont val="宋体"/>
        <family val="3"/>
        <charset val="134"/>
      </rPr>
      <t>：系统适用性</t>
    </r>
    <phoneticPr fontId="20" type="noConversion"/>
  </si>
  <si>
    <r>
      <rPr>
        <sz val="10.5"/>
        <rFont val="宋体"/>
        <family val="3"/>
        <charset val="134"/>
      </rPr>
      <t>检测批次编号</t>
    </r>
    <phoneticPr fontId="5" type="noConversion"/>
  </si>
  <si>
    <r>
      <t>Carryover</t>
    </r>
    <r>
      <rPr>
        <sz val="10.5"/>
        <rFont val="宋体"/>
        <family val="3"/>
        <charset val="134"/>
      </rPr>
      <t>样品中待测物残留峰面积</t>
    </r>
    <phoneticPr fontId="5" type="noConversion"/>
  </si>
  <si>
    <r>
      <t>Carryover</t>
    </r>
    <r>
      <rPr>
        <sz val="10.5"/>
        <rFont val="宋体"/>
        <family val="3"/>
        <charset val="134"/>
      </rPr>
      <t>样品中内标残留峰面积</t>
    </r>
    <phoneticPr fontId="5" type="noConversion"/>
  </si>
  <si>
    <r>
      <t xml:space="preserve">LLOQ </t>
    </r>
    <r>
      <rPr>
        <sz val="10.5"/>
        <rFont val="宋体"/>
        <family val="3"/>
        <charset val="134"/>
      </rPr>
      <t>标曲样品待测物峰面积</t>
    </r>
    <phoneticPr fontId="5" type="noConversion"/>
  </si>
  <si>
    <r>
      <t>LLOQ</t>
    </r>
    <r>
      <rPr>
        <sz val="10.5"/>
        <rFont val="宋体"/>
        <family val="3"/>
        <charset val="134"/>
      </rPr>
      <t>标曲样品内标峰面积</t>
    </r>
    <phoneticPr fontId="5" type="noConversion"/>
  </si>
  <si>
    <r>
      <rPr>
        <sz val="10.5"/>
        <rFont val="宋体"/>
        <family val="3"/>
        <charset val="134"/>
      </rPr>
      <t>符合接受标准的</t>
    </r>
    <r>
      <rPr>
        <sz val="10.5"/>
        <rFont val="Times New Roman"/>
        <family val="1"/>
      </rPr>
      <t xml:space="preserve">LLOQ </t>
    </r>
    <r>
      <rPr>
        <sz val="10.5"/>
        <rFont val="宋体"/>
        <family val="3"/>
        <charset val="134"/>
      </rPr>
      <t>标曲样品待测物峰面积均值</t>
    </r>
    <phoneticPr fontId="5" type="noConversion"/>
  </si>
  <si>
    <r>
      <rPr>
        <sz val="10.5"/>
        <rFont val="宋体"/>
        <family val="3"/>
        <charset val="134"/>
      </rPr>
      <t>符合接受标准的</t>
    </r>
    <r>
      <rPr>
        <sz val="10.5"/>
        <rFont val="Times New Roman"/>
        <family val="1"/>
      </rPr>
      <t xml:space="preserve">LLOQ </t>
    </r>
    <r>
      <rPr>
        <sz val="10.5"/>
        <rFont val="宋体"/>
        <family val="3"/>
        <charset val="134"/>
      </rPr>
      <t>标曲样品内标峰面积均值</t>
    </r>
    <phoneticPr fontId="5" type="noConversion"/>
  </si>
  <si>
    <t>待测物残留率（%）</t>
  </si>
  <si>
    <t>内标残留率（%）</t>
  </si>
  <si>
    <r>
      <rPr>
        <sz val="10.5"/>
        <rFont val="宋体"/>
        <family val="3"/>
        <charset val="134"/>
      </rPr>
      <t>表</t>
    </r>
    <r>
      <rPr>
        <sz val="10.5"/>
        <rFont val="Times New Roman"/>
        <family val="1"/>
      </rPr>
      <t xml:space="preserve">3 </t>
    </r>
    <r>
      <rPr>
        <sz val="10.5"/>
        <rFont val="宋体"/>
        <family val="3"/>
        <charset val="134"/>
      </rPr>
      <t>：批量样品检测过程的残留</t>
    </r>
    <phoneticPr fontId="20" type="noConversion"/>
  </si>
  <si>
    <r>
      <rPr>
        <sz val="10.5"/>
        <rFont val="宋体"/>
        <family val="3"/>
        <charset val="134"/>
      </rPr>
      <t>表</t>
    </r>
    <r>
      <rPr>
        <sz val="10.5"/>
        <rFont val="Times New Roman"/>
        <family val="1"/>
      </rPr>
      <t>5</t>
    </r>
    <r>
      <rPr>
        <sz val="10.5"/>
        <rFont val="宋体"/>
        <family val="3"/>
        <charset val="134"/>
      </rPr>
      <t>：待测物与内标间的干扰</t>
    </r>
    <phoneticPr fontId="5" type="noConversion"/>
  </si>
  <si>
    <r>
      <rPr>
        <sz val="10.5"/>
        <color indexed="8"/>
        <rFont val="宋体"/>
        <family val="3"/>
        <charset val="134"/>
      </rPr>
      <t>提取后峰面积比</t>
    </r>
    <phoneticPr fontId="5" type="noConversion"/>
  </si>
  <si>
    <r>
      <rPr>
        <sz val="10.5"/>
        <color indexed="8"/>
        <rFont val="宋体"/>
        <family val="3"/>
        <charset val="134"/>
      </rPr>
      <t>平均值</t>
    </r>
    <phoneticPr fontId="5" type="noConversion"/>
  </si>
  <si>
    <t>系统适用性，全血稳定性</t>
  </si>
  <si>
    <r>
      <rPr>
        <sz val="10.5"/>
        <color theme="1"/>
        <rFont val="宋体"/>
        <family val="1"/>
        <charset val="134"/>
      </rPr>
      <t>不适用</t>
    </r>
    <r>
      <rPr>
        <vertAlign val="superscript"/>
        <sz val="10.5"/>
        <color theme="1"/>
        <rFont val="宋体"/>
        <family val="3"/>
        <charset val="134"/>
      </rPr>
      <t>2</t>
    </r>
    <phoneticPr fontId="5" type="noConversion"/>
  </si>
  <si>
    <t>检测批次编号：2</t>
    <phoneticPr fontId="5" type="noConversion"/>
  </si>
  <si>
    <r>
      <rPr>
        <sz val="10.5"/>
        <rFont val="宋体"/>
        <family val="3"/>
        <charset val="134"/>
      </rPr>
      <t>检测批次编号：</t>
    </r>
    <r>
      <rPr>
        <sz val="10.5"/>
        <rFont val="Times New Roman"/>
        <family val="1"/>
      </rPr>
      <t>3</t>
    </r>
    <phoneticPr fontId="5" type="noConversion"/>
  </si>
  <si>
    <r>
      <rPr>
        <sz val="10.5"/>
        <color theme="1"/>
        <rFont val="宋体"/>
        <family val="3"/>
        <charset val="134"/>
      </rPr>
      <t>检测批次编号：</t>
    </r>
    <r>
      <rPr>
        <sz val="10.5"/>
        <color theme="1"/>
        <rFont val="Times New Roman"/>
        <family val="1"/>
      </rPr>
      <t>2</t>
    </r>
    <phoneticPr fontId="20" type="noConversion"/>
  </si>
  <si>
    <t>NA</t>
    <phoneticPr fontId="5" type="noConversion"/>
  </si>
  <si>
    <t>EQSH24091</t>
    <phoneticPr fontId="5" type="noConversion"/>
  </si>
  <si>
    <r>
      <rPr>
        <sz val="10.5"/>
        <color theme="1"/>
        <rFont val="宋体"/>
        <family val="3"/>
        <charset val="134"/>
      </rPr>
      <t>系统适用性，标准曲线及范围，第二批批内准确度和精密度，选择性，基质效应，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残留评价</t>
    </r>
    <phoneticPr fontId="5" type="noConversion"/>
  </si>
  <si>
    <t>系统适用性，回收率</t>
    <phoneticPr fontId="5" type="noConversion"/>
  </si>
  <si>
    <r>
      <rPr>
        <sz val="10.5"/>
        <color theme="1"/>
        <rFont val="宋体"/>
        <family val="3"/>
        <charset val="134"/>
      </rPr>
      <t>系统适用性，标准曲线及范围，处理后样品再进样重现性</t>
    </r>
    <r>
      <rPr>
        <vertAlign val="superscript"/>
        <sz val="10.5"/>
        <color theme="1"/>
        <rFont val="Times New Roman"/>
        <family val="1"/>
      </rPr>
      <t>3</t>
    </r>
    <r>
      <rPr>
        <sz val="10.5"/>
        <color theme="1"/>
        <rFont val="宋体"/>
        <family val="3"/>
        <charset val="134"/>
      </rPr>
      <t>，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残留评价</t>
    </r>
    <phoneticPr fontId="5" type="noConversion"/>
  </si>
  <si>
    <r>
      <rPr>
        <sz val="10.5"/>
        <color theme="1"/>
        <rFont val="宋体"/>
        <family val="3"/>
        <charset val="134"/>
      </rPr>
      <t>注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宋体"/>
        <family val="3"/>
        <charset val="134"/>
      </rPr>
      <t>：处理后样品再进样重现性所使用的样品于</t>
    </r>
    <r>
      <rPr>
        <sz val="10.5"/>
        <color theme="1"/>
        <rFont val="Times New Roman"/>
        <family val="3"/>
      </rPr>
      <t>2025</t>
    </r>
    <r>
      <rPr>
        <sz val="10.5"/>
        <color theme="1"/>
        <rFont val="宋体"/>
        <family val="3"/>
        <charset val="134"/>
      </rPr>
      <t>年</t>
    </r>
    <r>
      <rPr>
        <sz val="10.5"/>
        <color theme="1"/>
        <rFont val="Times New Roman"/>
        <family val="3"/>
      </rPr>
      <t>09</t>
    </r>
    <r>
      <rPr>
        <sz val="10.5"/>
        <color theme="1"/>
        <rFont val="宋体"/>
        <family val="3"/>
        <charset val="134"/>
      </rPr>
      <t>月</t>
    </r>
    <r>
      <rPr>
        <sz val="10.5"/>
        <color theme="1"/>
        <rFont val="Times New Roman"/>
        <family val="3"/>
      </rPr>
      <t>03</t>
    </r>
    <r>
      <rPr>
        <sz val="10.5"/>
        <color theme="1"/>
        <rFont val="宋体"/>
        <family val="3"/>
        <charset val="134"/>
      </rPr>
      <t>日第</t>
    </r>
    <r>
      <rPr>
        <sz val="10.5"/>
        <color theme="1"/>
        <rFont val="Times New Roman"/>
        <family val="3"/>
      </rPr>
      <t>2</t>
    </r>
    <r>
      <rPr>
        <sz val="10.5"/>
        <color theme="1"/>
        <rFont val="宋体"/>
        <family val="3"/>
        <charset val="134"/>
      </rPr>
      <t>个分析批中制备。</t>
    </r>
    <phoneticPr fontId="5" type="noConversion"/>
  </si>
  <si>
    <r>
      <rPr>
        <sz val="10.5"/>
        <color theme="1"/>
        <rFont val="宋体"/>
        <family val="3"/>
        <charset val="134"/>
      </rPr>
      <t>注1：处理后样品稳定性所使用的样品于</t>
    </r>
    <r>
      <rPr>
        <sz val="10.5"/>
        <color theme="1"/>
        <rFont val="Times New Roman"/>
        <family val="1"/>
      </rPr>
      <t>2025</t>
    </r>
    <r>
      <rPr>
        <sz val="10.5"/>
        <color theme="1"/>
        <rFont val="宋体"/>
        <family val="3"/>
        <charset val="134"/>
      </rPr>
      <t>年</t>
    </r>
    <r>
      <rPr>
        <sz val="10.5"/>
        <color theme="1"/>
        <rFont val="Times New Roman"/>
        <family val="1"/>
      </rPr>
      <t>09</t>
    </r>
    <r>
      <rPr>
        <sz val="10.5"/>
        <color theme="1"/>
        <rFont val="宋体"/>
        <family val="3"/>
        <charset val="134"/>
      </rPr>
      <t>月</t>
    </r>
    <r>
      <rPr>
        <sz val="10.5"/>
        <color theme="1"/>
        <rFont val="Times New Roman"/>
        <family val="1"/>
      </rPr>
      <t>02</t>
    </r>
    <r>
      <rPr>
        <sz val="10.5"/>
        <color theme="1"/>
        <rFont val="宋体"/>
        <family val="3"/>
        <charset val="134"/>
      </rPr>
      <t>日第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宋体"/>
        <family val="3"/>
        <charset val="134"/>
      </rPr>
      <t>个分析批中制备。</t>
    </r>
    <phoneticPr fontId="5" type="noConversion"/>
  </si>
  <si>
    <r>
      <rPr>
        <sz val="10.5"/>
        <color theme="1"/>
        <rFont val="宋体"/>
        <family val="3"/>
        <charset val="134"/>
      </rPr>
      <t>表</t>
    </r>
    <r>
      <rPr>
        <sz val="10.5"/>
        <color theme="1"/>
        <rFont val="Times New Roman"/>
        <family val="1"/>
      </rPr>
      <t>23</t>
    </r>
    <r>
      <rPr>
        <sz val="10.5"/>
        <color theme="1"/>
        <rFont val="宋体"/>
        <family val="3"/>
        <charset val="134"/>
      </rPr>
      <t>：处理后样品再进样重现性</t>
    </r>
    <phoneticPr fontId="5" type="noConversion"/>
  </si>
  <si>
    <t>该分析批第一针进样时间：</t>
    <phoneticPr fontId="5" type="noConversion"/>
  </si>
  <si>
    <t>再进样分析批第一针进样时间：</t>
    <phoneticPr fontId="5" type="noConversion"/>
  </si>
  <si>
    <t>放置时间：</t>
    <phoneticPr fontId="5" type="noConversion"/>
  </si>
  <si>
    <t>平均值</t>
    <phoneticPr fontId="5" type="noConversion"/>
  </si>
  <si>
    <t>SD</t>
    <phoneticPr fontId="5" type="noConversion"/>
  </si>
  <si>
    <t>KN-BM-25-533 2025082701-003</t>
  </si>
  <si>
    <t>KN-BM-25-533 2025082701-003</t>
    <phoneticPr fontId="5" type="noConversion"/>
  </si>
  <si>
    <t>KN-BM-25-533 2025082701-006</t>
  </si>
  <si>
    <t>KN-BM-25-533 2025082701-007</t>
  </si>
  <si>
    <t>KN-BM-25-533 2025082701-006</t>
    <phoneticPr fontId="5" type="noConversion"/>
  </si>
  <si>
    <t>KN-BM-25-533 2025082701-007</t>
    <phoneticPr fontId="5" type="noConversion"/>
  </si>
  <si>
    <t>KN-BM-25-533 2025082702-001</t>
  </si>
  <si>
    <t>KN-BM-25-533 2025082702-001</t>
    <phoneticPr fontId="5" type="noConversion"/>
  </si>
  <si>
    <t>KN-BM-25-533 2025082702-002</t>
  </si>
  <si>
    <t>KN-BM-25-533 2025082702-003</t>
  </si>
  <si>
    <t>符合接受标准的定量下限RENS25318峰面积（均）值</t>
  </si>
  <si>
    <t>待测物RENS25318对内标的干扰</t>
  </si>
  <si>
    <t>内标对待测物RENS25318的干扰</t>
  </si>
  <si>
    <t>待测物RENS25318保留时间处的峰面积</t>
  </si>
  <si>
    <t>符合接受标准的定量下限RENS25318峰面积均值</t>
  </si>
  <si>
    <t>干扰占RENS25318
的百分比％</t>
  </si>
  <si>
    <t>符合接受标准的标曲样品定量下限的内标ISNS25318的平均峰面积值</t>
  </si>
  <si>
    <t>内标ISNS25318保留时间处的峰面积</t>
  </si>
  <si>
    <t>干扰占ISNS25318
的百分比％</t>
  </si>
  <si>
    <t>KN-BM-25-533 2025082702-002</t>
    <phoneticPr fontId="20" type="noConversion"/>
  </si>
  <si>
    <t>KN-BM-25-533 2025082702-003</t>
    <phoneticPr fontId="20" type="noConversion"/>
  </si>
  <si>
    <r>
      <rPr>
        <sz val="10.5"/>
        <color theme="1"/>
        <rFont val="宋体"/>
        <family val="3"/>
        <charset val="134"/>
      </rPr>
      <t>日期：</t>
    </r>
    <r>
      <rPr>
        <sz val="10.5"/>
        <color theme="1"/>
        <rFont val="Times New Roman"/>
        <family val="1"/>
      </rPr>
      <t>2025/09/03</t>
    </r>
    <phoneticPr fontId="20" type="noConversion"/>
  </si>
  <si>
    <t>1*</t>
    <phoneticPr fontId="20" type="noConversion"/>
  </si>
  <si>
    <t>2*</t>
    <phoneticPr fontId="20" type="noConversion"/>
  </si>
  <si>
    <t>3*</t>
    <phoneticPr fontId="20" type="noConversion"/>
  </si>
  <si>
    <t>#0.125</t>
  </si>
  <si>
    <t>#0.121</t>
  </si>
  <si>
    <t>#2.566</t>
    <phoneticPr fontId="20" type="noConversion"/>
  </si>
  <si>
    <t>注#：不满足接受标准，但仍参与统计计算。</t>
    <phoneticPr fontId="20" type="noConversion"/>
  </si>
  <si>
    <r>
      <rPr>
        <sz val="10.5"/>
        <color theme="1"/>
        <rFont val="宋体"/>
        <family val="3"/>
        <charset val="134"/>
      </rPr>
      <t>检测批次编号：</t>
    </r>
    <r>
      <rPr>
        <sz val="10.5"/>
        <color theme="1"/>
        <rFont val="Times New Roman"/>
        <family val="1"/>
      </rPr>
      <t>5</t>
    </r>
    <phoneticPr fontId="20" type="noConversion"/>
  </si>
  <si>
    <r>
      <rPr>
        <sz val="10.5"/>
        <rFont val="宋体"/>
        <family val="3"/>
        <charset val="134"/>
      </rPr>
      <t>试验条件：全血样品在冰水浴白光中放置</t>
    </r>
    <r>
      <rPr>
        <sz val="10.5"/>
        <rFont val="Times New Roman"/>
        <family val="1"/>
      </rPr>
      <t>1.5</t>
    </r>
    <r>
      <rPr>
        <sz val="10.5"/>
        <rFont val="宋体"/>
        <family val="3"/>
        <charset val="134"/>
      </rPr>
      <t>小时后的稳定性</t>
    </r>
    <phoneticPr fontId="5" type="noConversion"/>
  </si>
  <si>
    <r>
      <t>T</t>
    </r>
    <r>
      <rPr>
        <vertAlign val="subscript"/>
        <sz val="10.5"/>
        <rFont val="Times New Roman"/>
        <family val="1"/>
      </rPr>
      <t>1.5h</t>
    </r>
    <phoneticPr fontId="5" type="noConversion"/>
  </si>
  <si>
    <r>
      <rPr>
        <sz val="10.5"/>
        <rFont val="宋体"/>
        <family val="3"/>
        <charset val="134"/>
      </rPr>
      <t>试验条件：在自动进样器（</t>
    </r>
    <r>
      <rPr>
        <sz val="10.5"/>
        <rFont val="Times New Roman"/>
        <family val="1"/>
      </rPr>
      <t>5°C</t>
    </r>
    <r>
      <rPr>
        <sz val="10.5"/>
        <rFont val="宋体"/>
        <family val="3"/>
        <charset val="134"/>
      </rPr>
      <t>）中放置</t>
    </r>
    <r>
      <rPr>
        <sz val="10.5"/>
        <rFont val="Times New Roman"/>
        <family val="1"/>
      </rPr>
      <t>65</t>
    </r>
    <r>
      <rPr>
        <sz val="10.5"/>
        <rFont val="宋体"/>
        <family val="3"/>
        <charset val="134"/>
      </rPr>
      <t>小时后再进样</t>
    </r>
    <phoneticPr fontId="5" type="noConversion"/>
  </si>
  <si>
    <r>
      <rPr>
        <sz val="10.5"/>
        <rFont val="宋体"/>
        <family val="3"/>
        <charset val="134"/>
      </rPr>
      <t>试验条件：在自动进样器（5</t>
    </r>
    <r>
      <rPr>
        <sz val="10.5"/>
        <rFont val="Times New Roman"/>
        <family val="1"/>
      </rPr>
      <t>°C</t>
    </r>
    <r>
      <rPr>
        <sz val="10.5"/>
        <rFont val="宋体"/>
        <family val="3"/>
        <charset val="134"/>
      </rPr>
      <t>）中放置78小时后的稳定性</t>
    </r>
    <phoneticPr fontId="5" type="noConversion"/>
  </si>
  <si>
    <r>
      <rPr>
        <sz val="10.5"/>
        <color theme="1"/>
        <rFont val="宋体"/>
        <family val="3"/>
        <charset val="134"/>
      </rPr>
      <t>试验条件：在超低温冷冻冰箱（</t>
    </r>
    <r>
      <rPr>
        <sz val="10.5"/>
        <color theme="1"/>
        <rFont val="Times New Roman"/>
        <family val="3"/>
        <charset val="134"/>
      </rPr>
      <t>-70~-90 °C</t>
    </r>
    <r>
      <rPr>
        <sz val="10.5"/>
        <color theme="1"/>
        <rFont val="宋体"/>
        <family val="3"/>
        <charset val="134"/>
      </rPr>
      <t>）冻存至少</t>
    </r>
    <r>
      <rPr>
        <sz val="10.5"/>
        <color theme="1"/>
        <rFont val="Times New Roman"/>
        <family val="3"/>
        <charset val="134"/>
      </rPr>
      <t>12</t>
    </r>
    <r>
      <rPr>
        <sz val="10.5"/>
        <color theme="1"/>
        <rFont val="宋体"/>
        <family val="3"/>
        <charset val="134"/>
      </rPr>
      <t>小时，在冰水浴白光条件下融化。</t>
    </r>
    <phoneticPr fontId="5" type="noConversion"/>
  </si>
  <si>
    <t>在冰水浴白光下放置16小时的短期稳定性</t>
    <phoneticPr fontId="5" type="noConversion"/>
  </si>
  <si>
    <t>#43.449</t>
    <phoneticPr fontId="20" type="noConversion"/>
  </si>
  <si>
    <t>#2.613</t>
    <phoneticPr fontId="20" type="noConversion"/>
  </si>
  <si>
    <r>
      <rPr>
        <sz val="10.5"/>
        <color theme="1"/>
        <rFont val="宋体"/>
        <family val="3"/>
        <charset val="134"/>
      </rPr>
      <t>系统适用性，标准曲线及范围，第三批批内准确度和精密度，处理后样品稳定性</t>
    </r>
    <r>
      <rPr>
        <vertAlign val="superscript"/>
        <sz val="10.5"/>
        <color theme="1"/>
        <rFont val="Times New Roman"/>
        <family val="1"/>
      </rPr>
      <t>1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宋体"/>
        <family val="3"/>
        <charset val="134"/>
      </rPr>
      <t>，基质样品冻融稳定性，基质样品短期稳定性，溶血效应，溶血基质选择性，分析批最大进样针数（</t>
    </r>
    <r>
      <rPr>
        <sz val="10.5"/>
        <color theme="1"/>
        <rFont val="Times New Roman"/>
        <family val="3"/>
      </rPr>
      <t>101</t>
    </r>
    <r>
      <rPr>
        <sz val="10.5"/>
        <color theme="1"/>
        <rFont val="微软雅黑"/>
        <family val="3"/>
        <charset val="134"/>
      </rPr>
      <t>针），</t>
    </r>
    <r>
      <rPr>
        <sz val="10.5"/>
        <color theme="1"/>
        <rFont val="宋体"/>
        <family val="3"/>
        <charset val="134"/>
      </rPr>
      <t>残留评价</t>
    </r>
    <phoneticPr fontId="5" type="noConversion"/>
  </si>
  <si>
    <t>注释*：残留样品超出接受标准，已对分析批进行残留评估，评估结果是对质控样品和验证样品定量结果影响均小于5%，所以不影响分析批结果。</t>
    <phoneticPr fontId="20" type="noConversion"/>
  </si>
  <si>
    <t>准确度（%）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</si>
</sst>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0.0"/>
    <numFmt numFmtId="177" formatCode="0.0_ "/>
    <numFmt numFmtId="178" formatCode="0.000"/>
    <numFmt numFmtId="179" formatCode="0_ "/>
    <numFmt numFmtId="180" formatCode="0.000000"/>
    <numFmt numFmtId="181" formatCode="yyyy/mm/dd"/>
    <numFmt numFmtId="182" formatCode="0.000_ "/>
    <numFmt numFmtId="183" formatCode="yyyy/mm/dd\ hh:mm"/>
    <numFmt numFmtId="184" formatCode="0.00;[Red]0.00"/>
    <numFmt numFmtId="185" formatCode="0_);[Red]\(0\)"/>
    <numFmt numFmtId="186" formatCode="000000"/>
    <numFmt numFmtId="187" formatCode="0;_愀"/>
    <numFmt numFmtId="188" formatCode="0.0;_愀"/>
    <numFmt numFmtId="189" formatCode="yyyy/m/d\ h:mm;@"/>
  </numFmts>
  <fonts count="60">
    <font>
      <sz val="11"/>
      <color theme="1"/>
      <name val="DengXian"/>
      <family val="2"/>
      <scheme val="minor"/>
    </font>
    <font>
      <sz val="11"/>
      <color theme="1"/>
      <name val="DengXian"/>
      <family val="2"/>
      <charset val="134"/>
      <scheme val="minor"/>
    </font>
    <font>
      <sz val="11"/>
      <color indexed="8"/>
      <name val="Calibri"/>
      <family val="2"/>
    </font>
    <font>
      <sz val="10.5"/>
      <color indexed="8"/>
      <name val="宋体"/>
      <family val="3"/>
      <charset val="134"/>
    </font>
    <font>
      <sz val="10"/>
      <name val="Arial"/>
      <family val="2"/>
    </font>
    <font>
      <sz val="9"/>
      <name val="DengXian"/>
      <family val="2"/>
    </font>
    <font>
      <sz val="10.5"/>
      <name val="宋体"/>
      <family val="3"/>
      <charset val="134"/>
    </font>
    <font>
      <sz val="10"/>
      <name val="Times New Roman"/>
      <family val="1"/>
    </font>
    <font>
      <sz val="11"/>
      <color rgb="FF9C0006"/>
      <name val="Calibri"/>
      <family val="2"/>
    </font>
    <font>
      <sz val="12"/>
      <color rgb="FF9C0006"/>
      <name val="DengXian"/>
      <family val="2"/>
      <scheme val="minor"/>
    </font>
    <font>
      <sz val="10.5"/>
      <color theme="1"/>
      <name val="宋体"/>
      <family val="3"/>
      <charset val="134"/>
    </font>
    <font>
      <sz val="10.5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FF0000"/>
      <name val="Times New Roman"/>
      <family val="1"/>
    </font>
    <font>
      <sz val="10.5"/>
      <color rgb="FFFF0000"/>
      <name val="Times New Roman"/>
      <family val="1"/>
    </font>
    <font>
      <sz val="10.5"/>
      <name val="Times New Roman"/>
      <family val="1"/>
    </font>
    <font>
      <vertAlign val="subscript"/>
      <sz val="10.5"/>
      <name val="Times New Roman"/>
      <family val="1"/>
    </font>
    <font>
      <sz val="12"/>
      <name val="宋体"/>
      <family val="3"/>
      <charset val="134"/>
    </font>
    <font>
      <sz val="11"/>
      <name val="Times New Roman"/>
      <family val="1"/>
    </font>
    <font>
      <sz val="10.5"/>
      <color indexed="8"/>
      <name val="Times New Roman"/>
      <family val="1"/>
    </font>
    <font>
      <sz val="9"/>
      <name val="DengXian"/>
      <family val="3"/>
      <charset val="134"/>
      <scheme val="minor"/>
    </font>
    <font>
      <sz val="10.5"/>
      <color rgb="FF0070C0"/>
      <name val="Times New Roman"/>
      <family val="1"/>
    </font>
    <font>
      <sz val="11"/>
      <color theme="1"/>
      <name val="DengXian"/>
      <family val="2"/>
      <scheme val="minor"/>
    </font>
    <font>
      <sz val="11"/>
      <color theme="0"/>
      <name val="DengXian"/>
      <family val="2"/>
      <scheme val="minor"/>
    </font>
    <font>
      <sz val="12"/>
      <color rgb="FF9C0006"/>
      <name val="DengXian"/>
      <family val="2"/>
      <scheme val="minor"/>
    </font>
    <font>
      <sz val="11"/>
      <color rgb="FF006100"/>
      <name val="DengXian"/>
      <family val="2"/>
      <scheme val="minor"/>
    </font>
    <font>
      <sz val="11"/>
      <color theme="1"/>
      <name val="DengXian"/>
      <family val="2"/>
      <scheme val="minor"/>
    </font>
    <font>
      <sz val="11"/>
      <color theme="0"/>
      <name val="DengXian"/>
      <family val="2"/>
      <scheme val="minor"/>
    </font>
    <font>
      <sz val="11"/>
      <color rgb="FF9C0006"/>
      <name val="DengXian"/>
      <family val="2"/>
      <scheme val="minor"/>
    </font>
    <font>
      <b/>
      <sz val="11"/>
      <color rgb="FFFA7D00"/>
      <name val="DengXian"/>
      <family val="2"/>
      <scheme val="minor"/>
    </font>
    <font>
      <b/>
      <sz val="11"/>
      <color theme="0"/>
      <name val="DengXian"/>
      <family val="2"/>
      <scheme val="minor"/>
    </font>
    <font>
      <i/>
      <sz val="11"/>
      <color rgb="FF7F7F7F"/>
      <name val="DengXian"/>
      <family val="2"/>
      <scheme val="minor"/>
    </font>
    <font>
      <sz val="11"/>
      <color rgb="FF006100"/>
      <name val="DengXian"/>
      <family val="2"/>
      <scheme val="minor"/>
    </font>
    <font>
      <b/>
      <sz val="15"/>
      <color theme="3"/>
      <name val="DengXian"/>
      <family val="2"/>
      <scheme val="minor"/>
    </font>
    <font>
      <b/>
      <sz val="13"/>
      <color theme="3"/>
      <name val="DengXian"/>
      <family val="2"/>
      <scheme val="minor"/>
    </font>
    <font>
      <b/>
      <sz val="11"/>
      <color theme="3"/>
      <name val="DengXian"/>
      <family val="2"/>
      <scheme val="minor"/>
    </font>
    <font>
      <sz val="11"/>
      <color rgb="FF3F3F76"/>
      <name val="DengXian"/>
      <family val="2"/>
      <scheme val="minor"/>
    </font>
    <font>
      <sz val="11"/>
      <color rgb="FFFA7D00"/>
      <name val="DengXian"/>
      <family val="2"/>
      <scheme val="minor"/>
    </font>
    <font>
      <sz val="11"/>
      <color rgb="FF9C6500"/>
      <name val="DengXian"/>
      <family val="2"/>
      <scheme val="minor"/>
    </font>
    <font>
      <b/>
      <sz val="11"/>
      <color rgb="FF3F3F3F"/>
      <name val="DengXian"/>
      <family val="2"/>
      <scheme val="minor"/>
    </font>
    <font>
      <b/>
      <sz val="18"/>
      <color theme="3"/>
      <name val="DengXian Light"/>
      <family val="2"/>
      <scheme val="major"/>
    </font>
    <font>
      <b/>
      <sz val="11"/>
      <color theme="1"/>
      <name val="DengXian"/>
      <family val="2"/>
      <scheme val="minor"/>
    </font>
    <font>
      <sz val="11"/>
      <color rgb="FFFF0000"/>
      <name val="DengXian"/>
      <family val="2"/>
      <scheme val="minor"/>
    </font>
    <font>
      <sz val="10.5"/>
      <name val="Times New Roman"/>
      <family val="3"/>
      <charset val="134"/>
    </font>
    <font>
      <sz val="11"/>
      <color rgb="FF9C0006"/>
      <name val="DengXian"/>
      <family val="2"/>
      <scheme val="minor"/>
    </font>
    <font>
      <sz val="10.5"/>
      <color theme="1"/>
      <name val="Times New Roman"/>
      <family val="3"/>
      <charset val="134"/>
    </font>
    <font>
      <vertAlign val="superscript"/>
      <sz val="10.5"/>
      <color theme="1"/>
      <name val="Times New Roman"/>
      <family val="1"/>
    </font>
    <font>
      <sz val="10.5"/>
      <color theme="1"/>
      <name val="宋体"/>
      <family val="1"/>
      <charset val="134"/>
    </font>
    <font>
      <sz val="11"/>
      <name val="DengXian"/>
      <family val="2"/>
      <scheme val="minor"/>
    </font>
    <font>
      <vertAlign val="subscript"/>
      <sz val="10.5"/>
      <name val="宋体"/>
      <family val="3"/>
      <charset val="134"/>
    </font>
    <font>
      <sz val="10.5"/>
      <name val="Times New Roman"/>
      <family val="3"/>
    </font>
    <font>
      <sz val="11"/>
      <color rgb="FF9C0006"/>
      <name val="DengXian"/>
      <family val="3"/>
      <charset val="134"/>
      <scheme val="minor"/>
    </font>
    <font>
      <sz val="11"/>
      <color rgb="FF006100"/>
      <name val="DengXian"/>
      <family val="3"/>
      <charset val="134"/>
      <scheme val="minor"/>
    </font>
    <font>
      <sz val="11"/>
      <color theme="1"/>
      <name val="DengXian"/>
      <family val="3"/>
      <charset val="134"/>
      <scheme val="minor"/>
    </font>
    <font>
      <sz val="10.5"/>
      <name val="宋体"/>
      <family val="1"/>
      <charset val="134"/>
    </font>
    <font>
      <i/>
      <sz val="12"/>
      <color indexed="8"/>
      <name val="DengXian"/>
      <family val="3"/>
      <charset val="134"/>
      <scheme val="minor"/>
    </font>
    <font>
      <i/>
      <sz val="12"/>
      <color theme="1"/>
      <name val="DengXian"/>
      <family val="3"/>
      <charset val="134"/>
      <scheme val="minor"/>
    </font>
    <font>
      <vertAlign val="superscript"/>
      <sz val="10.5"/>
      <color theme="1"/>
      <name val="宋体"/>
      <family val="3"/>
      <charset val="134"/>
    </font>
    <font>
      <sz val="10.5"/>
      <color theme="1"/>
      <name val="Times New Roman"/>
      <family val="3"/>
    </font>
    <font>
      <sz val="10.5"/>
      <color theme="1"/>
      <name val="微软雅黑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/>
      <top/>
      <bottom/>
      <diagonal style="thin">
        <color indexed="64"/>
      </diagonal>
    </border>
    <border diagonalUp="1">
      <left/>
      <right style="thin">
        <color indexed="64"/>
      </right>
      <top/>
      <bottom/>
      <diagonal style="thin">
        <color indexed="64"/>
      </diagonal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21">
    <xf numFmtId="0" fontId="0" fillId="0" borderId="0"/>
    <xf numFmtId="0" fontId="8" fillId="2" borderId="0" applyNumberFormat="0" applyBorder="0" applyAlignment="0" applyProtection="0"/>
    <xf numFmtId="0" fontId="4" fillId="0" borderId="0"/>
    <xf numFmtId="0" fontId="2" fillId="0" borderId="0"/>
    <xf numFmtId="9" fontId="4" fillId="0" borderId="0" applyFont="0" applyFill="0" applyBorder="0" applyAlignment="0" applyProtection="0"/>
    <xf numFmtId="0" fontId="9" fillId="2" borderId="0" applyNumberFormat="0" applyBorder="0" applyAlignment="0" applyProtection="0"/>
    <xf numFmtId="0" fontId="17" fillId="0" borderId="0"/>
    <xf numFmtId="0" fontId="4" fillId="0" borderId="0"/>
    <xf numFmtId="0" fontId="22" fillId="5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" borderId="0" applyNumberFormat="0" applyBorder="0" applyAlignment="0" applyProtection="0"/>
    <xf numFmtId="0" fontId="17" fillId="0" borderId="0"/>
    <xf numFmtId="0" fontId="25" fillId="3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6" fillId="5" borderId="0" applyNumberFormat="0" applyBorder="0" applyAlignment="0" applyProtection="0"/>
    <xf numFmtId="0" fontId="26" fillId="9" borderId="0" applyNumberFormat="0" applyBorder="0" applyAlignment="0" applyProtection="0"/>
    <xf numFmtId="0" fontId="26" fillId="13" borderId="0" applyNumberFormat="0" applyBorder="0" applyAlignment="0" applyProtection="0"/>
    <xf numFmtId="0" fontId="26" fillId="17" borderId="0" applyNumberFormat="0" applyBorder="0" applyAlignment="0" applyProtection="0"/>
    <xf numFmtId="0" fontId="26" fillId="21" borderId="0" applyNumberFormat="0" applyBorder="0" applyAlignment="0" applyProtection="0"/>
    <xf numFmtId="0" fontId="26" fillId="25" borderId="0" applyNumberFormat="0" applyBorder="0" applyAlignment="0" applyProtection="0"/>
    <xf numFmtId="0" fontId="26" fillId="6" borderId="0" applyNumberFormat="0" applyBorder="0" applyAlignment="0" applyProtection="0"/>
    <xf numFmtId="0" fontId="26" fillId="10" borderId="0" applyNumberFormat="0" applyBorder="0" applyAlignment="0" applyProtection="0"/>
    <xf numFmtId="0" fontId="26" fillId="14" borderId="0" applyNumberFormat="0" applyBorder="0" applyAlignment="0" applyProtection="0"/>
    <xf numFmtId="0" fontId="26" fillId="18" borderId="0" applyNumberFormat="0" applyBorder="0" applyAlignment="0" applyProtection="0"/>
    <xf numFmtId="0" fontId="26" fillId="22" borderId="0" applyNumberFormat="0" applyBorder="0" applyAlignment="0" applyProtection="0"/>
    <xf numFmtId="0" fontId="26" fillId="26" borderId="0" applyNumberFormat="0" applyBorder="0" applyAlignment="0" applyProtection="0"/>
    <xf numFmtId="0" fontId="27" fillId="7" borderId="0" applyNumberFormat="0" applyBorder="0" applyAlignment="0" applyProtection="0"/>
    <xf numFmtId="0" fontId="27" fillId="11" borderId="0" applyNumberFormat="0" applyBorder="0" applyAlignment="0" applyProtection="0"/>
    <xf numFmtId="0" fontId="27" fillId="15" borderId="0" applyNumberFormat="0" applyBorder="0" applyAlignment="0" applyProtection="0"/>
    <xf numFmtId="0" fontId="27" fillId="19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4" borderId="0" applyNumberFormat="0" applyBorder="0" applyAlignment="0" applyProtection="0"/>
    <xf numFmtId="0" fontId="27" fillId="8" borderId="0" applyNumberFormat="0" applyBorder="0" applyAlignment="0" applyProtection="0"/>
    <xf numFmtId="0" fontId="27" fillId="12" borderId="0" applyNumberFormat="0" applyBorder="0" applyAlignment="0" applyProtection="0"/>
    <xf numFmtId="0" fontId="27" fillId="16" borderId="0" applyNumberFormat="0" applyBorder="0" applyAlignment="0" applyProtection="0"/>
    <xf numFmtId="0" fontId="27" fillId="20" borderId="0" applyNumberFormat="0" applyBorder="0" applyAlignment="0" applyProtection="0"/>
    <xf numFmtId="0" fontId="27" fillId="24" borderId="0" applyNumberFormat="0" applyBorder="0" applyAlignment="0" applyProtection="0"/>
    <xf numFmtId="0" fontId="28" fillId="2" borderId="0" applyNumberFormat="0" applyBorder="0" applyAlignment="0" applyProtection="0"/>
    <xf numFmtId="0" fontId="29" fillId="30" borderId="22" applyNumberFormat="0" applyAlignment="0" applyProtection="0"/>
    <xf numFmtId="0" fontId="30" fillId="31" borderId="25" applyNumberFormat="0" applyAlignment="0" applyProtection="0"/>
    <xf numFmtId="0" fontId="31" fillId="0" borderId="0" applyNumberFormat="0" applyFill="0" applyBorder="0" applyAlignment="0" applyProtection="0"/>
    <xf numFmtId="0" fontId="32" fillId="3" borderId="0" applyNumberFormat="0" applyBorder="0" applyAlignment="0" applyProtection="0"/>
    <xf numFmtId="0" fontId="33" fillId="0" borderId="19" applyNumberFormat="0" applyFill="0" applyAlignment="0" applyProtection="0"/>
    <xf numFmtId="0" fontId="34" fillId="0" borderId="20" applyNumberFormat="0" applyFill="0" applyAlignment="0" applyProtection="0"/>
    <xf numFmtId="0" fontId="35" fillId="0" borderId="21" applyNumberFormat="0" applyFill="0" applyAlignment="0" applyProtection="0"/>
    <xf numFmtId="0" fontId="35" fillId="0" borderId="0" applyNumberFormat="0" applyFill="0" applyBorder="0" applyAlignment="0" applyProtection="0"/>
    <xf numFmtId="0" fontId="36" fillId="29" borderId="22" applyNumberFormat="0" applyAlignment="0" applyProtection="0"/>
    <xf numFmtId="0" fontId="37" fillId="0" borderId="24" applyNumberFormat="0" applyFill="0" applyAlignment="0" applyProtection="0"/>
    <xf numFmtId="0" fontId="38" fillId="28" borderId="0" applyNumberFormat="0" applyBorder="0" applyAlignment="0" applyProtection="0"/>
    <xf numFmtId="0" fontId="26" fillId="32" borderId="26" applyNumberFormat="0" applyFont="0" applyAlignment="0" applyProtection="0"/>
    <xf numFmtId="0" fontId="39" fillId="30" borderId="23" applyNumberFormat="0" applyAlignment="0" applyProtection="0"/>
    <xf numFmtId="0" fontId="40" fillId="0" borderId="0" applyNumberFormat="0" applyFill="0" applyBorder="0" applyAlignment="0" applyProtection="0"/>
    <xf numFmtId="0" fontId="41" fillId="0" borderId="27" applyNumberFormat="0" applyFill="0" applyAlignment="0" applyProtection="0"/>
    <xf numFmtId="0" fontId="42" fillId="0" borderId="0" applyNumberFormat="0" applyFill="0" applyBorder="0" applyAlignment="0" applyProtection="0"/>
    <xf numFmtId="0" fontId="44" fillId="2" borderId="0" applyNumberFormat="0" applyBorder="0" applyAlignment="0" applyProtection="0"/>
    <xf numFmtId="0" fontId="24" fillId="2" borderId="0" applyNumberFormat="0" applyBorder="0" applyAlignment="0" applyProtection="0"/>
    <xf numFmtId="0" fontId="22" fillId="0" borderId="0"/>
    <xf numFmtId="0" fontId="25" fillId="3" borderId="0" applyNumberFormat="0" applyBorder="0" applyAlignment="0" applyProtection="0">
      <alignment vertical="center"/>
    </xf>
    <xf numFmtId="0" fontId="24" fillId="2" borderId="0" applyNumberFormat="0" applyBorder="0" applyAlignment="0" applyProtection="0"/>
    <xf numFmtId="0" fontId="22" fillId="5" borderId="0" applyNumberFormat="0" applyBorder="0" applyAlignment="0" applyProtection="0"/>
    <xf numFmtId="0" fontId="22" fillId="9" borderId="0" applyNumberFormat="0" applyBorder="0" applyAlignment="0" applyProtection="0"/>
    <xf numFmtId="0" fontId="22" fillId="13" borderId="0" applyNumberFormat="0" applyBorder="0" applyAlignment="0" applyProtection="0"/>
    <xf numFmtId="0" fontId="22" fillId="17" borderId="0" applyNumberFormat="0" applyBorder="0" applyAlignment="0" applyProtection="0"/>
    <xf numFmtId="0" fontId="22" fillId="21" borderId="0" applyNumberFormat="0" applyBorder="0" applyAlignment="0" applyProtection="0"/>
    <xf numFmtId="0" fontId="22" fillId="25" borderId="0" applyNumberFormat="0" applyBorder="0" applyAlignment="0" applyProtection="0"/>
    <xf numFmtId="0" fontId="22" fillId="6" borderId="0" applyNumberFormat="0" applyBorder="0" applyAlignment="0" applyProtection="0"/>
    <xf numFmtId="0" fontId="22" fillId="10" borderId="0" applyNumberFormat="0" applyBorder="0" applyAlignment="0" applyProtection="0"/>
    <xf numFmtId="0" fontId="22" fillId="14" borderId="0" applyNumberFormat="0" applyBorder="0" applyAlignment="0" applyProtection="0"/>
    <xf numFmtId="0" fontId="22" fillId="18" borderId="0" applyNumberFormat="0" applyBorder="0" applyAlignment="0" applyProtection="0"/>
    <xf numFmtId="0" fontId="22" fillId="22" borderId="0" applyNumberFormat="0" applyBorder="0" applyAlignment="0" applyProtection="0"/>
    <xf numFmtId="0" fontId="22" fillId="26" borderId="0" applyNumberFormat="0" applyBorder="0" applyAlignment="0" applyProtection="0"/>
    <xf numFmtId="0" fontId="23" fillId="7" borderId="0" applyNumberFormat="0" applyBorder="0" applyAlignment="0" applyProtection="0"/>
    <xf numFmtId="0" fontId="23" fillId="11" borderId="0" applyNumberFormat="0" applyBorder="0" applyAlignment="0" applyProtection="0"/>
    <xf numFmtId="0" fontId="23" fillId="15" borderId="0" applyNumberFormat="0" applyBorder="0" applyAlignment="0" applyProtection="0"/>
    <xf numFmtId="0" fontId="23" fillId="19" borderId="0" applyNumberFormat="0" applyBorder="0" applyAlignment="0" applyProtection="0"/>
    <xf numFmtId="0" fontId="23" fillId="23" borderId="0" applyNumberFormat="0" applyBorder="0" applyAlignment="0" applyProtection="0"/>
    <xf numFmtId="0" fontId="23" fillId="27" borderId="0" applyNumberFormat="0" applyBorder="0" applyAlignment="0" applyProtection="0"/>
    <xf numFmtId="0" fontId="23" fillId="4" borderId="0" applyNumberFormat="0" applyBorder="0" applyAlignment="0" applyProtection="0"/>
    <xf numFmtId="0" fontId="23" fillId="8" borderId="0" applyNumberFormat="0" applyBorder="0" applyAlignment="0" applyProtection="0"/>
    <xf numFmtId="0" fontId="23" fillId="12" borderId="0" applyNumberFormat="0" applyBorder="0" applyAlignment="0" applyProtection="0"/>
    <xf numFmtId="0" fontId="23" fillId="16" borderId="0" applyNumberFormat="0" applyBorder="0" applyAlignment="0" applyProtection="0"/>
    <xf numFmtId="0" fontId="23" fillId="20" borderId="0" applyNumberFormat="0" applyBorder="0" applyAlignment="0" applyProtection="0"/>
    <xf numFmtId="0" fontId="23" fillId="24" borderId="0" applyNumberFormat="0" applyBorder="0" applyAlignment="0" applyProtection="0"/>
    <xf numFmtId="0" fontId="25" fillId="3" borderId="0" applyNumberFormat="0" applyBorder="0" applyAlignment="0" applyProtection="0"/>
    <xf numFmtId="0" fontId="22" fillId="32" borderId="26" applyNumberFormat="0" applyFont="0" applyAlignment="0" applyProtection="0"/>
    <xf numFmtId="9" fontId="17" fillId="0" borderId="0" applyFont="0" applyFill="0" applyBorder="0" applyAlignment="0" applyProtection="0"/>
    <xf numFmtId="0" fontId="51" fillId="2" borderId="0" applyNumberFormat="0" applyBorder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4" fillId="0" borderId="0"/>
    <xf numFmtId="0" fontId="1" fillId="0" borderId="0">
      <alignment vertical="center"/>
    </xf>
    <xf numFmtId="0" fontId="53" fillId="0" borderId="0"/>
    <xf numFmtId="0" fontId="1" fillId="0" borderId="0">
      <alignment vertical="center"/>
    </xf>
    <xf numFmtId="0" fontId="4" fillId="0" borderId="0"/>
    <xf numFmtId="0" fontId="1" fillId="0" borderId="0">
      <alignment vertical="center"/>
    </xf>
    <xf numFmtId="0" fontId="1" fillId="0" borderId="0">
      <alignment vertical="center"/>
    </xf>
    <xf numFmtId="0" fontId="9" fillId="2" borderId="0" applyNumberFormat="0" applyBorder="0" applyAlignment="0" applyProtection="0"/>
    <xf numFmtId="0" fontId="22" fillId="0" borderId="0"/>
    <xf numFmtId="0" fontId="9" fillId="2" borderId="0" applyNumberFormat="0" applyBorder="0" applyAlignment="0" applyProtection="0"/>
    <xf numFmtId="0" fontId="9" fillId="2" borderId="0" applyNumberFormat="0" applyBorder="0" applyAlignment="0" applyProtection="0"/>
  </cellStyleXfs>
  <cellXfs count="191">
    <xf numFmtId="0" fontId="0" fillId="0" borderId="0" xfId="0"/>
    <xf numFmtId="0" fontId="15" fillId="0" borderId="0" xfId="5" applyFont="1" applyFill="1" applyBorder="1" applyAlignment="1">
      <alignment horizontal="center" vertical="center" wrapText="1"/>
    </xf>
    <xf numFmtId="0" fontId="15" fillId="0" borderId="0" xfId="5" applyFont="1" applyFill="1" applyBorder="1" applyAlignment="1">
      <alignment horizontal="center" vertical="center"/>
    </xf>
    <xf numFmtId="0" fontId="45" fillId="0" borderId="1" xfId="0" applyFont="1" applyFill="1" applyBorder="1" applyAlignment="1">
      <alignment horizontal="left" vertical="center" wrapText="1"/>
    </xf>
    <xf numFmtId="0" fontId="15" fillId="0" borderId="0" xfId="0" applyFont="1" applyFill="1" applyAlignment="1">
      <alignment horizontal="left"/>
    </xf>
    <xf numFmtId="0" fontId="15" fillId="0" borderId="0" xfId="0" applyFont="1" applyFill="1" applyAlignment="1">
      <alignment horizontal="left"/>
    </xf>
    <xf numFmtId="0" fontId="15" fillId="0" borderId="0" xfId="0" applyFont="1" applyFill="1"/>
    <xf numFmtId="0" fontId="15" fillId="0" borderId="0" xfId="0" applyFont="1" applyFill="1" applyAlignment="1">
      <alignment horizontal="center"/>
    </xf>
    <xf numFmtId="0" fontId="15" fillId="0" borderId="0" xfId="0" applyFont="1" applyFill="1" applyAlignment="1">
      <alignment horizontal="justify"/>
    </xf>
    <xf numFmtId="0" fontId="1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0" fontId="15" fillId="0" borderId="0" xfId="0" applyFont="1" applyFill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wrapText="1"/>
    </xf>
    <xf numFmtId="181" fontId="11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47" fillId="0" borderId="1" xfId="0" applyFont="1" applyFill="1" applyBorder="1" applyAlignment="1">
      <alignment horizontal="center" vertical="center" wrapText="1"/>
    </xf>
    <xf numFmtId="0" fontId="15" fillId="0" borderId="0" xfId="0" applyFont="1" applyFill="1" applyAlignment="1">
      <alignment horizontal="left" vertical="center"/>
    </xf>
    <xf numFmtId="0" fontId="45" fillId="0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21" fillId="0" borderId="0" xfId="0" applyFont="1" applyFill="1" applyAlignment="1">
      <alignment vertical="center"/>
    </xf>
    <xf numFmtId="0" fontId="18" fillId="0" borderId="0" xfId="0" applyFont="1" applyFill="1"/>
    <xf numFmtId="14" fontId="15" fillId="0" borderId="0" xfId="0" applyNumberFormat="1" applyFont="1" applyFill="1"/>
    <xf numFmtId="0" fontId="11" fillId="0" borderId="0" xfId="0" applyFont="1" applyFill="1" applyAlignment="1">
      <alignment horizontal="left"/>
    </xf>
    <xf numFmtId="0" fontId="11" fillId="0" borderId="0" xfId="0" applyFont="1" applyFill="1"/>
    <xf numFmtId="0" fontId="11" fillId="0" borderId="0" xfId="0" applyFont="1" applyFill="1" applyAlignment="1">
      <alignment horizontal="left"/>
    </xf>
    <xf numFmtId="0" fontId="11" fillId="0" borderId="2" xfId="0" applyFont="1" applyFill="1" applyBorder="1" applyAlignment="1">
      <alignment horizontal="center" vertical="center" wrapText="1"/>
    </xf>
    <xf numFmtId="0" fontId="11" fillId="0" borderId="8" xfId="0" applyFont="1" applyFill="1" applyBorder="1" applyAlignment="1">
      <alignment horizontal="center" vertical="center" wrapText="1"/>
    </xf>
    <xf numFmtId="178" fontId="11" fillId="0" borderId="2" xfId="0" applyNumberFormat="1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181" fontId="11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 wrapText="1"/>
    </xf>
    <xf numFmtId="178" fontId="11" fillId="0" borderId="1" xfId="0" applyNumberFormat="1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 wrapText="1"/>
    </xf>
    <xf numFmtId="178" fontId="11" fillId="0" borderId="1" xfId="0" applyNumberFormat="1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center" vertical="center" wrapText="1"/>
    </xf>
    <xf numFmtId="0" fontId="43" fillId="0" borderId="0" xfId="0" applyFont="1" applyFill="1" applyAlignment="1">
      <alignment vertical="center"/>
    </xf>
    <xf numFmtId="0" fontId="15" fillId="0" borderId="2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right" vertical="center"/>
    </xf>
    <xf numFmtId="189" fontId="11" fillId="0" borderId="0" xfId="0" applyNumberFormat="1" applyFont="1" applyFill="1" applyAlignment="1">
      <alignment horizontal="left" vertical="center"/>
    </xf>
    <xf numFmtId="0" fontId="15" fillId="0" borderId="8" xfId="0" applyFont="1" applyFill="1" applyBorder="1" applyAlignment="1">
      <alignment horizontal="center" vertical="center" wrapText="1"/>
    </xf>
    <xf numFmtId="182" fontId="15" fillId="0" borderId="2" xfId="0" applyNumberFormat="1" applyFont="1" applyFill="1" applyBorder="1" applyAlignment="1">
      <alignment horizontal="center" vertical="center" wrapText="1"/>
    </xf>
    <xf numFmtId="22" fontId="15" fillId="0" borderId="0" xfId="0" applyNumberFormat="1" applyFont="1" applyFill="1"/>
    <xf numFmtId="0" fontId="15" fillId="0" borderId="3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/>
    </xf>
    <xf numFmtId="184" fontId="11" fillId="0" borderId="0" xfId="0" applyNumberFormat="1" applyFont="1" applyFill="1" applyAlignment="1">
      <alignment horizontal="left" vertical="center"/>
    </xf>
    <xf numFmtId="181" fontId="15" fillId="0" borderId="2" xfId="0" applyNumberFormat="1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/>
    </xf>
    <xf numFmtId="176" fontId="15" fillId="0" borderId="1" xfId="0" applyNumberFormat="1" applyFont="1" applyFill="1" applyBorder="1" applyAlignment="1">
      <alignment horizontal="center" vertical="center"/>
    </xf>
    <xf numFmtId="181" fontId="15" fillId="0" borderId="8" xfId="0" applyNumberFormat="1" applyFont="1" applyFill="1" applyBorder="1" applyAlignment="1">
      <alignment horizontal="center" vertical="center"/>
    </xf>
    <xf numFmtId="0" fontId="15" fillId="0" borderId="8" xfId="0" applyFont="1" applyFill="1" applyBorder="1" applyAlignment="1">
      <alignment horizontal="center" vertical="center"/>
    </xf>
    <xf numFmtId="178" fontId="15" fillId="0" borderId="1" xfId="0" applyNumberFormat="1" applyFont="1" applyFill="1" applyBorder="1" applyAlignment="1">
      <alignment horizontal="center" vertical="center"/>
    </xf>
    <xf numFmtId="181" fontId="15" fillId="0" borderId="3" xfId="0" applyNumberFormat="1" applyFont="1" applyFill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/>
    </xf>
    <xf numFmtId="0" fontId="15" fillId="0" borderId="5" xfId="0" applyFont="1" applyFill="1" applyBorder="1" applyAlignment="1">
      <alignment horizontal="center" vertical="center" wrapText="1"/>
    </xf>
    <xf numFmtId="0" fontId="15" fillId="0" borderId="9" xfId="0" applyFont="1" applyFill="1" applyBorder="1" applyAlignment="1">
      <alignment horizontal="center" vertical="center" wrapText="1"/>
    </xf>
    <xf numFmtId="0" fontId="15" fillId="0" borderId="10" xfId="0" applyFont="1" applyFill="1" applyBorder="1" applyAlignment="1">
      <alignment horizontal="center" vertical="center" wrapText="1"/>
    </xf>
    <xf numFmtId="1" fontId="15" fillId="0" borderId="1" xfId="0" applyNumberFormat="1" applyFont="1" applyFill="1" applyBorder="1" applyAlignment="1">
      <alignment horizontal="center" vertical="center"/>
    </xf>
    <xf numFmtId="0" fontId="15" fillId="0" borderId="11" xfId="0" applyFont="1" applyFill="1" applyBorder="1" applyAlignment="1">
      <alignment horizontal="center" vertical="center" wrapText="1"/>
    </xf>
    <xf numFmtId="178" fontId="11" fillId="0" borderId="0" xfId="0" applyNumberFormat="1" applyFont="1" applyFill="1" applyAlignment="1">
      <alignment vertical="center"/>
    </xf>
    <xf numFmtId="0" fontId="45" fillId="0" borderId="0" xfId="0" applyFont="1" applyFill="1" applyAlignment="1">
      <alignment horizontal="left"/>
    </xf>
    <xf numFmtId="0" fontId="11" fillId="0" borderId="0" xfId="0" applyFont="1" applyFill="1" applyAlignment="1">
      <alignment horizontal="justify"/>
    </xf>
    <xf numFmtId="0" fontId="15" fillId="0" borderId="4" xfId="0" applyFont="1" applyFill="1" applyBorder="1" applyAlignment="1">
      <alignment horizontal="center" vertical="center" wrapText="1"/>
    </xf>
    <xf numFmtId="178" fontId="15" fillId="0" borderId="2" xfId="0" applyNumberFormat="1" applyFont="1" applyFill="1" applyBorder="1" applyAlignment="1">
      <alignment horizontal="center" vertical="center" wrapText="1"/>
    </xf>
    <xf numFmtId="0" fontId="15" fillId="0" borderId="0" xfId="0" applyFont="1" applyFill="1" applyAlignment="1">
      <alignment horizontal="center" vertical="center"/>
    </xf>
    <xf numFmtId="181" fontId="15" fillId="0" borderId="1" xfId="0" applyNumberFormat="1" applyFont="1" applyFill="1" applyBorder="1" applyAlignment="1">
      <alignment horizontal="center" vertical="center"/>
    </xf>
    <xf numFmtId="176" fontId="15" fillId="0" borderId="1" xfId="0" applyNumberFormat="1" applyFont="1" applyFill="1" applyBorder="1" applyAlignment="1">
      <alignment horizontal="center" vertical="center" wrapText="1"/>
    </xf>
    <xf numFmtId="0" fontId="14" fillId="0" borderId="0" xfId="0" applyFont="1" applyFill="1" applyAlignment="1">
      <alignment horizontal="left" vertical="center" wrapText="1"/>
    </xf>
    <xf numFmtId="0" fontId="11" fillId="0" borderId="0" xfId="0" applyFont="1" applyFill="1" applyAlignment="1">
      <alignment horizontal="left" vertical="center"/>
    </xf>
    <xf numFmtId="0" fontId="15" fillId="0" borderId="4" xfId="0" applyFont="1" applyFill="1" applyBorder="1" applyAlignment="1">
      <alignment horizontal="center"/>
    </xf>
    <xf numFmtId="0" fontId="15" fillId="0" borderId="7" xfId="0" applyFont="1" applyFill="1" applyBorder="1" applyAlignment="1">
      <alignment horizontal="center"/>
    </xf>
    <xf numFmtId="0" fontId="15" fillId="0" borderId="6" xfId="0" applyFont="1" applyFill="1" applyBorder="1" applyAlignment="1">
      <alignment horizontal="center"/>
    </xf>
    <xf numFmtId="182" fontId="15" fillId="0" borderId="4" xfId="0" applyNumberFormat="1" applyFont="1" applyFill="1" applyBorder="1" applyAlignment="1">
      <alignment horizontal="center" vertical="center" wrapText="1"/>
    </xf>
    <xf numFmtId="0" fontId="15" fillId="0" borderId="7" xfId="0" applyFont="1" applyFill="1" applyBorder="1" applyAlignment="1">
      <alignment horizontal="center" vertical="center"/>
    </xf>
    <xf numFmtId="0" fontId="15" fillId="0" borderId="6" xfId="0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center" vertical="center" wrapText="1"/>
    </xf>
    <xf numFmtId="180" fontId="15" fillId="0" borderId="1" xfId="0" applyNumberFormat="1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15" fillId="0" borderId="12" xfId="0" applyFont="1" applyFill="1" applyBorder="1" applyAlignment="1">
      <alignment horizontal="center" vertical="center" wrapText="1"/>
    </xf>
    <xf numFmtId="0" fontId="15" fillId="0" borderId="13" xfId="0" applyFont="1" applyFill="1" applyBorder="1" applyAlignment="1">
      <alignment horizontal="center" vertical="center" wrapText="1"/>
    </xf>
    <xf numFmtId="0" fontId="15" fillId="0" borderId="14" xfId="0" applyFont="1" applyFill="1" applyBorder="1" applyAlignment="1">
      <alignment horizontal="center" vertical="center" wrapText="1"/>
    </xf>
    <xf numFmtId="0" fontId="15" fillId="0" borderId="15" xfId="0" applyFont="1" applyFill="1" applyBorder="1" applyAlignment="1">
      <alignment horizontal="center" vertical="center" wrapText="1"/>
    </xf>
    <xf numFmtId="0" fontId="15" fillId="0" borderId="16" xfId="0" applyFont="1" applyFill="1" applyBorder="1" applyAlignment="1">
      <alignment horizontal="center" vertical="center" wrapText="1"/>
    </xf>
    <xf numFmtId="0" fontId="15" fillId="0" borderId="17" xfId="0" applyFont="1" applyFill="1" applyBorder="1" applyAlignment="1">
      <alignment horizontal="center" vertical="center" wrapText="1"/>
    </xf>
    <xf numFmtId="176" fontId="15" fillId="0" borderId="4" xfId="0" applyNumberFormat="1" applyFont="1" applyFill="1" applyBorder="1" applyAlignment="1">
      <alignment horizontal="center"/>
    </xf>
    <xf numFmtId="176" fontId="15" fillId="0" borderId="6" xfId="0" applyNumberFormat="1" applyFont="1" applyFill="1" applyBorder="1" applyAlignment="1">
      <alignment horizontal="center"/>
    </xf>
    <xf numFmtId="183" fontId="15" fillId="0" borderId="0" xfId="0" applyNumberFormat="1" applyFont="1" applyFill="1" applyAlignment="1">
      <alignment horizontal="left" vertical="center"/>
    </xf>
    <xf numFmtId="0" fontId="15" fillId="0" borderId="0" xfId="0" applyFont="1" applyFill="1" applyAlignment="1">
      <alignment horizontal="right" vertical="center"/>
    </xf>
    <xf numFmtId="184" fontId="15" fillId="0" borderId="0" xfId="0" applyNumberFormat="1" applyFont="1" applyFill="1" applyAlignment="1">
      <alignment horizontal="left" vertical="center"/>
    </xf>
    <xf numFmtId="0" fontId="19" fillId="0" borderId="0" xfId="0" applyFont="1" applyFill="1" applyAlignment="1">
      <alignment horizontal="right" vertical="center"/>
    </xf>
    <xf numFmtId="0" fontId="45" fillId="0" borderId="0" xfId="0" applyFont="1" applyFill="1" applyAlignment="1">
      <alignment horizontal="left" vertical="center"/>
    </xf>
    <xf numFmtId="0" fontId="11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center"/>
    </xf>
    <xf numFmtId="186" fontId="10" fillId="0" borderId="2" xfId="0" applyNumberFormat="1" applyFont="1" applyFill="1" applyBorder="1" applyAlignment="1" applyProtection="1">
      <alignment horizontal="center" vertical="center" wrapText="1"/>
      <protection locked="0"/>
    </xf>
    <xf numFmtId="186" fontId="11" fillId="0" borderId="8" xfId="0" applyNumberFormat="1" applyFont="1" applyFill="1" applyBorder="1" applyAlignment="1" applyProtection="1">
      <alignment horizontal="center" vertical="center" wrapText="1"/>
      <protection locked="0"/>
    </xf>
    <xf numFmtId="186" fontId="11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Fill="1" applyAlignment="1">
      <alignment horizontal="center"/>
    </xf>
    <xf numFmtId="0" fontId="12" fillId="0" borderId="0" xfId="0" applyFont="1" applyFill="1"/>
    <xf numFmtId="0" fontId="13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vertical="center"/>
    </xf>
    <xf numFmtId="0" fontId="14" fillId="0" borderId="0" xfId="0" applyFont="1" applyFill="1"/>
    <xf numFmtId="0" fontId="10" fillId="0" borderId="0" xfId="0" applyFont="1" applyFill="1" applyAlignment="1">
      <alignment vertical="center"/>
    </xf>
    <xf numFmtId="0" fontId="45" fillId="0" borderId="4" xfId="78" applyFont="1" applyFill="1" applyBorder="1" applyAlignment="1">
      <alignment horizontal="left" vertical="center" wrapText="1"/>
    </xf>
    <xf numFmtId="0" fontId="11" fillId="0" borderId="7" xfId="78" applyFont="1" applyFill="1" applyBorder="1" applyAlignment="1">
      <alignment horizontal="left" vertical="center" wrapText="1"/>
    </xf>
    <xf numFmtId="0" fontId="11" fillId="0" borderId="6" xfId="78" applyFont="1" applyFill="1" applyBorder="1" applyAlignment="1">
      <alignment horizontal="left" vertical="center" wrapText="1"/>
    </xf>
    <xf numFmtId="0" fontId="11" fillId="0" borderId="5" xfId="78" applyFont="1" applyFill="1" applyBorder="1" applyAlignment="1">
      <alignment horizontal="center" vertical="center" wrapText="1"/>
    </xf>
    <xf numFmtId="0" fontId="11" fillId="0" borderId="1" xfId="78" applyFont="1" applyFill="1" applyBorder="1" applyAlignment="1">
      <alignment horizontal="center" vertical="center" wrapText="1"/>
    </xf>
    <xf numFmtId="0" fontId="11" fillId="0" borderId="4" xfId="78" applyFont="1" applyFill="1" applyBorder="1" applyAlignment="1">
      <alignment horizontal="center" vertical="center" wrapText="1"/>
    </xf>
    <xf numFmtId="0" fontId="11" fillId="0" borderId="7" xfId="78" applyFont="1" applyFill="1" applyBorder="1" applyAlignment="1">
      <alignment horizontal="center" vertical="center" wrapText="1"/>
    </xf>
    <xf numFmtId="0" fontId="11" fillId="0" borderId="6" xfId="78" applyFont="1" applyFill="1" applyBorder="1" applyAlignment="1">
      <alignment horizontal="center" vertical="center" wrapText="1"/>
    </xf>
    <xf numFmtId="0" fontId="6" fillId="0" borderId="1" xfId="78" applyFont="1" applyFill="1" applyBorder="1" applyAlignment="1">
      <alignment horizontal="center" vertical="center" wrapText="1"/>
    </xf>
    <xf numFmtId="0" fontId="15" fillId="0" borderId="1" xfId="78" applyFont="1" applyFill="1" applyBorder="1" applyAlignment="1">
      <alignment horizontal="center" vertical="center" wrapText="1"/>
    </xf>
    <xf numFmtId="0" fontId="11" fillId="0" borderId="1" xfId="78" applyFont="1" applyFill="1" applyBorder="1" applyAlignment="1">
      <alignment horizontal="center" vertical="center" wrapText="1"/>
    </xf>
    <xf numFmtId="180" fontId="19" fillId="0" borderId="1" xfId="0" applyNumberFormat="1" applyFont="1" applyFill="1" applyBorder="1" applyAlignment="1">
      <alignment horizontal="center" vertical="center"/>
    </xf>
    <xf numFmtId="176" fontId="19" fillId="0" borderId="1" xfId="78" applyNumberFormat="1" applyFont="1" applyFill="1" applyBorder="1" applyAlignment="1">
      <alignment horizontal="center" vertical="center"/>
    </xf>
    <xf numFmtId="180" fontId="11" fillId="0" borderId="1" xfId="78" applyNumberFormat="1" applyFont="1" applyFill="1" applyBorder="1" applyAlignment="1">
      <alignment horizontal="center" vertical="center" wrapText="1"/>
    </xf>
    <xf numFmtId="176" fontId="11" fillId="0" borderId="1" xfId="78" applyNumberFormat="1" applyFont="1" applyFill="1" applyBorder="1" applyAlignment="1">
      <alignment horizontal="center" vertical="center" wrapText="1"/>
    </xf>
    <xf numFmtId="180" fontId="11" fillId="0" borderId="12" xfId="78" applyNumberFormat="1" applyFont="1" applyFill="1" applyBorder="1" applyAlignment="1">
      <alignment horizontal="center" vertical="center" wrapText="1"/>
    </xf>
    <xf numFmtId="180" fontId="11" fillId="0" borderId="13" xfId="78" applyNumberFormat="1" applyFont="1" applyFill="1" applyBorder="1" applyAlignment="1">
      <alignment horizontal="center" vertical="center" wrapText="1"/>
    </xf>
    <xf numFmtId="180" fontId="11" fillId="0" borderId="16" xfId="78" applyNumberFormat="1" applyFont="1" applyFill="1" applyBorder="1" applyAlignment="1">
      <alignment horizontal="center" vertical="center" wrapText="1"/>
    </xf>
    <xf numFmtId="180" fontId="11" fillId="0" borderId="17" xfId="78" applyNumberFormat="1" applyFont="1" applyFill="1" applyBorder="1" applyAlignment="1">
      <alignment horizontal="center" vertical="center" wrapText="1"/>
    </xf>
    <xf numFmtId="176" fontId="15" fillId="0" borderId="1" xfId="0" applyNumberFormat="1" applyFont="1" applyFill="1" applyBorder="1" applyAlignment="1">
      <alignment horizontal="center" vertical="center"/>
    </xf>
    <xf numFmtId="0" fontId="48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9" fillId="0" borderId="0" xfId="0" applyFont="1" applyFill="1" applyAlignment="1">
      <alignment horizontal="left" vertical="center"/>
    </xf>
    <xf numFmtId="0" fontId="11" fillId="0" borderId="0" xfId="0" applyFont="1" applyFill="1" applyAlignment="1">
      <alignment horizontal="left" vertical="center"/>
    </xf>
    <xf numFmtId="0" fontId="11" fillId="0" borderId="0" xfId="0" applyFont="1" applyFill="1" applyAlignment="1" applyProtection="1">
      <alignment horizontal="center" vertical="center"/>
      <protection locked="0"/>
    </xf>
    <xf numFmtId="182" fontId="15" fillId="0" borderId="1" xfId="0" applyNumberFormat="1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176" fontId="11" fillId="0" borderId="0" xfId="0" applyNumberFormat="1" applyFont="1" applyFill="1" applyAlignment="1">
      <alignment horizontal="center" vertical="center"/>
    </xf>
    <xf numFmtId="0" fontId="47" fillId="0" borderId="0" xfId="0" applyFont="1" applyFill="1" applyAlignment="1">
      <alignment horizontal="left" vertical="center"/>
    </xf>
    <xf numFmtId="0" fontId="10" fillId="0" borderId="0" xfId="0" applyFont="1" applyFill="1" applyAlignment="1">
      <alignment horizontal="left" vertical="center"/>
    </xf>
    <xf numFmtId="0" fontId="45" fillId="0" borderId="4" xfId="0" applyFont="1" applyFill="1" applyBorder="1" applyAlignment="1">
      <alignment horizontal="left" vertical="center" wrapText="1"/>
    </xf>
    <xf numFmtId="0" fontId="11" fillId="0" borderId="7" xfId="0" applyFont="1" applyFill="1" applyBorder="1" applyAlignment="1">
      <alignment horizontal="left" vertical="center" wrapText="1"/>
    </xf>
    <xf numFmtId="0" fontId="11" fillId="0" borderId="6" xfId="0" applyFont="1" applyFill="1" applyBorder="1" applyAlignment="1">
      <alignment horizontal="left" vertical="center" wrapText="1"/>
    </xf>
    <xf numFmtId="0" fontId="11" fillId="0" borderId="4" xfId="0" applyFont="1" applyFill="1" applyBorder="1" applyAlignment="1">
      <alignment horizontal="center" vertical="center" wrapText="1"/>
    </xf>
    <xf numFmtId="182" fontId="11" fillId="0" borderId="1" xfId="0" applyNumberFormat="1" applyFont="1" applyFill="1" applyBorder="1" applyAlignment="1">
      <alignment horizontal="center" vertical="center" wrapText="1"/>
    </xf>
    <xf numFmtId="0" fontId="11" fillId="0" borderId="18" xfId="0" applyFont="1" applyFill="1" applyBorder="1" applyAlignment="1">
      <alignment vertical="center"/>
    </xf>
    <xf numFmtId="0" fontId="11" fillId="0" borderId="6" xfId="0" applyFont="1" applyFill="1" applyBorder="1" applyAlignment="1">
      <alignment horizontal="center" vertical="center"/>
    </xf>
    <xf numFmtId="178" fontId="15" fillId="0" borderId="1" xfId="0" applyNumberFormat="1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vertical="center"/>
    </xf>
    <xf numFmtId="176" fontId="11" fillId="0" borderId="1" xfId="0" applyNumberFormat="1" applyFont="1" applyFill="1" applyBorder="1" applyAlignment="1">
      <alignment vertical="center"/>
    </xf>
    <xf numFmtId="0" fontId="0" fillId="0" borderId="0" xfId="0" applyFill="1"/>
    <xf numFmtId="182" fontId="11" fillId="0" borderId="0" xfId="0" applyNumberFormat="1" applyFont="1" applyFill="1" applyAlignment="1">
      <alignment horizontal="center" vertical="center" wrapText="1"/>
    </xf>
    <xf numFmtId="0" fontId="43" fillId="0" borderId="0" xfId="0" applyFont="1" applyFill="1" applyAlignment="1">
      <alignment horizontal="left" vertical="center"/>
    </xf>
    <xf numFmtId="0" fontId="15" fillId="0" borderId="0" xfId="0" applyFont="1" applyFill="1" applyAlignment="1">
      <alignment horizontal="left" vertical="center"/>
    </xf>
    <xf numFmtId="0" fontId="15" fillId="0" borderId="0" xfId="3" applyFont="1" applyFill="1"/>
    <xf numFmtId="0" fontId="14" fillId="0" borderId="0" xfId="3" applyFont="1" applyFill="1" applyAlignment="1">
      <alignment horizontal="center"/>
    </xf>
    <xf numFmtId="0" fontId="43" fillId="0" borderId="0" xfId="3" applyFont="1" applyFill="1"/>
    <xf numFmtId="0" fontId="15" fillId="0" borderId="0" xfId="0" applyFont="1" applyFill="1" applyAlignment="1">
      <alignment horizontal="center" vertical="center" wrapText="1"/>
    </xf>
    <xf numFmtId="0" fontId="43" fillId="0" borderId="1" xfId="0" applyFont="1" applyFill="1" applyBorder="1" applyAlignment="1">
      <alignment horizontal="center" vertical="center" wrapText="1"/>
    </xf>
    <xf numFmtId="0" fontId="14" fillId="0" borderId="0" xfId="0" applyFont="1" applyFill="1" applyAlignment="1">
      <alignment horizontal="center" vertical="center" wrapText="1"/>
    </xf>
    <xf numFmtId="181" fontId="15" fillId="0" borderId="1" xfId="0" applyNumberFormat="1" applyFont="1" applyFill="1" applyBorder="1" applyAlignment="1">
      <alignment horizontal="center" vertical="center" wrapText="1"/>
    </xf>
    <xf numFmtId="0" fontId="50" fillId="0" borderId="1" xfId="5" applyFont="1" applyFill="1" applyBorder="1" applyAlignment="1">
      <alignment horizontal="center" vertical="center"/>
    </xf>
    <xf numFmtId="179" fontId="15" fillId="0" borderId="1" xfId="0" applyNumberFormat="1" applyFont="1" applyFill="1" applyBorder="1" applyAlignment="1">
      <alignment horizontal="center" vertical="center"/>
    </xf>
    <xf numFmtId="177" fontId="15" fillId="0" borderId="2" xfId="0" applyNumberFormat="1" applyFont="1" applyFill="1" applyBorder="1" applyAlignment="1">
      <alignment horizontal="center" vertical="center"/>
    </xf>
    <xf numFmtId="177" fontId="15" fillId="0" borderId="8" xfId="0" applyNumberFormat="1" applyFont="1" applyFill="1" applyBorder="1" applyAlignment="1">
      <alignment horizontal="center" vertical="center"/>
    </xf>
    <xf numFmtId="187" fontId="15" fillId="0" borderId="0" xfId="0" applyNumberFormat="1" applyFont="1" applyFill="1" applyAlignment="1">
      <alignment horizontal="center" vertical="center" wrapText="1"/>
    </xf>
    <xf numFmtId="177" fontId="15" fillId="0" borderId="3" xfId="0" applyNumberFormat="1" applyFont="1" applyFill="1" applyBorder="1" applyAlignment="1">
      <alignment horizontal="center" vertical="center"/>
    </xf>
    <xf numFmtId="179" fontId="15" fillId="0" borderId="0" xfId="0" applyNumberFormat="1" applyFont="1" applyFill="1" applyAlignment="1">
      <alignment horizontal="center" vertical="center"/>
    </xf>
    <xf numFmtId="177" fontId="15" fillId="0" borderId="0" xfId="0" applyNumberFormat="1" applyFont="1" applyFill="1" applyAlignment="1">
      <alignment horizontal="center" vertical="center"/>
    </xf>
    <xf numFmtId="0" fontId="15" fillId="0" borderId="0" xfId="0" applyFont="1" applyFill="1" applyAlignment="1">
      <alignment horizontal="left" vertical="center" wrapText="1"/>
    </xf>
    <xf numFmtId="179" fontId="15" fillId="0" borderId="1" xfId="0" applyNumberFormat="1" applyFont="1" applyFill="1" applyBorder="1" applyAlignment="1">
      <alignment horizontal="center" vertical="center"/>
    </xf>
    <xf numFmtId="0" fontId="15" fillId="0" borderId="0" xfId="3" applyFont="1" applyFill="1" applyAlignment="1">
      <alignment horizontal="center"/>
    </xf>
    <xf numFmtId="0" fontId="6" fillId="0" borderId="4" xfId="0" applyFont="1" applyFill="1" applyBorder="1" applyAlignment="1">
      <alignment horizontal="left" vertical="center" wrapText="1"/>
    </xf>
    <xf numFmtId="0" fontId="15" fillId="0" borderId="7" xfId="0" applyFont="1" applyFill="1" applyBorder="1" applyAlignment="1">
      <alignment horizontal="left" vertical="center" wrapText="1"/>
    </xf>
    <xf numFmtId="0" fontId="15" fillId="0" borderId="6" xfId="0" applyFont="1" applyFill="1" applyBorder="1" applyAlignment="1">
      <alignment horizontal="left" vertical="center" wrapText="1"/>
    </xf>
    <xf numFmtId="0" fontId="43" fillId="0" borderId="1" xfId="0" applyFont="1" applyFill="1" applyBorder="1" applyAlignment="1">
      <alignment horizontal="center" vertical="center" wrapText="1"/>
    </xf>
    <xf numFmtId="49" fontId="18" fillId="0" borderId="1" xfId="0" applyNumberFormat="1" applyFont="1" applyFill="1" applyBorder="1" applyAlignment="1">
      <alignment horizontal="center" vertical="center" wrapText="1"/>
    </xf>
    <xf numFmtId="185" fontId="15" fillId="0" borderId="1" xfId="0" applyNumberFormat="1" applyFont="1" applyFill="1" applyBorder="1" applyAlignment="1">
      <alignment horizontal="center" vertical="center"/>
    </xf>
    <xf numFmtId="177" fontId="15" fillId="0" borderId="1" xfId="0" applyNumberFormat="1" applyFont="1" applyFill="1" applyBorder="1" applyAlignment="1">
      <alignment horizontal="center" vertical="center"/>
    </xf>
    <xf numFmtId="1" fontId="12" fillId="0" borderId="0" xfId="0" applyNumberFormat="1" applyFont="1" applyFill="1" applyAlignment="1">
      <alignment horizontal="center" vertical="center"/>
    </xf>
    <xf numFmtId="0" fontId="43" fillId="0" borderId="4" xfId="0" applyFont="1" applyFill="1" applyBorder="1" applyAlignment="1">
      <alignment horizontal="left" vertical="center" wrapText="1"/>
    </xf>
    <xf numFmtId="187" fontId="15" fillId="0" borderId="0" xfId="0" applyNumberFormat="1" applyFont="1" applyFill="1" applyAlignment="1">
      <alignment horizontal="center" vertical="center"/>
    </xf>
    <xf numFmtId="179" fontId="15" fillId="0" borderId="1" xfId="0" applyNumberFormat="1" applyFont="1" applyFill="1" applyBorder="1" applyAlignment="1">
      <alignment horizontal="center" vertical="center" wrapText="1"/>
    </xf>
    <xf numFmtId="187" fontId="15" fillId="0" borderId="2" xfId="0" applyNumberFormat="1" applyFont="1" applyFill="1" applyBorder="1" applyAlignment="1">
      <alignment horizontal="center" vertical="center" wrapText="1"/>
    </xf>
    <xf numFmtId="188" fontId="15" fillId="0" borderId="1" xfId="0" applyNumberFormat="1" applyFont="1" applyFill="1" applyBorder="1" applyAlignment="1">
      <alignment horizontal="center" vertical="center" wrapText="1"/>
    </xf>
    <xf numFmtId="187" fontId="15" fillId="0" borderId="3" xfId="0" applyNumberFormat="1" applyFont="1" applyFill="1" applyBorder="1" applyAlignment="1">
      <alignment horizontal="center" vertical="center" wrapText="1"/>
    </xf>
    <xf numFmtId="0" fontId="54" fillId="0" borderId="0" xfId="0" applyFont="1" applyFill="1"/>
    <xf numFmtId="0" fontId="55" fillId="0" borderId="0" xfId="116" applyFont="1" applyFill="1" applyAlignment="1" applyProtection="1">
      <alignment horizontal="center" vertical="center"/>
      <protection locked="0"/>
    </xf>
    <xf numFmtId="0" fontId="56" fillId="0" borderId="0" xfId="116" applyFont="1" applyFill="1" applyAlignment="1" applyProtection="1">
      <alignment horizontal="center" vertical="center"/>
      <protection locked="0"/>
    </xf>
    <xf numFmtId="0" fontId="43" fillId="0" borderId="0" xfId="0" applyFont="1" applyFill="1" applyAlignment="1">
      <alignment vertical="center"/>
    </xf>
    <xf numFmtId="0" fontId="15" fillId="0" borderId="0" xfId="0" applyFont="1" applyFill="1" applyAlignment="1">
      <alignment vertical="center"/>
    </xf>
    <xf numFmtId="0" fontId="15" fillId="0" borderId="7" xfId="0" applyFont="1" applyFill="1" applyBorder="1" applyAlignment="1">
      <alignment horizontal="center" vertical="center" wrapText="1"/>
    </xf>
  </cellXfs>
  <cellStyles count="121">
    <cellStyle name="20% - Accent1" xfId="35" xr:uid="{00000000-0005-0000-0000-000000000000}"/>
    <cellStyle name="20% - Accent1 2" xfId="81" xr:uid="{33F1493C-5CF4-47F7-9023-E12BC9C98A3C}"/>
    <cellStyle name="20% - Accent2" xfId="36" xr:uid="{00000000-0005-0000-0000-000001000000}"/>
    <cellStyle name="20% - Accent2 2" xfId="82" xr:uid="{CF84EDE0-E0A0-4454-8A1A-D2FF8C724539}"/>
    <cellStyle name="20% - Accent3" xfId="37" xr:uid="{00000000-0005-0000-0000-000002000000}"/>
    <cellStyle name="20% - Accent3 2" xfId="83" xr:uid="{F1DD5FD0-8723-4828-98A3-38475F862AAA}"/>
    <cellStyle name="20% - Accent4" xfId="38" xr:uid="{00000000-0005-0000-0000-000003000000}"/>
    <cellStyle name="20% - Accent4 2" xfId="84" xr:uid="{998B56E7-297C-4C47-B098-B9CF1F4A39AD}"/>
    <cellStyle name="20% - Accent5" xfId="39" xr:uid="{00000000-0005-0000-0000-000004000000}"/>
    <cellStyle name="20% - Accent5 2" xfId="85" xr:uid="{2DFCC382-B402-4A2A-A8B7-31EC6A87ACD7}"/>
    <cellStyle name="20% - Accent6" xfId="40" xr:uid="{00000000-0005-0000-0000-000005000000}"/>
    <cellStyle name="20% - Accent6 2" xfId="86" xr:uid="{D2E04634-D820-4A5E-9084-3325529E83F1}"/>
    <cellStyle name="20% - 强调文字颜色 1" xfId="8" xr:uid="{00000000-0005-0000-0000-000006000000}"/>
    <cellStyle name="20% - 强调文字颜色 2" xfId="9" xr:uid="{00000000-0005-0000-0000-000007000000}"/>
    <cellStyle name="20% - 强调文字颜色 3" xfId="10" xr:uid="{00000000-0005-0000-0000-000008000000}"/>
    <cellStyle name="20% - 强调文字颜色 4" xfId="11" xr:uid="{00000000-0005-0000-0000-000009000000}"/>
    <cellStyle name="20% - 强调文字颜色 5" xfId="12" xr:uid="{00000000-0005-0000-0000-00000A000000}"/>
    <cellStyle name="20% - 强调文字颜色 6" xfId="13" xr:uid="{00000000-0005-0000-0000-00000B000000}"/>
    <cellStyle name="40% - Accent1" xfId="41" xr:uid="{00000000-0005-0000-0000-00000C000000}"/>
    <cellStyle name="40% - Accent1 2" xfId="87" xr:uid="{19E452B6-3775-4DE1-B29C-7064871AE751}"/>
    <cellStyle name="40% - Accent2" xfId="42" xr:uid="{00000000-0005-0000-0000-00000D000000}"/>
    <cellStyle name="40% - Accent2 2" xfId="88" xr:uid="{D9407625-3714-43F1-8C4B-53495B2E0FB7}"/>
    <cellStyle name="40% - Accent3" xfId="43" xr:uid="{00000000-0005-0000-0000-00000E000000}"/>
    <cellStyle name="40% - Accent3 2" xfId="89" xr:uid="{B0F9D263-124B-46DF-A294-B46A9DBBD114}"/>
    <cellStyle name="40% - Accent4" xfId="44" xr:uid="{00000000-0005-0000-0000-00000F000000}"/>
    <cellStyle name="40% - Accent4 2" xfId="90" xr:uid="{8AE72576-ACBF-4A20-9F26-C946E7C3DC00}"/>
    <cellStyle name="40% - Accent5" xfId="45" xr:uid="{00000000-0005-0000-0000-000010000000}"/>
    <cellStyle name="40% - Accent5 2" xfId="91" xr:uid="{F1369E33-579B-4CDB-93D7-DD1B77CCE66D}"/>
    <cellStyle name="40% - Accent6" xfId="46" xr:uid="{00000000-0005-0000-0000-000011000000}"/>
    <cellStyle name="40% - Accent6 2" xfId="92" xr:uid="{43A716AE-6C9E-4C1E-A3F1-9E9AD06EA8BD}"/>
    <cellStyle name="40% - 强调文字颜色 1" xfId="14" xr:uid="{00000000-0005-0000-0000-000012000000}"/>
    <cellStyle name="40% - 强调文字颜色 2" xfId="15" xr:uid="{00000000-0005-0000-0000-000013000000}"/>
    <cellStyle name="40% - 强调文字颜色 3" xfId="16" xr:uid="{00000000-0005-0000-0000-000014000000}"/>
    <cellStyle name="40% - 强调文字颜色 4" xfId="17" xr:uid="{00000000-0005-0000-0000-000015000000}"/>
    <cellStyle name="40% - 强调文字颜色 5" xfId="18" xr:uid="{00000000-0005-0000-0000-000016000000}"/>
    <cellStyle name="40% - 强调文字颜色 6" xfId="19" xr:uid="{00000000-0005-0000-0000-000017000000}"/>
    <cellStyle name="60% - Accent1" xfId="47" xr:uid="{00000000-0005-0000-0000-000018000000}"/>
    <cellStyle name="60% - Accent1 2" xfId="93" xr:uid="{4C69368C-0FF4-4554-B03B-81B870986803}"/>
    <cellStyle name="60% - Accent2" xfId="48" xr:uid="{00000000-0005-0000-0000-000019000000}"/>
    <cellStyle name="60% - Accent2 2" xfId="94" xr:uid="{1EDE5DC3-6618-484F-8102-02123CDF0B26}"/>
    <cellStyle name="60% - Accent3" xfId="49" xr:uid="{00000000-0005-0000-0000-00001A000000}"/>
    <cellStyle name="60% - Accent3 2" xfId="95" xr:uid="{972A9F16-5D44-40B8-948E-A6EE4120DD94}"/>
    <cellStyle name="60% - Accent4" xfId="50" xr:uid="{00000000-0005-0000-0000-00001B000000}"/>
    <cellStyle name="60% - Accent4 2" xfId="96" xr:uid="{F6647885-AB3B-4A7B-A95D-C49FF6C85694}"/>
    <cellStyle name="60% - Accent5" xfId="51" xr:uid="{00000000-0005-0000-0000-00001C000000}"/>
    <cellStyle name="60% - Accent5 2" xfId="97" xr:uid="{07686639-B681-4132-B60C-1A2172F84DE6}"/>
    <cellStyle name="60% - Accent6" xfId="52" xr:uid="{00000000-0005-0000-0000-00001D000000}"/>
    <cellStyle name="60% - Accent6 2" xfId="98" xr:uid="{6CDD3A90-EEA2-4594-85D2-6D66A8CBB4FC}"/>
    <cellStyle name="60% - 强调文字颜色 1" xfId="20" xr:uid="{00000000-0005-0000-0000-00001E000000}"/>
    <cellStyle name="60% - 强调文字颜色 2" xfId="21" xr:uid="{00000000-0005-0000-0000-00001F000000}"/>
    <cellStyle name="60% - 强调文字颜色 3" xfId="22" xr:uid="{00000000-0005-0000-0000-000020000000}"/>
    <cellStyle name="60% - 强调文字颜色 4" xfId="23" xr:uid="{00000000-0005-0000-0000-000021000000}"/>
    <cellStyle name="60% - 强调文字颜色 5" xfId="24" xr:uid="{00000000-0005-0000-0000-000022000000}"/>
    <cellStyle name="60% - 强调文字颜色 6" xfId="25" xr:uid="{00000000-0005-0000-0000-000023000000}"/>
    <cellStyle name="Accent1" xfId="53" xr:uid="{00000000-0005-0000-0000-000024000000}"/>
    <cellStyle name="Accent1 2" xfId="99" xr:uid="{C2E0B6D7-2D85-4421-B509-C33A2AE8DD62}"/>
    <cellStyle name="Accent2" xfId="54" xr:uid="{00000000-0005-0000-0000-000025000000}"/>
    <cellStyle name="Accent2 2" xfId="100" xr:uid="{B910FB06-9126-4736-ADA7-CF7C81ECC947}"/>
    <cellStyle name="Accent3" xfId="55" xr:uid="{00000000-0005-0000-0000-000026000000}"/>
    <cellStyle name="Accent3 2" xfId="101" xr:uid="{636722DA-9744-4B29-A322-C734C5920A38}"/>
    <cellStyle name="Accent4" xfId="56" xr:uid="{00000000-0005-0000-0000-000027000000}"/>
    <cellStyle name="Accent4 2" xfId="102" xr:uid="{B76A85D5-7792-4E13-927E-9B282E29967B}"/>
    <cellStyle name="Accent5" xfId="57" xr:uid="{00000000-0005-0000-0000-000028000000}"/>
    <cellStyle name="Accent5 2" xfId="103" xr:uid="{792B2294-EE57-40F6-85EF-5E37B545D765}"/>
    <cellStyle name="Accent6" xfId="58" xr:uid="{00000000-0005-0000-0000-000029000000}"/>
    <cellStyle name="Accent6 2" xfId="104" xr:uid="{F1BA4ED5-3646-48FD-BCCD-6A46C1293C17}"/>
    <cellStyle name="Bad" xfId="59" xr:uid="{00000000-0005-0000-0000-00002A000000}"/>
    <cellStyle name="Bad 2" xfId="1" xr:uid="{00000000-0005-0000-0000-00002B000000}"/>
    <cellStyle name="Bad_表11_Recovery" xfId="76" xr:uid="{00000000-0005-0000-0000-00002C000000}"/>
    <cellStyle name="Calculation" xfId="60" xr:uid="{00000000-0005-0000-0000-00002D000000}"/>
    <cellStyle name="Check Cell" xfId="61" xr:uid="{00000000-0005-0000-0000-00002E000000}"/>
    <cellStyle name="Explanatory Text" xfId="62" xr:uid="{00000000-0005-0000-0000-00002F000000}"/>
    <cellStyle name="Good" xfId="63" xr:uid="{00000000-0005-0000-0000-000030000000}"/>
    <cellStyle name="Good 2" xfId="105" xr:uid="{3F60152A-4685-488D-9168-FDF6D0D0FF26}"/>
    <cellStyle name="Heading 1" xfId="64" xr:uid="{00000000-0005-0000-0000-000031000000}"/>
    <cellStyle name="Heading 2" xfId="65" xr:uid="{00000000-0005-0000-0000-000032000000}"/>
    <cellStyle name="Heading 3" xfId="66" xr:uid="{00000000-0005-0000-0000-000033000000}"/>
    <cellStyle name="Heading 4" xfId="67" xr:uid="{00000000-0005-0000-0000-000034000000}"/>
    <cellStyle name="Input" xfId="68" xr:uid="{00000000-0005-0000-0000-000035000000}"/>
    <cellStyle name="Linked Cell" xfId="69" xr:uid="{00000000-0005-0000-0000-000036000000}"/>
    <cellStyle name="Neutral" xfId="70" xr:uid="{00000000-0005-0000-0000-000037000000}"/>
    <cellStyle name="Normal 2" xfId="2" xr:uid="{00000000-0005-0000-0000-000038000000}"/>
    <cellStyle name="Normal 3" xfId="3" xr:uid="{00000000-0005-0000-0000-000039000000}"/>
    <cellStyle name="Normal_Gilead Samples 02jan07" xfId="7" xr:uid="{00000000-0005-0000-0000-00003A000000}"/>
    <cellStyle name="Note" xfId="71" xr:uid="{00000000-0005-0000-0000-00003C000000}"/>
    <cellStyle name="Note 2" xfId="106" xr:uid="{13AF0080-410F-41C1-B1F2-B44D74F573FE}"/>
    <cellStyle name="Output" xfId="72" xr:uid="{00000000-0005-0000-0000-00003D000000}"/>
    <cellStyle name="Percent 2" xfId="4" xr:uid="{00000000-0005-0000-0000-00003E000000}"/>
    <cellStyle name="Title" xfId="73" xr:uid="{00000000-0005-0000-0000-00003F000000}"/>
    <cellStyle name="Total" xfId="74" xr:uid="{00000000-0005-0000-0000-000040000000}"/>
    <cellStyle name="Warning Text" xfId="75" xr:uid="{00000000-0005-0000-0000-000041000000}"/>
    <cellStyle name="百分比 2" xfId="107" xr:uid="{E0DE712C-37D5-4592-921A-E7D0015E70C1}"/>
    <cellStyle name="差" xfId="5" builtinId="27"/>
    <cellStyle name="差_1.1" xfId="26" xr:uid="{00000000-0005-0000-0000-000043000000}"/>
    <cellStyle name="差_1.1 2" xfId="117" xr:uid="{E934969A-C57F-4AED-AA8E-545A80E39C86}"/>
    <cellStyle name="差_表11_Recovery" xfId="77" xr:uid="{00000000-0005-0000-0000-000044000000}"/>
    <cellStyle name="差_表11_Recovery 2" xfId="119" xr:uid="{49C6E5C3-4925-44A7-9604-6DD72420A6D4}"/>
    <cellStyle name="差_表2_SST" xfId="108" xr:uid="{0B0F1E74-8EDB-4A6F-8C47-476C5A164877}"/>
    <cellStyle name="差_表25_干扰" xfId="80" xr:uid="{00000000-0005-0000-0000-000045000000}"/>
    <cellStyle name="差_表25_干扰 2" xfId="120" xr:uid="{8929EAF6-BAE2-465C-B2CC-79F6294EFD09}"/>
    <cellStyle name="常规" xfId="0" builtinId="0"/>
    <cellStyle name="常规 2" xfId="27" xr:uid="{00000000-0005-0000-0000-000047000000}"/>
    <cellStyle name="常规 2 2" xfId="6" xr:uid="{00000000-0005-0000-0000-000048000000}"/>
    <cellStyle name="常规 3" xfId="110" xr:uid="{E2A56356-B03B-4F77-97F8-D0F54694D0E1}"/>
    <cellStyle name="常规 3 2" xfId="115" xr:uid="{A5260DFC-28EE-464A-949D-3EA5D2930D23}"/>
    <cellStyle name="常规 4" xfId="111" xr:uid="{2491647E-5AE6-4484-A49C-6ADF97688F11}"/>
    <cellStyle name="常规 4 2" xfId="118" xr:uid="{490A8623-9FAB-47E9-807A-2A63A55F19C9}"/>
    <cellStyle name="常规 5" xfId="112" xr:uid="{2405CA5C-E92D-4A59-96DD-7FDCFCDFB34A}"/>
    <cellStyle name="常规 6" xfId="113" xr:uid="{8D15D658-D44B-4EF2-AD4A-DDBCAC25DC53}"/>
    <cellStyle name="常规 7" xfId="114" xr:uid="{9927C9DD-9B0B-4860-A3C0-7A005CC67667}"/>
    <cellStyle name="常规_表11_Recovery" xfId="78" xr:uid="{00000000-0005-0000-0000-00004A000000}"/>
    <cellStyle name="常规_表3_Carryover_1" xfId="116" xr:uid="{D97BD0BA-BAB9-461F-B9A9-A74E199219F0}"/>
    <cellStyle name="好_1.1" xfId="28" xr:uid="{00000000-0005-0000-0000-00004C000000}"/>
    <cellStyle name="好_表11_Recovery" xfId="79" xr:uid="{00000000-0005-0000-0000-00004D000000}"/>
    <cellStyle name="好_表2_SST" xfId="109" xr:uid="{A19B879A-FB83-4E52-9266-5E210389D91E}"/>
    <cellStyle name="强调文字颜色 1" xfId="29" xr:uid="{00000000-0005-0000-0000-00004E000000}"/>
    <cellStyle name="强调文字颜色 2" xfId="30" xr:uid="{00000000-0005-0000-0000-00004F000000}"/>
    <cellStyle name="强调文字颜色 3" xfId="31" xr:uid="{00000000-0005-0000-0000-000050000000}"/>
    <cellStyle name="强调文字颜色 4" xfId="32" xr:uid="{00000000-0005-0000-0000-000051000000}"/>
    <cellStyle name="强调文字颜色 5" xfId="33" xr:uid="{00000000-0005-0000-0000-000052000000}"/>
    <cellStyle name="强调文字颜色 6" xfId="34" xr:uid="{00000000-0005-0000-0000-00005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G21"/>
  <sheetViews>
    <sheetView tabSelected="1" zoomScaleNormal="100" zoomScaleSheetLayoutView="100" workbookViewId="0">
      <selection activeCell="B13" sqref="B13"/>
    </sheetView>
  </sheetViews>
  <sheetFormatPr defaultColWidth="8.77734375" defaultRowHeight="13.8"/>
  <cols>
    <col min="1" max="1" width="7.77734375" style="6" customWidth="1"/>
    <col min="2" max="2" width="48.44140625" style="6" customWidth="1"/>
    <col min="3" max="4" width="12.21875" style="6" customWidth="1"/>
    <col min="5" max="5" width="13.77734375" style="7" customWidth="1"/>
    <col min="6" max="6" width="13.109375" style="6" customWidth="1"/>
    <col min="7" max="7" width="9.5546875" style="6" bestFit="1" customWidth="1"/>
    <col min="8" max="16384" width="8.77734375" style="6"/>
  </cols>
  <sheetData>
    <row r="2" spans="1:6">
      <c r="A2" s="4" t="s">
        <v>33</v>
      </c>
      <c r="B2" s="4"/>
      <c r="C2" s="5"/>
    </row>
    <row r="3" spans="1:6">
      <c r="A3" s="8"/>
    </row>
    <row r="4" spans="1:6" s="12" customFormat="1" ht="31.5" customHeight="1">
      <c r="A4" s="9" t="s">
        <v>9</v>
      </c>
      <c r="B4" s="9" t="s">
        <v>10</v>
      </c>
      <c r="C4" s="9" t="s">
        <v>40</v>
      </c>
      <c r="D4" s="9" t="s">
        <v>11</v>
      </c>
      <c r="E4" s="10" t="s">
        <v>73</v>
      </c>
      <c r="F4" s="11" t="s">
        <v>41</v>
      </c>
    </row>
    <row r="5" spans="1:6" s="12" customFormat="1" ht="48" customHeight="1">
      <c r="A5" s="13">
        <v>1</v>
      </c>
      <c r="B5" s="14" t="s">
        <v>100</v>
      </c>
      <c r="C5" s="15">
        <v>45902</v>
      </c>
      <c r="D5" s="15">
        <v>45902</v>
      </c>
      <c r="E5" s="16" t="s">
        <v>72</v>
      </c>
      <c r="F5" s="11" t="s">
        <v>130</v>
      </c>
    </row>
    <row r="6" spans="1:6" s="12" customFormat="1" ht="44.25" customHeight="1">
      <c r="A6" s="13">
        <v>2</v>
      </c>
      <c r="B6" s="3" t="s">
        <v>131</v>
      </c>
      <c r="C6" s="15">
        <v>45903</v>
      </c>
      <c r="D6" s="15">
        <v>45903</v>
      </c>
      <c r="E6" s="16" t="s">
        <v>72</v>
      </c>
      <c r="F6" s="11" t="s">
        <v>130</v>
      </c>
    </row>
    <row r="7" spans="1:6" s="12" customFormat="1" ht="58.5" customHeight="1">
      <c r="A7" s="13">
        <v>3</v>
      </c>
      <c r="B7" s="3" t="s">
        <v>180</v>
      </c>
      <c r="C7" s="15">
        <v>45905</v>
      </c>
      <c r="D7" s="15">
        <v>45905</v>
      </c>
      <c r="E7" s="16" t="s">
        <v>72</v>
      </c>
      <c r="F7" s="11" t="s">
        <v>130</v>
      </c>
    </row>
    <row r="8" spans="1:6" s="12" customFormat="1" ht="42.75" customHeight="1">
      <c r="A8" s="13">
        <v>4</v>
      </c>
      <c r="B8" s="17" t="s">
        <v>124</v>
      </c>
      <c r="C8" s="15">
        <v>45905</v>
      </c>
      <c r="D8" s="15">
        <v>45906</v>
      </c>
      <c r="E8" s="18" t="s">
        <v>125</v>
      </c>
      <c r="F8" s="11" t="s">
        <v>130</v>
      </c>
    </row>
    <row r="9" spans="1:6" s="12" customFormat="1" ht="42.75" customHeight="1">
      <c r="A9" s="13">
        <v>5</v>
      </c>
      <c r="B9" s="17" t="s">
        <v>132</v>
      </c>
      <c r="C9" s="15">
        <v>45905</v>
      </c>
      <c r="D9" s="15">
        <v>45906</v>
      </c>
      <c r="E9" s="18" t="s">
        <v>125</v>
      </c>
      <c r="F9" s="11" t="s">
        <v>130</v>
      </c>
    </row>
    <row r="10" spans="1:6" s="12" customFormat="1" ht="45.75" customHeight="1">
      <c r="A10" s="13">
        <v>6</v>
      </c>
      <c r="B10" s="3" t="s">
        <v>133</v>
      </c>
      <c r="C10" s="15">
        <v>45903</v>
      </c>
      <c r="D10" s="15">
        <v>45906</v>
      </c>
      <c r="E10" s="16" t="s">
        <v>72</v>
      </c>
      <c r="F10" s="11" t="s">
        <v>130</v>
      </c>
    </row>
    <row r="11" spans="1:6" ht="14.4">
      <c r="A11" s="19" t="s">
        <v>42</v>
      </c>
    </row>
    <row r="12" spans="1:6" s="21" customFormat="1" ht="15.75" customHeight="1">
      <c r="A12" s="20" t="s">
        <v>135</v>
      </c>
      <c r="E12" s="22"/>
    </row>
    <row r="13" spans="1:6" s="21" customFormat="1" ht="15.75" customHeight="1">
      <c r="A13" s="20" t="s">
        <v>74</v>
      </c>
    </row>
    <row r="14" spans="1:6" ht="14.4">
      <c r="A14" s="20" t="s">
        <v>134</v>
      </c>
      <c r="B14" s="23"/>
      <c r="C14" s="23"/>
      <c r="D14" s="23"/>
      <c r="E14" s="23"/>
    </row>
    <row r="15" spans="1:6">
      <c r="B15" s="23"/>
      <c r="C15" s="23"/>
      <c r="D15" s="23"/>
      <c r="E15" s="23"/>
    </row>
    <row r="16" spans="1:6">
      <c r="B16" s="23"/>
      <c r="C16" s="23"/>
      <c r="D16" s="23"/>
      <c r="E16" s="23"/>
    </row>
    <row r="17" spans="2:7">
      <c r="B17" s="23"/>
      <c r="C17" s="23"/>
      <c r="D17" s="23"/>
      <c r="E17" s="23"/>
    </row>
    <row r="18" spans="2:7">
      <c r="B18" s="23"/>
      <c r="C18" s="23"/>
      <c r="D18" s="23"/>
      <c r="E18" s="23"/>
    </row>
    <row r="19" spans="2:7">
      <c r="B19" s="23"/>
      <c r="C19" s="23"/>
      <c r="D19" s="23"/>
      <c r="E19" s="23"/>
      <c r="F19" s="24"/>
      <c r="G19" s="24"/>
    </row>
    <row r="20" spans="2:7">
      <c r="B20" s="23"/>
      <c r="C20" s="23"/>
      <c r="D20" s="23"/>
      <c r="E20" s="23"/>
    </row>
    <row r="21" spans="2:7">
      <c r="B21" s="23"/>
      <c r="C21" s="23"/>
      <c r="D21" s="23"/>
      <c r="E21" s="23"/>
    </row>
  </sheetData>
  <mergeCells count="1">
    <mergeCell ref="A2:B2"/>
  </mergeCells>
  <phoneticPr fontId="5" type="noConversion"/>
  <printOptions headings="1" gridLines="1"/>
  <pageMargins left="0.70866141732283472" right="0.70866141732283472" top="0.74803149606299213" bottom="0.74803149606299213" header="0.31496062992125984" footer="0.31496062992125984"/>
  <pageSetup scale="79" orientation="portrait" r:id="rId1"/>
  <headerFooter>
    <oddHeader>&amp;C 1632MV7生物分析方法学验证数据</oddHeader>
    <oddFooter>&amp;C第&amp;P页，共&amp;N页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84B67-A1A6-42CE-BB69-FA8487D26E2F}">
  <dimension ref="A2:D11"/>
  <sheetViews>
    <sheetView workbookViewId="0">
      <selection activeCell="D24" sqref="D24"/>
    </sheetView>
  </sheetViews>
  <sheetFormatPr defaultColWidth="8.77734375" defaultRowHeight="13.8"/>
  <cols>
    <col min="1" max="4" width="17.44140625" style="12" customWidth="1"/>
    <col min="5" max="8" width="17.5546875" style="12" customWidth="1"/>
    <col min="9" max="16384" width="8.77734375" style="12"/>
  </cols>
  <sheetData>
    <row r="2" spans="1:4" s="12" customFormat="1" ht="14.4">
      <c r="A2" s="188" t="s">
        <v>110</v>
      </c>
      <c r="B2" s="189"/>
      <c r="C2" s="189"/>
    </row>
    <row r="4" spans="1:4" s="12" customFormat="1">
      <c r="A4" s="98" t="s">
        <v>9</v>
      </c>
      <c r="B4" s="80" t="s">
        <v>36</v>
      </c>
      <c r="C4" s="190"/>
      <c r="D4" s="81"/>
    </row>
    <row r="5" spans="1:4" s="12" customFormat="1" ht="14.4">
      <c r="A5" s="98"/>
      <c r="B5" s="9" t="s">
        <v>107</v>
      </c>
      <c r="C5" s="9" t="s">
        <v>108</v>
      </c>
      <c r="D5" s="16" t="s">
        <v>109</v>
      </c>
    </row>
    <row r="6" spans="1:4" s="12" customFormat="1">
      <c r="A6" s="11">
        <v>1</v>
      </c>
      <c r="B6" s="71">
        <v>0.4</v>
      </c>
      <c r="C6" s="71">
        <v>0.4</v>
      </c>
      <c r="D6" s="71">
        <v>8</v>
      </c>
    </row>
    <row r="7" spans="1:4" s="12" customFormat="1">
      <c r="A7" s="11">
        <v>2</v>
      </c>
      <c r="B7" s="71">
        <v>0</v>
      </c>
      <c r="C7" s="71">
        <v>0.4</v>
      </c>
      <c r="D7" s="71">
        <v>2.1</v>
      </c>
    </row>
    <row r="8" spans="1:4" s="12" customFormat="1">
      <c r="A8" s="11">
        <v>3</v>
      </c>
      <c r="B8" s="71">
        <v>0.4</v>
      </c>
      <c r="C8" s="71">
        <v>0</v>
      </c>
      <c r="D8" s="71">
        <v>3.1</v>
      </c>
    </row>
    <row r="9" spans="1:4" s="12" customFormat="1">
      <c r="A9" s="11">
        <v>4</v>
      </c>
      <c r="B9" s="71">
        <v>0.4</v>
      </c>
      <c r="C9" s="71">
        <v>0.4</v>
      </c>
      <c r="D9" s="71">
        <v>3.5</v>
      </c>
    </row>
    <row r="10" spans="1:4" s="12" customFormat="1">
      <c r="A10" s="11">
        <v>5</v>
      </c>
      <c r="B10" s="71">
        <v>0.4</v>
      </c>
      <c r="C10" s="71">
        <v>0.4</v>
      </c>
      <c r="D10" s="71">
        <v>8</v>
      </c>
    </row>
    <row r="11" spans="1:4" s="12" customFormat="1">
      <c r="A11" s="11">
        <v>6</v>
      </c>
      <c r="B11" s="71">
        <v>0.4</v>
      </c>
      <c r="C11" s="71">
        <v>0.4</v>
      </c>
      <c r="D11" s="71">
        <v>2.9</v>
      </c>
    </row>
  </sheetData>
  <mergeCells count="3">
    <mergeCell ref="A2:C2"/>
    <mergeCell ref="A4:A5"/>
    <mergeCell ref="B4:D4"/>
  </mergeCells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A2F20-7664-48B5-B0D9-3974F0F8F2A3}">
  <dimension ref="A2:I14"/>
  <sheetViews>
    <sheetView workbookViewId="0">
      <selection activeCell="G20" sqref="G20"/>
    </sheetView>
  </sheetViews>
  <sheetFormatPr defaultColWidth="8.77734375" defaultRowHeight="13.8"/>
  <cols>
    <col min="1" max="1" width="9.77734375" style="6" customWidth="1"/>
    <col min="2" max="2" width="15.109375" style="6" customWidth="1"/>
    <col min="3" max="3" width="14.77734375" style="6" customWidth="1"/>
    <col min="4" max="6" width="11.109375" style="6" customWidth="1"/>
    <col min="7" max="7" width="15" style="6" customWidth="1"/>
    <col min="8" max="8" width="9.77734375" style="6" customWidth="1"/>
    <col min="9" max="9" width="11.77734375" style="6" customWidth="1"/>
    <col min="10" max="10" width="11.109375" style="6" customWidth="1"/>
    <col min="11" max="16384" width="8.77734375" style="6"/>
  </cols>
  <sheetData>
    <row r="2" spans="1:9" s="12" customFormat="1" ht="18" customHeight="1">
      <c r="A2" s="151" t="s">
        <v>120</v>
      </c>
      <c r="B2" s="152"/>
      <c r="C2" s="152"/>
    </row>
    <row r="3" spans="1:9" s="12" customFormat="1" ht="18" customHeight="1">
      <c r="A3" s="19"/>
      <c r="B3" s="19"/>
      <c r="C3" s="19"/>
    </row>
    <row r="4" spans="1:9" s="6" customFormat="1" ht="70.5" customHeight="1">
      <c r="A4" s="9" t="s">
        <v>111</v>
      </c>
      <c r="B4" s="9" t="s">
        <v>112</v>
      </c>
      <c r="C4" s="9" t="s">
        <v>113</v>
      </c>
      <c r="D4" s="9" t="s">
        <v>114</v>
      </c>
      <c r="E4" s="9" t="s">
        <v>115</v>
      </c>
      <c r="F4" s="174" t="s">
        <v>116</v>
      </c>
      <c r="G4" s="9" t="s">
        <v>117</v>
      </c>
      <c r="H4" s="9" t="s">
        <v>118</v>
      </c>
      <c r="I4" s="9" t="s">
        <v>119</v>
      </c>
    </row>
    <row r="5" spans="1:9" s="6" customFormat="1" ht="14.25" customHeight="1">
      <c r="A5" s="42" t="s">
        <v>164</v>
      </c>
      <c r="B5" s="9">
        <v>1820</v>
      </c>
      <c r="C5" s="9">
        <v>1059</v>
      </c>
      <c r="D5" s="181">
        <v>9767</v>
      </c>
      <c r="E5" s="181">
        <v>216407</v>
      </c>
      <c r="F5" s="182">
        <f>ROUND(AVERAGE(D5:D6),0)</f>
        <v>9166</v>
      </c>
      <c r="G5" s="42">
        <f>ROUND(AVERAGE(E5:E6),0)</f>
        <v>211334</v>
      </c>
      <c r="H5" s="183">
        <f>ROUND(B5/F5*100,1)</f>
        <v>19.899999999999999</v>
      </c>
      <c r="I5" s="183">
        <f>ROUND(C5/G5*100,1)</f>
        <v>0.5</v>
      </c>
    </row>
    <row r="6" spans="1:9" s="6" customFormat="1" ht="14.25" customHeight="1">
      <c r="A6" s="48"/>
      <c r="B6" s="9">
        <v>1861</v>
      </c>
      <c r="C6" s="9">
        <v>442</v>
      </c>
      <c r="D6" s="181">
        <v>8565</v>
      </c>
      <c r="E6" s="181">
        <v>206261</v>
      </c>
      <c r="F6" s="184"/>
      <c r="G6" s="48"/>
      <c r="H6" s="183">
        <f>ROUND(B6/F5*100,1)</f>
        <v>20.3</v>
      </c>
      <c r="I6" s="183">
        <f>ROUND(C6/G5*100,1)</f>
        <v>0.2</v>
      </c>
    </row>
    <row r="7" spans="1:9" s="6" customFormat="1" ht="14.25" customHeight="1">
      <c r="A7" s="42" t="s">
        <v>165</v>
      </c>
      <c r="B7" s="9">
        <v>1908</v>
      </c>
      <c r="C7" s="9">
        <v>1148</v>
      </c>
      <c r="D7" s="9">
        <v>8364</v>
      </c>
      <c r="E7" s="9">
        <v>201383</v>
      </c>
      <c r="F7" s="182">
        <f>ROUND(AVERAGE(D7:D8),0)</f>
        <v>8432</v>
      </c>
      <c r="G7" s="42">
        <f>ROUND(AVERAGE(E7:E8),0)</f>
        <v>202109</v>
      </c>
      <c r="H7" s="183">
        <f>ROUND(B7/F7*100,1)</f>
        <v>22.6</v>
      </c>
      <c r="I7" s="183">
        <f>ROUND(C7/G7*100,1)</f>
        <v>0.6</v>
      </c>
    </row>
    <row r="8" spans="1:9" s="6" customFormat="1" ht="14.25" customHeight="1">
      <c r="A8" s="48"/>
      <c r="B8" s="9">
        <v>2102</v>
      </c>
      <c r="C8" s="9">
        <v>1127</v>
      </c>
      <c r="D8" s="9">
        <v>8500</v>
      </c>
      <c r="E8" s="9">
        <v>202834</v>
      </c>
      <c r="F8" s="184"/>
      <c r="G8" s="48"/>
      <c r="H8" s="183">
        <f>ROUND(B8/F7*100,1)</f>
        <v>24.9</v>
      </c>
      <c r="I8" s="183">
        <f>ROUND(C8/G7*100,1)</f>
        <v>0.6</v>
      </c>
    </row>
    <row r="9" spans="1:9" s="6" customFormat="1" ht="14.25" customHeight="1">
      <c r="A9" s="42" t="s">
        <v>166</v>
      </c>
      <c r="B9" s="9">
        <v>1505</v>
      </c>
      <c r="C9" s="9">
        <v>755</v>
      </c>
      <c r="D9" s="9">
        <v>6009</v>
      </c>
      <c r="E9" s="9">
        <v>184405</v>
      </c>
      <c r="F9" s="182">
        <f>ROUND(AVERAGE(D9:D10),0)</f>
        <v>7107</v>
      </c>
      <c r="G9" s="42">
        <f>ROUND(AVERAGE(E9:E10),0)</f>
        <v>187443</v>
      </c>
      <c r="H9" s="183">
        <f>ROUND(B9/F9*100,1)</f>
        <v>21.2</v>
      </c>
      <c r="I9" s="183">
        <f>ROUND(C9/G9*100,1)</f>
        <v>0.4</v>
      </c>
    </row>
    <row r="10" spans="1:9" s="6" customFormat="1" ht="14.25" customHeight="1">
      <c r="A10" s="48"/>
      <c r="B10" s="9">
        <v>1269</v>
      </c>
      <c r="C10" s="9">
        <v>473</v>
      </c>
      <c r="D10" s="9">
        <v>8205</v>
      </c>
      <c r="E10" s="9">
        <v>190481</v>
      </c>
      <c r="F10" s="184"/>
      <c r="G10" s="48"/>
      <c r="H10" s="183">
        <f>ROUND(B10/F9*100,1)</f>
        <v>17.899999999999999</v>
      </c>
      <c r="I10" s="183">
        <f>ROUND(C10/G9*100,1)</f>
        <v>0.3</v>
      </c>
    </row>
    <row r="11" spans="1:9" s="6" customFormat="1">
      <c r="A11" s="42">
        <v>6</v>
      </c>
      <c r="B11" s="9">
        <v>1046</v>
      </c>
      <c r="C11" s="9">
        <v>816</v>
      </c>
      <c r="D11" s="9">
        <v>8038</v>
      </c>
      <c r="E11" s="9">
        <v>197501</v>
      </c>
      <c r="F11" s="182">
        <f>ROUND(AVERAGE(D11:D12),0)</f>
        <v>7798</v>
      </c>
      <c r="G11" s="42">
        <f>ROUND(AVERAGE(E11:E12),0)</f>
        <v>191939</v>
      </c>
      <c r="H11" s="183">
        <f>ROUND(B11/F11*100,1)</f>
        <v>13.4</v>
      </c>
      <c r="I11" s="183">
        <f>ROUND(C11/G11*100,1)</f>
        <v>0.4</v>
      </c>
    </row>
    <row r="12" spans="1:9" s="6" customFormat="1">
      <c r="A12" s="48"/>
      <c r="B12" s="9">
        <v>1061</v>
      </c>
      <c r="C12" s="9">
        <v>1410</v>
      </c>
      <c r="D12" s="9">
        <v>7558</v>
      </c>
      <c r="E12" s="9">
        <v>186377</v>
      </c>
      <c r="F12" s="184"/>
      <c r="G12" s="48"/>
      <c r="H12" s="183">
        <f>ROUND(B12/F11*100,1)</f>
        <v>13.6</v>
      </c>
      <c r="I12" s="183">
        <f>ROUND(C12/G11*100,1)</f>
        <v>0.7</v>
      </c>
    </row>
    <row r="13" spans="1:9" s="6" customFormat="1" ht="15.6">
      <c r="A13" s="185" t="s">
        <v>181</v>
      </c>
      <c r="D13" s="186"/>
      <c r="E13" s="187"/>
    </row>
    <row r="14" spans="1:9" s="6" customFormat="1" ht="15.6">
      <c r="D14" s="186"/>
      <c r="E14" s="187"/>
    </row>
  </sheetData>
  <mergeCells count="13">
    <mergeCell ref="A11:A12"/>
    <mergeCell ref="F11:F12"/>
    <mergeCell ref="G11:G12"/>
    <mergeCell ref="A9:A10"/>
    <mergeCell ref="F9:F10"/>
    <mergeCell ref="G9:G10"/>
    <mergeCell ref="A2:C2"/>
    <mergeCell ref="A5:A6"/>
    <mergeCell ref="F5:F6"/>
    <mergeCell ref="G5:G6"/>
    <mergeCell ref="A7:A8"/>
    <mergeCell ref="F7:F8"/>
    <mergeCell ref="G7:G8"/>
  </mergeCells>
  <phoneticPr fontId="2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H22"/>
  <sheetViews>
    <sheetView zoomScaleNormal="100" zoomScaleSheetLayoutView="100" workbookViewId="0">
      <selection activeCell="E22" sqref="E22"/>
    </sheetView>
  </sheetViews>
  <sheetFormatPr defaultColWidth="8.77734375" defaultRowHeight="13.8"/>
  <cols>
    <col min="1" max="1" width="8.77734375" style="69" customWidth="1"/>
    <col min="2" max="2" width="35.77734375" style="69" customWidth="1"/>
    <col min="3" max="3" width="10.33203125" style="69" customWidth="1"/>
    <col min="4" max="4" width="25.109375" style="69" customWidth="1"/>
    <col min="5" max="6" width="10.33203125" style="69" customWidth="1"/>
    <col min="7" max="7" width="28.77734375" style="69" customWidth="1"/>
    <col min="8" max="8" width="10.33203125" style="69" customWidth="1"/>
    <col min="9" max="16384" width="8.77734375" style="69"/>
  </cols>
  <sheetData>
    <row r="1" spans="1:8" ht="15" customHeight="1"/>
    <row r="2" spans="1:8" ht="15" customHeight="1">
      <c r="A2" s="152" t="s">
        <v>32</v>
      </c>
      <c r="B2" s="152"/>
      <c r="C2" s="152"/>
    </row>
    <row r="3" spans="1:8" ht="15" customHeight="1">
      <c r="A3" s="19"/>
      <c r="B3" s="19"/>
      <c r="C3" s="19"/>
    </row>
    <row r="4" spans="1:8" ht="15" customHeight="1">
      <c r="A4" s="171" t="s">
        <v>126</v>
      </c>
      <c r="B4" s="172"/>
      <c r="C4" s="172"/>
      <c r="D4" s="172"/>
      <c r="E4" s="172"/>
      <c r="F4" s="172"/>
      <c r="G4" s="172"/>
      <c r="H4" s="173"/>
    </row>
    <row r="5" spans="1:8" ht="15" customHeight="1">
      <c r="A5" s="98" t="s">
        <v>12</v>
      </c>
      <c r="B5" s="98" t="s">
        <v>13</v>
      </c>
      <c r="C5" s="98" t="s">
        <v>39</v>
      </c>
      <c r="D5" s="98"/>
      <c r="E5" s="98"/>
      <c r="F5" s="98" t="s">
        <v>14</v>
      </c>
      <c r="G5" s="98"/>
      <c r="H5" s="98"/>
    </row>
    <row r="6" spans="1:8" ht="41.25" customHeight="1">
      <c r="A6" s="98"/>
      <c r="B6" s="98"/>
      <c r="C6" s="9" t="s">
        <v>15</v>
      </c>
      <c r="D6" s="174" t="s">
        <v>152</v>
      </c>
      <c r="E6" s="9" t="s">
        <v>34</v>
      </c>
      <c r="F6" s="9" t="s">
        <v>15</v>
      </c>
      <c r="G6" s="174" t="s">
        <v>158</v>
      </c>
      <c r="H6" s="9" t="s">
        <v>34</v>
      </c>
    </row>
    <row r="7" spans="1:8" ht="15" customHeight="1">
      <c r="A7" s="9" t="s">
        <v>57</v>
      </c>
      <c r="B7" s="175" t="s">
        <v>143</v>
      </c>
      <c r="C7" s="176">
        <v>728</v>
      </c>
      <c r="D7" s="130">
        <v>8432</v>
      </c>
      <c r="E7" s="177">
        <f>ROUND(C7/$D$7*100,1)</f>
        <v>8.6</v>
      </c>
      <c r="F7" s="176">
        <v>658</v>
      </c>
      <c r="G7" s="130">
        <v>202109</v>
      </c>
      <c r="H7" s="177">
        <f>ROUND(F7/$G$7*100,1)</f>
        <v>0.3</v>
      </c>
    </row>
    <row r="8" spans="1:8" ht="15" customHeight="1">
      <c r="A8" s="9" t="s">
        <v>58</v>
      </c>
      <c r="B8" s="175" t="s">
        <v>146</v>
      </c>
      <c r="C8" s="176">
        <v>419</v>
      </c>
      <c r="D8" s="130"/>
      <c r="E8" s="177">
        <f>ROUND(C8/$D$7*100,1)</f>
        <v>5</v>
      </c>
      <c r="F8" s="176">
        <v>565</v>
      </c>
      <c r="G8" s="130"/>
      <c r="H8" s="177">
        <f t="shared" ref="H8:H12" si="0">ROUND(F8/$G$7*100,1)</f>
        <v>0.3</v>
      </c>
    </row>
    <row r="9" spans="1:8" ht="15" customHeight="1">
      <c r="A9" s="9" t="s">
        <v>59</v>
      </c>
      <c r="B9" s="175" t="s">
        <v>147</v>
      </c>
      <c r="C9" s="176">
        <v>0</v>
      </c>
      <c r="D9" s="130"/>
      <c r="E9" s="177">
        <f t="shared" ref="E9:E12" si="1">ROUND(C9/$D$7*100,1)</f>
        <v>0</v>
      </c>
      <c r="F9" s="176">
        <v>274</v>
      </c>
      <c r="G9" s="130"/>
      <c r="H9" s="177">
        <f t="shared" si="0"/>
        <v>0.1</v>
      </c>
    </row>
    <row r="10" spans="1:8" ht="15" customHeight="1">
      <c r="A10" s="9" t="s">
        <v>60</v>
      </c>
      <c r="B10" s="175" t="s">
        <v>149</v>
      </c>
      <c r="C10" s="176">
        <v>722</v>
      </c>
      <c r="D10" s="130"/>
      <c r="E10" s="177">
        <f t="shared" si="1"/>
        <v>8.6</v>
      </c>
      <c r="F10" s="176">
        <v>408</v>
      </c>
      <c r="G10" s="130"/>
      <c r="H10" s="177">
        <f t="shared" si="0"/>
        <v>0.2</v>
      </c>
    </row>
    <row r="11" spans="1:8" ht="15" customHeight="1">
      <c r="A11" s="9" t="s">
        <v>61</v>
      </c>
      <c r="B11" s="175" t="s">
        <v>150</v>
      </c>
      <c r="C11" s="176">
        <v>0</v>
      </c>
      <c r="D11" s="130"/>
      <c r="E11" s="177">
        <f t="shared" si="1"/>
        <v>0</v>
      </c>
      <c r="F11" s="176">
        <v>0</v>
      </c>
      <c r="G11" s="130"/>
      <c r="H11" s="177">
        <f t="shared" si="0"/>
        <v>0</v>
      </c>
    </row>
    <row r="12" spans="1:8" ht="15" customHeight="1">
      <c r="A12" s="9" t="s">
        <v>62</v>
      </c>
      <c r="B12" s="175" t="s">
        <v>151</v>
      </c>
      <c r="C12" s="176">
        <v>283</v>
      </c>
      <c r="D12" s="130"/>
      <c r="E12" s="177">
        <f t="shared" si="1"/>
        <v>3.4</v>
      </c>
      <c r="F12" s="176">
        <v>789</v>
      </c>
      <c r="G12" s="130"/>
      <c r="H12" s="177">
        <f t="shared" si="0"/>
        <v>0.4</v>
      </c>
    </row>
    <row r="13" spans="1:8" ht="15" customHeight="1">
      <c r="D13" s="178"/>
    </row>
    <row r="14" spans="1:8" ht="15" customHeight="1">
      <c r="A14" s="179" t="s">
        <v>127</v>
      </c>
      <c r="B14" s="172"/>
      <c r="C14" s="172"/>
      <c r="D14" s="172"/>
      <c r="E14" s="172"/>
      <c r="F14" s="172"/>
      <c r="G14" s="172"/>
      <c r="H14" s="173"/>
    </row>
    <row r="15" spans="1:8" ht="15" customHeight="1">
      <c r="A15" s="98" t="s">
        <v>12</v>
      </c>
      <c r="B15" s="98" t="s">
        <v>13</v>
      </c>
      <c r="C15" s="98" t="s">
        <v>39</v>
      </c>
      <c r="D15" s="98"/>
      <c r="E15" s="98"/>
      <c r="F15" s="98" t="s">
        <v>14</v>
      </c>
      <c r="G15" s="98"/>
      <c r="H15" s="98"/>
    </row>
    <row r="16" spans="1:8" ht="40.5" customHeight="1">
      <c r="A16" s="98"/>
      <c r="B16" s="98"/>
      <c r="C16" s="9" t="s">
        <v>15</v>
      </c>
      <c r="D16" s="9" t="s">
        <v>152</v>
      </c>
      <c r="E16" s="9" t="s">
        <v>35</v>
      </c>
      <c r="F16" s="9" t="s">
        <v>15</v>
      </c>
      <c r="G16" s="9" t="s">
        <v>158</v>
      </c>
      <c r="H16" s="9" t="s">
        <v>34</v>
      </c>
    </row>
    <row r="17" spans="1:8" ht="37.049999999999997" customHeight="1">
      <c r="A17" s="10" t="s">
        <v>63</v>
      </c>
      <c r="B17" s="175" t="s">
        <v>129</v>
      </c>
      <c r="C17" s="169">
        <v>331</v>
      </c>
      <c r="D17" s="9">
        <v>7107</v>
      </c>
      <c r="E17" s="177">
        <f>ROUND(C17/D17*100,1)</f>
        <v>4.7</v>
      </c>
      <c r="F17" s="169">
        <v>900</v>
      </c>
      <c r="G17" s="9">
        <v>187443</v>
      </c>
      <c r="H17" s="177">
        <f>ROUND(F17/G17*100,1)</f>
        <v>0.5</v>
      </c>
    </row>
    <row r="20" spans="1:8">
      <c r="D20" s="180"/>
    </row>
    <row r="21" spans="1:8">
      <c r="D21" s="180"/>
    </row>
    <row r="22" spans="1:8">
      <c r="D22" s="180"/>
    </row>
  </sheetData>
  <mergeCells count="13">
    <mergeCell ref="A14:H14"/>
    <mergeCell ref="A15:A16"/>
    <mergeCell ref="B15:B16"/>
    <mergeCell ref="C15:E15"/>
    <mergeCell ref="F15:H15"/>
    <mergeCell ref="G7:G12"/>
    <mergeCell ref="A2:C2"/>
    <mergeCell ref="A5:A6"/>
    <mergeCell ref="B5:B6"/>
    <mergeCell ref="F5:H5"/>
    <mergeCell ref="A4:H4"/>
    <mergeCell ref="C5:E5"/>
    <mergeCell ref="D7:D12"/>
  </mergeCells>
  <phoneticPr fontId="5" type="noConversion"/>
  <printOptions headings="1" gridLines="1"/>
  <pageMargins left="0.70866141732283472" right="0.70866141732283472" top="0.74803149606299213" bottom="0.74803149606299213" header="0.31496062992125984" footer="0.31496062992125984"/>
  <pageSetup scale="60" orientation="portrait" r:id="rId1"/>
  <headerFooter>
    <oddHeader>&amp;C 1632MV7生物分析方法学验证数据</oddHeader>
    <oddFooter>&amp;C第&amp;P页，共&amp;N页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S19"/>
  <sheetViews>
    <sheetView zoomScaleNormal="100" zoomScaleSheetLayoutView="100" workbookViewId="0">
      <selection activeCell="E11" sqref="E11"/>
    </sheetView>
  </sheetViews>
  <sheetFormatPr defaultColWidth="8.77734375" defaultRowHeight="13.8"/>
  <cols>
    <col min="1" max="1" width="11.109375" style="153" customWidth="1"/>
    <col min="2" max="2" width="9.5546875" style="153" customWidth="1"/>
    <col min="3" max="3" width="27.44140625" style="170" customWidth="1"/>
    <col min="4" max="4" width="21" style="153" customWidth="1"/>
    <col min="5" max="5" width="33.5546875" style="153" customWidth="1"/>
    <col min="6" max="6" width="15.77734375" style="153" customWidth="1"/>
    <col min="7" max="7" width="19.33203125" style="153" customWidth="1"/>
    <col min="8" max="16384" width="8.77734375" style="153"/>
  </cols>
  <sheetData>
    <row r="2" spans="1:19" ht="14.4">
      <c r="A2" s="151" t="s">
        <v>121</v>
      </c>
      <c r="B2" s="152"/>
      <c r="C2" s="152"/>
    </row>
    <row r="3" spans="1:19">
      <c r="A3" s="19"/>
      <c r="B3" s="19"/>
      <c r="C3" s="19"/>
      <c r="G3" s="154"/>
    </row>
    <row r="4" spans="1:19">
      <c r="A4" s="155" t="s">
        <v>153</v>
      </c>
      <c r="C4" s="153"/>
      <c r="D4" s="69"/>
      <c r="E4" s="69"/>
      <c r="F4" s="69"/>
      <c r="G4" s="154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</row>
    <row r="5" spans="1:19" ht="15.75" customHeight="1">
      <c r="A5" s="98" t="s">
        <v>26</v>
      </c>
      <c r="B5" s="98" t="s">
        <v>23</v>
      </c>
      <c r="C5" s="98" t="s">
        <v>8</v>
      </c>
      <c r="D5" s="157" t="s">
        <v>159</v>
      </c>
      <c r="E5" s="157" t="s">
        <v>158</v>
      </c>
      <c r="F5" s="157" t="s">
        <v>160</v>
      </c>
      <c r="G5" s="158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</row>
    <row r="6" spans="1:19" ht="15.75" customHeight="1">
      <c r="A6" s="98"/>
      <c r="B6" s="98"/>
      <c r="C6" s="98"/>
      <c r="D6" s="98"/>
      <c r="E6" s="98"/>
      <c r="F6" s="98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</row>
    <row r="7" spans="1:19" ht="15.75" customHeight="1">
      <c r="A7" s="159">
        <v>45902</v>
      </c>
      <c r="B7" s="98">
        <v>1</v>
      </c>
      <c r="C7" s="160" t="s">
        <v>101</v>
      </c>
      <c r="D7" s="62">
        <v>2670</v>
      </c>
      <c r="E7" s="161">
        <v>211334</v>
      </c>
      <c r="F7" s="162">
        <f>ROUND(AVERAGE(D7:D9)/E7*100,1)</f>
        <v>1.4</v>
      </c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</row>
    <row r="8" spans="1:19" ht="15.75" customHeight="1">
      <c r="A8" s="159"/>
      <c r="B8" s="98"/>
      <c r="C8" s="160" t="s">
        <v>102</v>
      </c>
      <c r="D8" s="62">
        <v>2903</v>
      </c>
      <c r="E8" s="161"/>
      <c r="F8" s="163"/>
      <c r="G8" s="164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</row>
    <row r="9" spans="1:19" ht="15.75" customHeight="1">
      <c r="A9" s="159"/>
      <c r="B9" s="98"/>
      <c r="C9" s="160" t="s">
        <v>103</v>
      </c>
      <c r="D9" s="62">
        <v>2992</v>
      </c>
      <c r="E9" s="161"/>
      <c r="F9" s="165"/>
      <c r="G9" s="164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</row>
    <row r="10" spans="1:19">
      <c r="B10" s="1"/>
      <c r="C10" s="2"/>
      <c r="D10" s="69"/>
      <c r="E10" s="166"/>
      <c r="F10" s="167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</row>
    <row r="11" spans="1:19">
      <c r="B11" s="1"/>
      <c r="C11" s="2"/>
      <c r="D11" s="69"/>
      <c r="E11" s="166"/>
      <c r="F11" s="167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</row>
    <row r="12" spans="1:19">
      <c r="A12" s="152" t="s">
        <v>154</v>
      </c>
      <c r="B12" s="152"/>
      <c r="C12" s="152"/>
      <c r="D12" s="69"/>
      <c r="F12" s="69"/>
      <c r="G12" s="168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</row>
    <row r="13" spans="1:19" ht="15.75" customHeight="1">
      <c r="A13" s="98" t="s">
        <v>26</v>
      </c>
      <c r="B13" s="98" t="s">
        <v>23</v>
      </c>
      <c r="C13" s="98" t="s">
        <v>8</v>
      </c>
      <c r="D13" s="157" t="s">
        <v>155</v>
      </c>
      <c r="E13" s="157" t="s">
        <v>156</v>
      </c>
      <c r="F13" s="157" t="s">
        <v>157</v>
      </c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</row>
    <row r="14" spans="1:19" ht="15.75" customHeight="1">
      <c r="A14" s="98"/>
      <c r="B14" s="98"/>
      <c r="C14" s="98"/>
      <c r="D14" s="98"/>
      <c r="E14" s="98"/>
      <c r="F14" s="98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</row>
    <row r="15" spans="1:19" ht="15.75" customHeight="1">
      <c r="A15" s="159">
        <v>45902</v>
      </c>
      <c r="B15" s="98">
        <v>1</v>
      </c>
      <c r="C15" s="160" t="s">
        <v>104</v>
      </c>
      <c r="D15" s="169">
        <v>1632</v>
      </c>
      <c r="E15" s="130">
        <v>9166</v>
      </c>
      <c r="F15" s="162">
        <f>ROUND(AVERAGE(D15:D17)/E15*100,1)</f>
        <v>15.1</v>
      </c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</row>
    <row r="16" spans="1:19" ht="15.75" customHeight="1">
      <c r="A16" s="159"/>
      <c r="B16" s="98"/>
      <c r="C16" s="160" t="s">
        <v>105</v>
      </c>
      <c r="D16" s="169">
        <v>1765</v>
      </c>
      <c r="E16" s="130"/>
      <c r="F16" s="163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</row>
    <row r="17" spans="1:19" ht="15.75" customHeight="1">
      <c r="A17" s="159"/>
      <c r="B17" s="98"/>
      <c r="C17" s="160" t="s">
        <v>106</v>
      </c>
      <c r="D17" s="169">
        <v>744</v>
      </c>
      <c r="E17" s="130"/>
      <c r="F17" s="165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</row>
    <row r="18" spans="1:19">
      <c r="B18" s="6"/>
      <c r="C18" s="7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spans="1:19">
      <c r="B19" s="6"/>
      <c r="C19" s="7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</sheetData>
  <mergeCells count="22">
    <mergeCell ref="D5:D6"/>
    <mergeCell ref="E5:E6"/>
    <mergeCell ref="F5:F6"/>
    <mergeCell ref="B7:B9"/>
    <mergeCell ref="E15:E17"/>
    <mergeCell ref="E7:E9"/>
    <mergeCell ref="D13:D14"/>
    <mergeCell ref="E13:E14"/>
    <mergeCell ref="F13:F14"/>
    <mergeCell ref="B15:B17"/>
    <mergeCell ref="F7:F9"/>
    <mergeCell ref="F15:F17"/>
    <mergeCell ref="A13:A14"/>
    <mergeCell ref="A15:A17"/>
    <mergeCell ref="B13:B14"/>
    <mergeCell ref="C13:C14"/>
    <mergeCell ref="A2:C2"/>
    <mergeCell ref="A12:C12"/>
    <mergeCell ref="A5:A6"/>
    <mergeCell ref="A7:A9"/>
    <mergeCell ref="B5:B6"/>
    <mergeCell ref="C5:C6"/>
  </mergeCells>
  <phoneticPr fontId="5" type="noConversion"/>
  <printOptions headings="1" gridLines="1"/>
  <pageMargins left="0.70866141732283472" right="0.70866141732283472" top="0.74803149606299213" bottom="0.74803149606299213" header="0.31496062992125984" footer="0.31496062992125984"/>
  <pageSetup scale="75" orientation="portrait" r:id="rId1"/>
  <headerFooter>
    <oddHeader>&amp;C 1632MV7生物分析方法学验证数据</oddHeader>
    <oddFooter>&amp;C第&amp;P页，共&amp;N页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I61"/>
  <sheetViews>
    <sheetView zoomScaleNormal="100" zoomScaleSheetLayoutView="100" workbookViewId="0">
      <selection activeCell="F19" sqref="F19"/>
    </sheetView>
  </sheetViews>
  <sheetFormatPr defaultColWidth="9" defaultRowHeight="15.75" customHeight="1"/>
  <cols>
    <col min="1" max="1" width="34.77734375" style="21" bestFit="1" customWidth="1"/>
    <col min="2" max="5" width="16.5546875" style="21" customWidth="1"/>
    <col min="6" max="6" width="13.44140625" style="21" customWidth="1"/>
    <col min="7" max="7" width="16.33203125" style="21" customWidth="1"/>
    <col min="8" max="223" width="13.44140625" style="21" customWidth="1"/>
    <col min="224" max="16384" width="9" style="21"/>
  </cols>
  <sheetData>
    <row r="2" spans="1:9" s="21" customFormat="1" ht="15.75" customHeight="1">
      <c r="A2" s="138" t="s">
        <v>55</v>
      </c>
    </row>
    <row r="3" spans="1:9" s="21" customFormat="1" ht="15.75" customHeight="1">
      <c r="A3" s="12"/>
    </row>
    <row r="4" spans="1:9" s="21" customFormat="1" ht="15.75" customHeight="1">
      <c r="A4" s="139" t="s">
        <v>128</v>
      </c>
      <c r="B4" s="140"/>
      <c r="C4" s="141"/>
      <c r="D4" s="139" t="s">
        <v>163</v>
      </c>
      <c r="E4" s="141"/>
    </row>
    <row r="5" spans="1:9" s="21" customFormat="1" ht="15.75" customHeight="1">
      <c r="A5" s="97" t="s">
        <v>75</v>
      </c>
      <c r="B5" s="16" t="s">
        <v>7</v>
      </c>
      <c r="C5" s="28" t="s">
        <v>76</v>
      </c>
      <c r="D5" s="142" t="s">
        <v>1</v>
      </c>
      <c r="E5" s="28" t="s">
        <v>76</v>
      </c>
    </row>
    <row r="6" spans="1:9" s="21" customFormat="1" ht="15.75" customHeight="1">
      <c r="A6" s="97"/>
      <c r="B6" s="30">
        <v>0.3</v>
      </c>
      <c r="C6" s="29"/>
      <c r="D6" s="30">
        <v>37.5</v>
      </c>
      <c r="E6" s="29"/>
    </row>
    <row r="7" spans="1:9" s="21" customFormat="1" ht="15.75" customHeight="1">
      <c r="A7" s="97"/>
      <c r="B7" s="32" t="s">
        <v>56</v>
      </c>
      <c r="C7" s="31"/>
      <c r="D7" s="32" t="s">
        <v>56</v>
      </c>
      <c r="E7" s="31"/>
    </row>
    <row r="8" spans="1:9" s="21" customFormat="1" ht="15.75" customHeight="1">
      <c r="A8" s="33" t="s">
        <v>142</v>
      </c>
      <c r="B8" s="16">
        <v>0.28100000000000003</v>
      </c>
      <c r="C8" s="71">
        <f>ROUND((B8-B$6)/B$6*100,1)</f>
        <v>-6.3</v>
      </c>
      <c r="D8" s="143">
        <v>38.201999999999998</v>
      </c>
      <c r="E8" s="71">
        <f>ROUND((D8-D$6)/D$6*100,1)</f>
        <v>1.9</v>
      </c>
    </row>
    <row r="9" spans="1:9" s="21" customFormat="1" ht="15.75" customHeight="1">
      <c r="A9" s="33"/>
      <c r="B9" s="38">
        <v>0.33</v>
      </c>
      <c r="C9" s="71">
        <f>ROUND((B9-B$6)/B$6*100,1)</f>
        <v>10</v>
      </c>
      <c r="D9" s="143">
        <v>37.655000000000001</v>
      </c>
      <c r="E9" s="71">
        <f>ROUND((D9-D$6)/D$6*100,1)</f>
        <v>0.4</v>
      </c>
    </row>
    <row r="10" spans="1:9" s="21" customFormat="1" ht="15.75" customHeight="1">
      <c r="A10" s="33"/>
      <c r="B10" s="16">
        <v>0.311</v>
      </c>
      <c r="C10" s="71">
        <f>ROUND((B10-B$6)/B$6*100,1)</f>
        <v>3.7</v>
      </c>
      <c r="D10" s="143">
        <v>39.729999999999997</v>
      </c>
      <c r="E10" s="71">
        <f>ROUND((D10-D$6)/D$6*100,1)</f>
        <v>5.9</v>
      </c>
      <c r="G10" s="144"/>
      <c r="H10" s="145" t="s">
        <v>64</v>
      </c>
      <c r="I10" s="34" t="s">
        <v>65</v>
      </c>
    </row>
    <row r="11" spans="1:9" s="21" customFormat="1" ht="15.75" customHeight="1">
      <c r="A11" s="9" t="s">
        <v>16</v>
      </c>
      <c r="B11" s="146">
        <f>ROUND(AVERAGE(B8:B10),3)</f>
        <v>0.307</v>
      </c>
      <c r="C11" s="60"/>
      <c r="D11" s="146">
        <f>ROUND(AVERAGE(D8:D10),3)</f>
        <v>38.529000000000003</v>
      </c>
      <c r="E11" s="60"/>
      <c r="G11" s="9" t="s">
        <v>53</v>
      </c>
      <c r="H11" s="147"/>
      <c r="I11" s="148">
        <f>MAX(B13,D13,B22,D22,B31,D31,B40,D40,B49,D49,B58,D58)</f>
        <v>8.1</v>
      </c>
    </row>
    <row r="12" spans="1:9" s="21" customFormat="1" ht="15.75" customHeight="1">
      <c r="A12" s="9" t="s">
        <v>4</v>
      </c>
      <c r="B12" s="9">
        <f>ROUND(STDEV(B8:B10),3)</f>
        <v>2.5000000000000001E-2</v>
      </c>
      <c r="C12" s="61"/>
      <c r="D12" s="146">
        <f>ROUND(STDEV(D8:D10),3)</f>
        <v>1.075</v>
      </c>
      <c r="E12" s="61"/>
      <c r="G12" s="9" t="s">
        <v>52</v>
      </c>
      <c r="H12" s="148">
        <f>MIN(B15,D15,B24,D24,B33,D33,B42,D42,B51,D51,B60,D60)</f>
        <v>2.2999999999999998</v>
      </c>
      <c r="I12" s="148">
        <f>MAX(B15,D15,B24,D24,B33,D33,B42,D42,B51,D51,B60,D60)</f>
        <v>7.3</v>
      </c>
    </row>
    <row r="13" spans="1:9" s="21" customFormat="1" ht="15.75" customHeight="1">
      <c r="A13" s="9" t="s">
        <v>53</v>
      </c>
      <c r="B13" s="71">
        <f>ROUND(B12/B11*100,1)</f>
        <v>8.1</v>
      </c>
      <c r="C13" s="61"/>
      <c r="D13" s="9">
        <f>ROUND(D12/D11*100,1)</f>
        <v>2.8</v>
      </c>
      <c r="E13" s="61"/>
    </row>
    <row r="14" spans="1:9" s="21" customFormat="1" ht="15.75" customHeight="1">
      <c r="A14" s="9" t="s">
        <v>54</v>
      </c>
      <c r="B14" s="71">
        <f>ROUND(B11/B$6*100,1)</f>
        <v>102.3</v>
      </c>
      <c r="C14" s="61"/>
      <c r="D14" s="71">
        <f>ROUND(D11/D$6*100,1)</f>
        <v>102.7</v>
      </c>
      <c r="E14" s="61"/>
      <c r="G14" s="149"/>
    </row>
    <row r="15" spans="1:9" s="21" customFormat="1" ht="15.75" customHeight="1">
      <c r="A15" s="9" t="s">
        <v>52</v>
      </c>
      <c r="B15" s="71">
        <f>ROUND((B11-B$6)/B$6*100,1)</f>
        <v>2.2999999999999998</v>
      </c>
      <c r="C15" s="61"/>
      <c r="D15" s="9">
        <f>ROUND((D11-D$6)/D$6*100,1)</f>
        <v>2.7</v>
      </c>
      <c r="E15" s="61"/>
      <c r="G15" s="149"/>
    </row>
    <row r="16" spans="1:9" s="21" customFormat="1" ht="15.75" customHeight="1">
      <c r="A16" s="9" t="s">
        <v>5</v>
      </c>
      <c r="B16" s="9">
        <v>3</v>
      </c>
      <c r="C16" s="63"/>
      <c r="D16" s="9">
        <v>3</v>
      </c>
      <c r="E16" s="63"/>
      <c r="G16" s="149"/>
    </row>
    <row r="17" spans="1:8" s="21" customFormat="1" ht="15.75" customHeight="1">
      <c r="A17" s="33" t="s">
        <v>144</v>
      </c>
      <c r="B17" s="16">
        <v>0.29199999999999998</v>
      </c>
      <c r="C17" s="71">
        <f>ROUND((B17-B$6)/B$6*100,1)</f>
        <v>-2.7</v>
      </c>
      <c r="D17" s="143">
        <v>39.244</v>
      </c>
      <c r="E17" s="71">
        <f>ROUND((D17-D$6)/D$6*100,1)</f>
        <v>4.7</v>
      </c>
      <c r="G17" s="149"/>
      <c r="H17" s="150"/>
    </row>
    <row r="18" spans="1:8" s="21" customFormat="1" ht="15.75" customHeight="1">
      <c r="A18" s="33"/>
      <c r="B18" s="16">
        <v>0.32100000000000001</v>
      </c>
      <c r="C18" s="71">
        <f>ROUND((B18-B$6)/B$6*100,1)</f>
        <v>7</v>
      </c>
      <c r="D18" s="143">
        <v>39.095999999999997</v>
      </c>
      <c r="E18" s="71">
        <f>ROUND((D18-D$6)/D$6*100,1)</f>
        <v>4.3</v>
      </c>
      <c r="G18" s="149"/>
      <c r="H18" s="150"/>
    </row>
    <row r="19" spans="1:8" s="21" customFormat="1" ht="13.8">
      <c r="A19" s="33"/>
      <c r="B19" s="16">
        <v>0.311</v>
      </c>
      <c r="C19" s="71">
        <f>ROUND((B19-B$6)/B$6*100,1)</f>
        <v>3.7</v>
      </c>
      <c r="D19" s="143">
        <v>40.784999999999997</v>
      </c>
      <c r="E19" s="71">
        <f>ROUND((D19-D$6)/D$6*100,1)</f>
        <v>8.8000000000000007</v>
      </c>
      <c r="G19" s="149"/>
      <c r="H19" s="150"/>
    </row>
    <row r="20" spans="1:8" s="21" customFormat="1" ht="15.75" customHeight="1">
      <c r="A20" s="9" t="s">
        <v>16</v>
      </c>
      <c r="B20" s="146">
        <f>ROUND(AVERAGE(B17:B19),3)</f>
        <v>0.308</v>
      </c>
      <c r="C20" s="60"/>
      <c r="D20" s="146">
        <f>ROUND(AVERAGE(D17:D19),3)</f>
        <v>39.707999999999998</v>
      </c>
      <c r="E20" s="60"/>
      <c r="F20" s="149"/>
      <c r="G20" s="149"/>
      <c r="H20" s="150"/>
    </row>
    <row r="21" spans="1:8" s="21" customFormat="1" ht="15.75" customHeight="1">
      <c r="A21" s="9" t="s">
        <v>4</v>
      </c>
      <c r="B21" s="146">
        <f>ROUND(STDEV(B17:B19),3)</f>
        <v>1.4999999999999999E-2</v>
      </c>
      <c r="C21" s="61"/>
      <c r="D21" s="9">
        <f>ROUND(STDEV(D17:D19),3)</f>
        <v>0.93500000000000005</v>
      </c>
      <c r="E21" s="61"/>
      <c r="F21" s="149"/>
      <c r="G21" s="149"/>
      <c r="H21" s="150"/>
    </row>
    <row r="22" spans="1:8" s="21" customFormat="1" ht="15.75" customHeight="1">
      <c r="A22" s="9" t="s">
        <v>53</v>
      </c>
      <c r="B22" s="71">
        <f>ROUND(B21/B20*100,1)</f>
        <v>4.9000000000000004</v>
      </c>
      <c r="C22" s="61"/>
      <c r="D22" s="9">
        <f>ROUND(D21/D20*100,1)</f>
        <v>2.4</v>
      </c>
      <c r="E22" s="61"/>
      <c r="F22" s="149"/>
      <c r="G22" s="149"/>
      <c r="H22" s="150"/>
    </row>
    <row r="23" spans="1:8" s="21" customFormat="1" ht="15.75" customHeight="1">
      <c r="A23" s="9" t="s">
        <v>54</v>
      </c>
      <c r="B23" s="71">
        <f>ROUND(B20/B$6*100,1)</f>
        <v>102.7</v>
      </c>
      <c r="C23" s="61"/>
      <c r="D23" s="71">
        <f>ROUND(D20/D$6*100,1)</f>
        <v>105.9</v>
      </c>
      <c r="E23" s="61"/>
      <c r="F23" s="149"/>
      <c r="G23" s="149"/>
      <c r="H23" s="150"/>
    </row>
    <row r="24" spans="1:8" s="21" customFormat="1" ht="15.75" customHeight="1">
      <c r="A24" s="9" t="s">
        <v>52</v>
      </c>
      <c r="B24" s="9">
        <f>ROUND((B20-B$6)/B$6*100,1)</f>
        <v>2.7</v>
      </c>
      <c r="C24" s="61"/>
      <c r="D24" s="9">
        <f>ROUND((D20-D$6)/D$6*100,1)</f>
        <v>5.9</v>
      </c>
      <c r="E24" s="61"/>
      <c r="G24" s="149"/>
      <c r="H24" s="150"/>
    </row>
    <row r="25" spans="1:8" s="21" customFormat="1" ht="15.75" customHeight="1">
      <c r="A25" s="9" t="s">
        <v>5</v>
      </c>
      <c r="B25" s="9">
        <v>3</v>
      </c>
      <c r="C25" s="63"/>
      <c r="D25" s="9">
        <v>3</v>
      </c>
      <c r="E25" s="63"/>
      <c r="G25" s="149"/>
      <c r="H25" s="150"/>
    </row>
    <row r="26" spans="1:8" s="21" customFormat="1" ht="15.75" customHeight="1">
      <c r="A26" s="33" t="s">
        <v>145</v>
      </c>
      <c r="B26" s="16">
        <v>0.29199999999999998</v>
      </c>
      <c r="C26" s="71">
        <f>ROUND((B26-B$6)/B$6*100,1)</f>
        <v>-2.7</v>
      </c>
      <c r="D26" s="143">
        <v>38.665999999999997</v>
      </c>
      <c r="E26" s="71">
        <f>ROUND((D26-D$6)/D$6*100,1)</f>
        <v>3.1</v>
      </c>
      <c r="G26" s="149"/>
      <c r="H26" s="150"/>
    </row>
    <row r="27" spans="1:8" s="21" customFormat="1" ht="15.75" customHeight="1">
      <c r="A27" s="33"/>
      <c r="B27" s="16">
        <v>0.33400000000000002</v>
      </c>
      <c r="C27" s="71">
        <f>ROUND((B27-B$6)/B$6*100,1)</f>
        <v>11.3</v>
      </c>
      <c r="D27" s="143">
        <v>39.377000000000002</v>
      </c>
      <c r="E27" s="71">
        <f>ROUND((D27-D$6)/D$6*100,1)</f>
        <v>5</v>
      </c>
      <c r="G27" s="149"/>
      <c r="H27" s="150"/>
    </row>
    <row r="28" spans="1:8" s="21" customFormat="1" ht="15.75" customHeight="1">
      <c r="A28" s="33"/>
      <c r="B28" s="16">
        <v>0.308</v>
      </c>
      <c r="C28" s="71">
        <f>ROUND((B28-B$6)/B$6*100,1)</f>
        <v>2.7</v>
      </c>
      <c r="D28" s="143">
        <v>39.994999999999997</v>
      </c>
      <c r="E28" s="71">
        <f>ROUND((D28-D$6)/D$6*100,1)</f>
        <v>6.7</v>
      </c>
      <c r="G28" s="149"/>
      <c r="H28" s="150"/>
    </row>
    <row r="29" spans="1:8" s="21" customFormat="1" ht="15.75" customHeight="1">
      <c r="A29" s="9" t="s">
        <v>16</v>
      </c>
      <c r="B29" s="146">
        <f>ROUND(AVERAGE(B26:B28),3)</f>
        <v>0.311</v>
      </c>
      <c r="C29" s="60"/>
      <c r="D29" s="146">
        <f>ROUND(AVERAGE(D26:D28),3)</f>
        <v>39.345999999999997</v>
      </c>
      <c r="E29" s="60"/>
      <c r="G29" s="149"/>
      <c r="H29" s="150"/>
    </row>
    <row r="30" spans="1:8" s="21" customFormat="1" ht="15.75" customHeight="1">
      <c r="A30" s="9" t="s">
        <v>4</v>
      </c>
      <c r="B30" s="9">
        <f>ROUND(STDEV(B26:B28),3)</f>
        <v>2.1000000000000001E-2</v>
      </c>
      <c r="C30" s="61"/>
      <c r="D30" s="146">
        <f>ROUND(STDEV(D26:D28),3)</f>
        <v>0.66500000000000004</v>
      </c>
      <c r="E30" s="61"/>
      <c r="G30" s="149"/>
      <c r="H30" s="150"/>
    </row>
    <row r="31" spans="1:8" s="21" customFormat="1" ht="15.75" customHeight="1">
      <c r="A31" s="9" t="s">
        <v>53</v>
      </c>
      <c r="B31" s="71">
        <f>ROUND(B30/B29*100,1)</f>
        <v>6.8</v>
      </c>
      <c r="C31" s="61"/>
      <c r="D31" s="9">
        <f>ROUND(D30/D29*100,1)</f>
        <v>1.7</v>
      </c>
      <c r="E31" s="61"/>
      <c r="G31" s="149"/>
      <c r="H31" s="150"/>
    </row>
    <row r="32" spans="1:8" s="21" customFormat="1" ht="15.75" customHeight="1">
      <c r="A32" s="9" t="s">
        <v>54</v>
      </c>
      <c r="B32" s="71">
        <f>ROUND(B29/B$6*100,1)</f>
        <v>103.7</v>
      </c>
      <c r="C32" s="61"/>
      <c r="D32" s="71">
        <f>ROUND(D29/D$6*100,1)</f>
        <v>104.9</v>
      </c>
      <c r="E32" s="61"/>
      <c r="G32" s="150"/>
      <c r="H32" s="150"/>
    </row>
    <row r="33" spans="1:8" s="21" customFormat="1" ht="15.75" customHeight="1">
      <c r="A33" s="9" t="s">
        <v>52</v>
      </c>
      <c r="B33" s="71">
        <f>ROUND((B29-B$6)/B$6*100,1)</f>
        <v>3.7</v>
      </c>
      <c r="C33" s="61"/>
      <c r="D33" s="9">
        <f>ROUND((D29-D$6)/D$6*100,1)</f>
        <v>4.9000000000000004</v>
      </c>
      <c r="E33" s="61"/>
      <c r="G33" s="150"/>
      <c r="H33" s="150"/>
    </row>
    <row r="34" spans="1:8" s="21" customFormat="1" ht="15.75" customHeight="1">
      <c r="A34" s="9" t="s">
        <v>5</v>
      </c>
      <c r="B34" s="9">
        <v>3</v>
      </c>
      <c r="C34" s="63"/>
      <c r="D34" s="9">
        <v>3</v>
      </c>
      <c r="E34" s="63"/>
      <c r="G34" s="150"/>
      <c r="H34" s="150"/>
    </row>
    <row r="35" spans="1:8" s="21" customFormat="1" ht="15.75" customHeight="1">
      <c r="A35" s="33" t="s">
        <v>148</v>
      </c>
      <c r="B35" s="16">
        <v>0.30399999999999999</v>
      </c>
      <c r="C35" s="35">
        <f>ROUND((B35-B$6)/B$6*100,1)</f>
        <v>1.3</v>
      </c>
      <c r="D35" s="143">
        <v>38.759</v>
      </c>
      <c r="E35" s="35">
        <f>ROUND((D35-D$6)/D$6*100,1)</f>
        <v>3.4</v>
      </c>
    </row>
    <row r="36" spans="1:8" s="21" customFormat="1" ht="15.75" customHeight="1">
      <c r="A36" s="33"/>
      <c r="B36" s="16">
        <v>0.313</v>
      </c>
      <c r="C36" s="35">
        <f>ROUND((B36-B$6)/B$6*100,1)</f>
        <v>4.3</v>
      </c>
      <c r="D36" s="143">
        <v>40.014000000000003</v>
      </c>
      <c r="E36" s="35">
        <f>ROUND((D36-D$6)/D$6*100,1)</f>
        <v>6.7</v>
      </c>
    </row>
    <row r="37" spans="1:8" s="21" customFormat="1" ht="15.75" customHeight="1">
      <c r="A37" s="33"/>
      <c r="B37" s="16">
        <v>0.33500000000000002</v>
      </c>
      <c r="C37" s="35">
        <f>ROUND((B37-B$6)/B$6*100,1)</f>
        <v>11.7</v>
      </c>
      <c r="D37" s="143">
        <v>38.673999999999999</v>
      </c>
      <c r="E37" s="35">
        <f>ROUND((D37-D$6)/D$6*100,1)</f>
        <v>3.1</v>
      </c>
    </row>
    <row r="38" spans="1:8" s="21" customFormat="1" ht="15.75" customHeight="1">
      <c r="A38" s="9" t="s">
        <v>16</v>
      </c>
      <c r="B38" s="38">
        <f>ROUND(AVERAGE(B35:B37),3)</f>
        <v>0.317</v>
      </c>
      <c r="C38" s="37"/>
      <c r="D38" s="38">
        <f>ROUND(AVERAGE(D35:D37),3)</f>
        <v>39.149000000000001</v>
      </c>
      <c r="E38" s="37"/>
    </row>
    <row r="39" spans="1:8" s="21" customFormat="1" ht="15.75" customHeight="1">
      <c r="A39" s="9" t="s">
        <v>4</v>
      </c>
      <c r="B39" s="16">
        <f>ROUND(STDEV(B35:B37),3)</f>
        <v>1.6E-2</v>
      </c>
      <c r="C39" s="39"/>
      <c r="D39" s="16">
        <f>ROUND(STDEV(D35:D37),3)</f>
        <v>0.75</v>
      </c>
      <c r="E39" s="39"/>
    </row>
    <row r="40" spans="1:8" s="21" customFormat="1" ht="15.75" customHeight="1">
      <c r="A40" s="9" t="s">
        <v>53</v>
      </c>
      <c r="B40" s="35">
        <f>ROUND(B39/B38*100,1)</f>
        <v>5</v>
      </c>
      <c r="C40" s="39"/>
      <c r="D40" s="16">
        <f>ROUND(D39/D38*100,1)</f>
        <v>1.9</v>
      </c>
      <c r="E40" s="39"/>
    </row>
    <row r="41" spans="1:8" s="21" customFormat="1" ht="15.75" customHeight="1">
      <c r="A41" s="9" t="s">
        <v>54</v>
      </c>
      <c r="B41" s="35">
        <f>ROUND(B38/B$6*100,1)</f>
        <v>105.7</v>
      </c>
      <c r="C41" s="39"/>
      <c r="D41" s="35">
        <f>ROUND(D38/D$6*100,1)</f>
        <v>104.4</v>
      </c>
      <c r="E41" s="39"/>
    </row>
    <row r="42" spans="1:8" s="21" customFormat="1" ht="15.75" customHeight="1">
      <c r="A42" s="9" t="s">
        <v>52</v>
      </c>
      <c r="B42" s="16">
        <f>ROUND((B38-B$6)/B$6*100,1)</f>
        <v>5.7</v>
      </c>
      <c r="C42" s="39"/>
      <c r="D42" s="16">
        <f>ROUND((D38-D$6)/D$6*100,1)</f>
        <v>4.4000000000000004</v>
      </c>
      <c r="E42" s="39"/>
    </row>
    <row r="43" spans="1:8" s="21" customFormat="1" ht="15.75" customHeight="1">
      <c r="A43" s="9" t="s">
        <v>5</v>
      </c>
      <c r="B43" s="16">
        <v>3</v>
      </c>
      <c r="C43" s="40"/>
      <c r="D43" s="16">
        <v>3</v>
      </c>
      <c r="E43" s="40"/>
    </row>
    <row r="44" spans="1:8" s="21" customFormat="1" ht="15.75" customHeight="1">
      <c r="A44" s="33" t="s">
        <v>161</v>
      </c>
      <c r="B44" s="16">
        <v>0.307</v>
      </c>
      <c r="C44" s="35">
        <f>ROUND((B44-B$6)/B$6*100,1)</f>
        <v>2.2999999999999998</v>
      </c>
      <c r="D44" s="143">
        <v>38.808999999999997</v>
      </c>
      <c r="E44" s="35">
        <f>ROUND((D44-D$6)/D$6*100,1)</f>
        <v>3.5</v>
      </c>
    </row>
    <row r="45" spans="1:8" s="21" customFormat="1" ht="15.75" customHeight="1">
      <c r="A45" s="33"/>
      <c r="B45" s="16">
        <v>0.29799999999999999</v>
      </c>
      <c r="C45" s="35">
        <f>ROUND((B45-B$6)/B$6*100,1)</f>
        <v>-0.7</v>
      </c>
      <c r="D45" s="143">
        <v>37.963999999999999</v>
      </c>
      <c r="E45" s="35">
        <f>ROUND((D45-D$6)/D$6*100,1)</f>
        <v>1.2</v>
      </c>
    </row>
    <row r="46" spans="1:8" s="21" customFormat="1" ht="15.75" customHeight="1">
      <c r="A46" s="33"/>
      <c r="B46" s="38">
        <v>0.33700000000000002</v>
      </c>
      <c r="C46" s="35">
        <f>ROUND((B46-B$6)/B$6*100,1)</f>
        <v>12.3</v>
      </c>
      <c r="D46" s="143">
        <v>40.432000000000002</v>
      </c>
      <c r="E46" s="35">
        <f>ROUND((D46-D$6)/D$6*100,1)</f>
        <v>7.8</v>
      </c>
    </row>
    <row r="47" spans="1:8" s="21" customFormat="1" ht="15.75" customHeight="1">
      <c r="A47" s="9" t="s">
        <v>16</v>
      </c>
      <c r="B47" s="38">
        <f>ROUND(AVERAGE(B44:B46),3)</f>
        <v>0.314</v>
      </c>
      <c r="C47" s="37"/>
      <c r="D47" s="38">
        <f>ROUND(AVERAGE(D44:D46),3)</f>
        <v>39.067999999999998</v>
      </c>
      <c r="E47" s="37"/>
    </row>
    <row r="48" spans="1:8" s="21" customFormat="1" ht="15.75" customHeight="1">
      <c r="A48" s="9" t="s">
        <v>4</v>
      </c>
      <c r="B48" s="16">
        <f>ROUND(STDEV(B44:B46),3)</f>
        <v>0.02</v>
      </c>
      <c r="C48" s="39"/>
      <c r="D48" s="16">
        <f>ROUND(STDEV(D44:D46),3)</f>
        <v>1.254</v>
      </c>
      <c r="E48" s="39"/>
    </row>
    <row r="49" spans="1:5" s="21" customFormat="1" ht="15.75" customHeight="1">
      <c r="A49" s="9" t="s">
        <v>53</v>
      </c>
      <c r="B49" s="35">
        <f>ROUND(B48/B47*100,1)</f>
        <v>6.4</v>
      </c>
      <c r="C49" s="39"/>
      <c r="D49" s="16">
        <f>ROUND(D48/D47*100,1)</f>
        <v>3.2</v>
      </c>
      <c r="E49" s="39"/>
    </row>
    <row r="50" spans="1:5" s="21" customFormat="1" ht="15.75" customHeight="1">
      <c r="A50" s="9" t="s">
        <v>54</v>
      </c>
      <c r="B50" s="35">
        <f>ROUND(B47/B$6*100,1)</f>
        <v>104.7</v>
      </c>
      <c r="C50" s="39"/>
      <c r="D50" s="35">
        <f>ROUND(D47/D$6*100,1)</f>
        <v>104.2</v>
      </c>
      <c r="E50" s="39"/>
    </row>
    <row r="51" spans="1:5" s="21" customFormat="1" ht="15.75" customHeight="1">
      <c r="A51" s="9" t="s">
        <v>52</v>
      </c>
      <c r="B51" s="16">
        <f>ROUND((B47-B$6)/B$6*100,1)</f>
        <v>4.7</v>
      </c>
      <c r="C51" s="39"/>
      <c r="D51" s="16">
        <f>ROUND((D47-D$6)/D$6*100,1)</f>
        <v>4.2</v>
      </c>
      <c r="E51" s="39"/>
    </row>
    <row r="52" spans="1:5" s="21" customFormat="1" ht="15.75" customHeight="1">
      <c r="A52" s="9" t="s">
        <v>5</v>
      </c>
      <c r="B52" s="16">
        <v>3</v>
      </c>
      <c r="C52" s="40"/>
      <c r="D52" s="16">
        <v>3</v>
      </c>
      <c r="E52" s="40"/>
    </row>
    <row r="53" spans="1:5" s="21" customFormat="1" ht="15.75" customHeight="1">
      <c r="A53" s="33" t="s">
        <v>162</v>
      </c>
      <c r="B53" s="143">
        <v>0.30399999999999999</v>
      </c>
      <c r="C53" s="35">
        <f>ROUND((B53-B$6)/B$6*100,1)</f>
        <v>1.3</v>
      </c>
      <c r="D53" s="143">
        <v>38.082999999999998</v>
      </c>
      <c r="E53" s="35">
        <f>ROUND((D53-D$6)/D$6*100,1)</f>
        <v>1.6</v>
      </c>
    </row>
    <row r="54" spans="1:5" s="21" customFormat="1" ht="15.75" customHeight="1">
      <c r="A54" s="33"/>
      <c r="B54" s="143">
        <v>0.314</v>
      </c>
      <c r="C54" s="35">
        <f>ROUND((B54-B$6)/B$6*100,1)</f>
        <v>4.7</v>
      </c>
      <c r="D54" s="143">
        <v>40.243000000000002</v>
      </c>
      <c r="E54" s="35">
        <f>ROUND((D54-D$6)/D$6*100,1)</f>
        <v>7.3</v>
      </c>
    </row>
    <row r="55" spans="1:5" s="21" customFormat="1" ht="15.75" customHeight="1">
      <c r="A55" s="33"/>
      <c r="B55" s="143">
        <v>0.34899999999999998</v>
      </c>
      <c r="C55" s="35">
        <f>ROUND((B55-B$6)/B$6*100,1)</f>
        <v>16.3</v>
      </c>
      <c r="D55" s="143">
        <v>39.116999999999997</v>
      </c>
      <c r="E55" s="35">
        <f>ROUND((D55-D$6)/D$6*100,1)</f>
        <v>4.3</v>
      </c>
    </row>
    <row r="56" spans="1:5" s="21" customFormat="1" ht="15.75" customHeight="1">
      <c r="A56" s="9" t="s">
        <v>16</v>
      </c>
      <c r="B56" s="38">
        <f>ROUND(AVERAGE(B53:B55),3)</f>
        <v>0.32200000000000001</v>
      </c>
      <c r="C56" s="37"/>
      <c r="D56" s="38">
        <f>ROUND(AVERAGE(D53:D55),3)</f>
        <v>39.148000000000003</v>
      </c>
      <c r="E56" s="37"/>
    </row>
    <row r="57" spans="1:5" s="21" customFormat="1" ht="15.75" customHeight="1">
      <c r="A57" s="9" t="s">
        <v>4</v>
      </c>
      <c r="B57" s="16">
        <f>ROUND(STDEV(B53:B55),3)</f>
        <v>2.4E-2</v>
      </c>
      <c r="C57" s="39"/>
      <c r="D57" s="16">
        <f>ROUND(STDEV(D53:D55),3)</f>
        <v>1.08</v>
      </c>
      <c r="E57" s="39"/>
    </row>
    <row r="58" spans="1:5" s="21" customFormat="1" ht="15.75" customHeight="1">
      <c r="A58" s="9" t="s">
        <v>53</v>
      </c>
      <c r="B58" s="35">
        <f>ROUND(B57/B56*100,1)</f>
        <v>7.5</v>
      </c>
      <c r="C58" s="39"/>
      <c r="D58" s="35">
        <f>ROUND(D57/D56*100,1)</f>
        <v>2.8</v>
      </c>
      <c r="E58" s="39"/>
    </row>
    <row r="59" spans="1:5" s="21" customFormat="1" ht="15.75" customHeight="1">
      <c r="A59" s="9" t="s">
        <v>54</v>
      </c>
      <c r="B59" s="35">
        <f>ROUND(B56/B$6*100,1)</f>
        <v>107.3</v>
      </c>
      <c r="C59" s="39"/>
      <c r="D59" s="35">
        <f>ROUND(D56/D$6*100,1)</f>
        <v>104.4</v>
      </c>
      <c r="E59" s="39"/>
    </row>
    <row r="60" spans="1:5" s="21" customFormat="1" ht="15.75" customHeight="1">
      <c r="A60" s="9" t="s">
        <v>52</v>
      </c>
      <c r="B60" s="16">
        <f>ROUND((B56-B$6)/B$6*100,1)</f>
        <v>7.3</v>
      </c>
      <c r="C60" s="39"/>
      <c r="D60" s="35">
        <f>ROUND((D56-D$6)/D$6*100,1)</f>
        <v>4.4000000000000004</v>
      </c>
      <c r="E60" s="39"/>
    </row>
    <row r="61" spans="1:5" s="21" customFormat="1" ht="15.75" customHeight="1">
      <c r="A61" s="9" t="s">
        <v>5</v>
      </c>
      <c r="B61" s="16">
        <v>3</v>
      </c>
      <c r="C61" s="40"/>
      <c r="D61" s="16">
        <v>3</v>
      </c>
      <c r="E61" s="40"/>
    </row>
  </sheetData>
  <mergeCells count="23">
    <mergeCell ref="A8:A10"/>
    <mergeCell ref="A4:C4"/>
    <mergeCell ref="D4:E4"/>
    <mergeCell ref="A5:A7"/>
    <mergeCell ref="C5:C7"/>
    <mergeCell ref="E5:E7"/>
    <mergeCell ref="A44:A46"/>
    <mergeCell ref="C11:C16"/>
    <mergeCell ref="E11:E16"/>
    <mergeCell ref="A17:A19"/>
    <mergeCell ref="C20:C25"/>
    <mergeCell ref="E20:E25"/>
    <mergeCell ref="A26:A28"/>
    <mergeCell ref="C29:C34"/>
    <mergeCell ref="E29:E34"/>
    <mergeCell ref="A35:A37"/>
    <mergeCell ref="C38:C43"/>
    <mergeCell ref="E38:E43"/>
    <mergeCell ref="C47:C52"/>
    <mergeCell ref="E47:E52"/>
    <mergeCell ref="A53:A55"/>
    <mergeCell ref="C56:C61"/>
    <mergeCell ref="E56:E61"/>
  </mergeCells>
  <phoneticPr fontId="20" type="noConversion"/>
  <printOptions headings="1" gridLines="1"/>
  <pageMargins left="0.70866141732283472" right="0.70866141732283472" top="0.74803149606299213" bottom="0.74803149606299213" header="0.31496062992125984" footer="0.31496062992125984"/>
  <pageSetup scale="57" orientation="landscape" r:id="rId1"/>
  <headerFooter>
    <oddHeader>&amp;CSSC23009MV01验证数据汇总</oddHeader>
    <oddFooter>&amp;C第&amp;P页，共&amp;N页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DDDE8-DCD9-4513-9262-1CB87C9D7BFF}">
  <dimension ref="A2:P55"/>
  <sheetViews>
    <sheetView workbookViewId="0">
      <selection sqref="A1:XFD1048576"/>
    </sheetView>
  </sheetViews>
  <sheetFormatPr defaultColWidth="8.77734375" defaultRowHeight="13.8"/>
  <cols>
    <col min="1" max="1" width="18.109375" style="99" customWidth="1"/>
    <col min="2" max="2" width="9.77734375" style="99" customWidth="1"/>
    <col min="3" max="10" width="10.77734375" style="99" customWidth="1"/>
    <col min="11" max="11" width="12.33203125" style="99" customWidth="1"/>
    <col min="12" max="12" width="12" style="99" customWidth="1"/>
    <col min="13" max="16384" width="8.77734375" style="99"/>
  </cols>
  <sheetData>
    <row r="2" spans="1:16">
      <c r="A2" s="132" t="s">
        <v>31</v>
      </c>
      <c r="B2" s="132"/>
      <c r="C2" s="132"/>
      <c r="D2" s="132"/>
      <c r="E2" s="132"/>
    </row>
    <row r="3" spans="1:16">
      <c r="A3" s="73"/>
      <c r="B3" s="73"/>
      <c r="C3" s="73"/>
      <c r="D3" s="73"/>
      <c r="E3" s="73"/>
    </row>
    <row r="4" spans="1:16" ht="14.25" customHeight="1">
      <c r="A4" s="42" t="s">
        <v>27</v>
      </c>
      <c r="B4" s="42" t="s">
        <v>77</v>
      </c>
      <c r="C4" s="83" t="s">
        <v>0</v>
      </c>
      <c r="D4" s="42" t="s">
        <v>52</v>
      </c>
      <c r="E4" s="9" t="s">
        <v>3</v>
      </c>
      <c r="F4" s="42" t="s">
        <v>52</v>
      </c>
      <c r="G4" s="9" t="s">
        <v>51</v>
      </c>
      <c r="H4" s="42" t="s">
        <v>52</v>
      </c>
      <c r="I4" s="9" t="s">
        <v>2</v>
      </c>
      <c r="J4" s="42" t="s">
        <v>52</v>
      </c>
      <c r="K4" s="9" t="s">
        <v>1</v>
      </c>
      <c r="L4" s="42" t="s">
        <v>52</v>
      </c>
      <c r="M4" s="133"/>
      <c r="N4" s="133"/>
      <c r="O4" s="133"/>
      <c r="P4" s="133"/>
    </row>
    <row r="5" spans="1:16" ht="14.25" customHeight="1">
      <c r="A5" s="45"/>
      <c r="B5" s="45"/>
      <c r="C5" s="68">
        <v>0.1</v>
      </c>
      <c r="D5" s="45"/>
      <c r="E5" s="46">
        <v>0.3</v>
      </c>
      <c r="F5" s="45"/>
      <c r="G5" s="46">
        <v>2.2000000000000002</v>
      </c>
      <c r="H5" s="45"/>
      <c r="I5" s="46">
        <v>15</v>
      </c>
      <c r="J5" s="45"/>
      <c r="K5" s="46">
        <v>37.5</v>
      </c>
      <c r="L5" s="45"/>
      <c r="M5" s="133"/>
      <c r="N5" s="133"/>
      <c r="O5" s="133"/>
      <c r="P5" s="133"/>
    </row>
    <row r="6" spans="1:16" ht="14.25" customHeight="1">
      <c r="A6" s="48"/>
      <c r="B6" s="48"/>
      <c r="C6" s="49" t="s">
        <v>6</v>
      </c>
      <c r="D6" s="48"/>
      <c r="E6" s="49" t="s">
        <v>6</v>
      </c>
      <c r="F6" s="48"/>
      <c r="G6" s="49" t="s">
        <v>6</v>
      </c>
      <c r="H6" s="48"/>
      <c r="I6" s="49" t="s">
        <v>6</v>
      </c>
      <c r="J6" s="48"/>
      <c r="K6" s="49" t="s">
        <v>6</v>
      </c>
      <c r="L6" s="48"/>
      <c r="M6" s="133"/>
      <c r="N6" s="133"/>
      <c r="O6" s="133"/>
      <c r="P6" s="133"/>
    </row>
    <row r="7" spans="1:16">
      <c r="A7" s="70">
        <v>45902</v>
      </c>
      <c r="B7" s="52">
        <v>1</v>
      </c>
      <c r="C7" s="11">
        <v>0.104</v>
      </c>
      <c r="D7" s="53">
        <v>4</v>
      </c>
      <c r="E7" s="11">
        <v>0.28599999999999998</v>
      </c>
      <c r="F7" s="53">
        <v>-4.7</v>
      </c>
      <c r="G7" s="11">
        <v>2.3410000000000002</v>
      </c>
      <c r="H7" s="53">
        <v>6.4</v>
      </c>
      <c r="I7" s="134">
        <v>14.646000000000001</v>
      </c>
      <c r="J7" s="11">
        <v>-2.4</v>
      </c>
      <c r="K7" s="134">
        <v>39.896000000000001</v>
      </c>
      <c r="L7" s="11">
        <v>6.4</v>
      </c>
      <c r="M7" s="133"/>
      <c r="N7" s="133"/>
      <c r="O7" s="133"/>
      <c r="P7" s="133"/>
    </row>
    <row r="8" spans="1:16">
      <c r="A8" s="70"/>
      <c r="B8" s="55"/>
      <c r="C8" s="11">
        <v>8.7999999999999995E-2</v>
      </c>
      <c r="D8" s="53">
        <v>-12</v>
      </c>
      <c r="E8" s="11">
        <v>0.33400000000000002</v>
      </c>
      <c r="F8" s="53">
        <v>11.3</v>
      </c>
      <c r="G8" s="11">
        <v>2.371</v>
      </c>
      <c r="H8" s="53">
        <v>7.8</v>
      </c>
      <c r="I8" s="134">
        <v>15.263999999999999</v>
      </c>
      <c r="J8" s="11">
        <v>1.8</v>
      </c>
      <c r="K8" s="134">
        <v>37.697000000000003</v>
      </c>
      <c r="L8" s="11">
        <v>0.5</v>
      </c>
      <c r="M8" s="133"/>
      <c r="N8" s="133"/>
      <c r="O8" s="133"/>
      <c r="P8" s="133"/>
    </row>
    <row r="9" spans="1:16">
      <c r="A9" s="70"/>
      <c r="B9" s="55"/>
      <c r="C9" s="11">
        <v>9.5000000000000001E-2</v>
      </c>
      <c r="D9" s="53">
        <v>-5</v>
      </c>
      <c r="E9" s="11">
        <v>0.314</v>
      </c>
      <c r="F9" s="53">
        <v>4.7</v>
      </c>
      <c r="G9" s="11" t="s">
        <v>169</v>
      </c>
      <c r="H9" s="53">
        <v>16.600000000000001</v>
      </c>
      <c r="I9" s="134">
        <v>15.271000000000001</v>
      </c>
      <c r="J9" s="11">
        <v>1.8</v>
      </c>
      <c r="K9" s="134">
        <v>39.07</v>
      </c>
      <c r="L9" s="11">
        <v>4.2</v>
      </c>
      <c r="M9" s="133"/>
      <c r="N9" s="133"/>
      <c r="O9" s="133"/>
      <c r="P9" s="133"/>
    </row>
    <row r="10" spans="1:16">
      <c r="A10" s="70"/>
      <c r="B10" s="55"/>
      <c r="C10" s="11">
        <v>9.7000000000000003E-2</v>
      </c>
      <c r="D10" s="53">
        <v>-3</v>
      </c>
      <c r="E10" s="11">
        <v>0.33900000000000002</v>
      </c>
      <c r="F10" s="53">
        <v>13</v>
      </c>
      <c r="G10" s="11">
        <v>2.339</v>
      </c>
      <c r="H10" s="53">
        <v>6.3</v>
      </c>
      <c r="I10" s="134">
        <v>15.321</v>
      </c>
      <c r="J10" s="11">
        <v>2.1</v>
      </c>
      <c r="K10" s="134">
        <v>39.874000000000002</v>
      </c>
      <c r="L10" s="11">
        <v>6.3</v>
      </c>
      <c r="M10" s="133"/>
      <c r="N10" s="133"/>
      <c r="O10" s="133"/>
      <c r="P10" s="133"/>
    </row>
    <row r="11" spans="1:16">
      <c r="A11" s="70"/>
      <c r="B11" s="55"/>
      <c r="C11" s="11">
        <v>9.8000000000000004E-2</v>
      </c>
      <c r="D11" s="53">
        <v>-2</v>
      </c>
      <c r="E11" s="11">
        <v>0.31900000000000001</v>
      </c>
      <c r="F11" s="53">
        <v>6.3</v>
      </c>
      <c r="G11" s="11">
        <v>2.3540000000000001</v>
      </c>
      <c r="H11" s="53">
        <v>7</v>
      </c>
      <c r="I11" s="134">
        <v>16.308</v>
      </c>
      <c r="J11" s="11">
        <v>8.6999999999999993</v>
      </c>
      <c r="K11" s="134">
        <v>41.131999999999998</v>
      </c>
      <c r="L11" s="11">
        <v>9.6999999999999993</v>
      </c>
      <c r="M11" s="133"/>
      <c r="N11" s="133"/>
      <c r="O11" s="133"/>
      <c r="P11" s="133"/>
    </row>
    <row r="12" spans="1:16">
      <c r="A12" s="70"/>
      <c r="B12" s="58"/>
      <c r="C12" s="11">
        <v>0.104</v>
      </c>
      <c r="D12" s="53">
        <v>4</v>
      </c>
      <c r="E12" s="11">
        <v>0.27500000000000002</v>
      </c>
      <c r="F12" s="53">
        <v>-8.3000000000000007</v>
      </c>
      <c r="G12" s="11">
        <v>2.4039999999999999</v>
      </c>
      <c r="H12" s="53">
        <v>9.3000000000000007</v>
      </c>
      <c r="I12" s="134">
        <v>15.491</v>
      </c>
      <c r="J12" s="11">
        <v>3.3</v>
      </c>
      <c r="K12" s="134">
        <v>41.524000000000001</v>
      </c>
      <c r="L12" s="11">
        <v>10.7</v>
      </c>
      <c r="M12" s="133"/>
      <c r="N12" s="133"/>
      <c r="O12" s="133"/>
      <c r="P12" s="133"/>
    </row>
    <row r="13" spans="1:16" ht="13.5" customHeight="1">
      <c r="A13" s="9" t="s">
        <v>78</v>
      </c>
      <c r="B13" s="60"/>
      <c r="C13" s="11">
        <v>9.8000000000000004E-2</v>
      </c>
      <c r="D13" s="60"/>
      <c r="E13" s="11">
        <v>0.311</v>
      </c>
      <c r="F13" s="60"/>
      <c r="G13" s="11">
        <v>2.3959999999999999</v>
      </c>
      <c r="H13" s="60"/>
      <c r="I13" s="11">
        <v>15.384</v>
      </c>
      <c r="J13" s="60"/>
      <c r="K13" s="11">
        <v>39.866</v>
      </c>
      <c r="L13" s="60"/>
      <c r="M13" s="133"/>
      <c r="N13" s="133"/>
      <c r="O13" s="133"/>
      <c r="P13" s="133"/>
    </row>
    <row r="14" spans="1:16" ht="13.5" customHeight="1">
      <c r="A14" s="9" t="s">
        <v>79</v>
      </c>
      <c r="B14" s="61"/>
      <c r="C14" s="11">
        <v>6.0000000000000001E-3</v>
      </c>
      <c r="D14" s="61"/>
      <c r="E14" s="11">
        <v>2.5999999999999999E-2</v>
      </c>
      <c r="F14" s="61"/>
      <c r="G14" s="11">
        <v>8.6999999999999994E-2</v>
      </c>
      <c r="H14" s="61"/>
      <c r="I14" s="11">
        <v>0.53700000000000003</v>
      </c>
      <c r="J14" s="61"/>
      <c r="K14" s="11">
        <v>1.3919999999999999</v>
      </c>
      <c r="L14" s="61"/>
      <c r="M14" s="133"/>
      <c r="N14" s="133"/>
      <c r="O14" s="133"/>
      <c r="P14" s="133"/>
    </row>
    <row r="15" spans="1:16" ht="13.5" customHeight="1">
      <c r="A15" s="9" t="s">
        <v>80</v>
      </c>
      <c r="B15" s="61"/>
      <c r="C15" s="11">
        <v>6.1</v>
      </c>
      <c r="D15" s="61"/>
      <c r="E15" s="11">
        <v>8.4</v>
      </c>
      <c r="F15" s="61"/>
      <c r="G15" s="11">
        <v>3.6</v>
      </c>
      <c r="H15" s="61"/>
      <c r="I15" s="11">
        <v>3.5</v>
      </c>
      <c r="J15" s="61"/>
      <c r="K15" s="11">
        <v>3.5</v>
      </c>
      <c r="L15" s="61"/>
      <c r="M15" s="133"/>
      <c r="N15" s="133"/>
      <c r="O15" s="133"/>
      <c r="P15" s="133"/>
    </row>
    <row r="16" spans="1:16" ht="13.5" customHeight="1">
      <c r="A16" s="9" t="s">
        <v>81</v>
      </c>
      <c r="B16" s="61"/>
      <c r="C16" s="53">
        <v>-2</v>
      </c>
      <c r="D16" s="61"/>
      <c r="E16" s="53">
        <v>3.7</v>
      </c>
      <c r="F16" s="61"/>
      <c r="G16" s="53">
        <v>8.9</v>
      </c>
      <c r="H16" s="61"/>
      <c r="I16" s="53">
        <v>2.6</v>
      </c>
      <c r="J16" s="61"/>
      <c r="K16" s="11">
        <v>6.3</v>
      </c>
      <c r="L16" s="61"/>
      <c r="M16" s="133"/>
      <c r="N16" s="133"/>
      <c r="O16" s="133"/>
      <c r="P16" s="133"/>
    </row>
    <row r="17" spans="1:16" ht="13.5" customHeight="1">
      <c r="A17" s="9" t="s">
        <v>5</v>
      </c>
      <c r="B17" s="63"/>
      <c r="C17" s="62">
        <v>6</v>
      </c>
      <c r="D17" s="63"/>
      <c r="E17" s="62">
        <v>6</v>
      </c>
      <c r="F17" s="63"/>
      <c r="G17" s="62">
        <v>6</v>
      </c>
      <c r="H17" s="63"/>
      <c r="I17" s="62">
        <v>6</v>
      </c>
      <c r="J17" s="63"/>
      <c r="K17" s="62">
        <v>6</v>
      </c>
      <c r="L17" s="63"/>
      <c r="M17" s="133"/>
      <c r="N17" s="133"/>
      <c r="O17" s="133"/>
      <c r="P17" s="133"/>
    </row>
    <row r="18" spans="1:16" ht="14.4">
      <c r="A18" s="70">
        <v>45903</v>
      </c>
      <c r="B18" s="42">
        <v>2</v>
      </c>
      <c r="C18" s="134">
        <v>8.8999999999999996E-2</v>
      </c>
      <c r="D18" s="53">
        <v>-11</v>
      </c>
      <c r="E18" s="134">
        <v>0.30299999999999999</v>
      </c>
      <c r="F18" s="53">
        <v>1</v>
      </c>
      <c r="G18" s="134">
        <v>2.101</v>
      </c>
      <c r="H18" s="11">
        <v>-4.5</v>
      </c>
      <c r="I18" s="134">
        <v>15.786</v>
      </c>
      <c r="J18" s="11">
        <v>5.2</v>
      </c>
      <c r="K18" s="134">
        <v>39.539000000000001</v>
      </c>
      <c r="L18" s="11">
        <v>5.4</v>
      </c>
      <c r="M18" s="133"/>
      <c r="N18" s="99" t="s">
        <v>49</v>
      </c>
    </row>
    <row r="19" spans="1:16" ht="14.4">
      <c r="A19" s="70"/>
      <c r="B19" s="45"/>
      <c r="C19" s="134">
        <v>9.8000000000000004E-2</v>
      </c>
      <c r="D19" s="53">
        <v>-2</v>
      </c>
      <c r="E19" s="134">
        <v>0.33800000000000002</v>
      </c>
      <c r="F19" s="53">
        <v>12.7</v>
      </c>
      <c r="G19" s="134">
        <v>2.1709999999999998</v>
      </c>
      <c r="H19" s="11">
        <v>-1.3</v>
      </c>
      <c r="I19" s="134">
        <v>14.823</v>
      </c>
      <c r="J19" s="11">
        <v>-1.2</v>
      </c>
      <c r="K19" s="134">
        <v>39.277000000000001</v>
      </c>
      <c r="L19" s="11">
        <v>4.7</v>
      </c>
      <c r="M19" s="133"/>
      <c r="N19" s="135" t="s">
        <v>45</v>
      </c>
      <c r="O19" s="99" t="s">
        <v>43</v>
      </c>
      <c r="P19" s="99" t="s">
        <v>44</v>
      </c>
    </row>
    <row r="20" spans="1:16" ht="14.4">
      <c r="A20" s="70"/>
      <c r="B20" s="45"/>
      <c r="C20" s="134">
        <v>0.113</v>
      </c>
      <c r="D20" s="53">
        <v>13</v>
      </c>
      <c r="E20" s="134">
        <v>0.33700000000000002</v>
      </c>
      <c r="F20" s="53">
        <v>12.3</v>
      </c>
      <c r="G20" s="134">
        <v>2.1469999999999998</v>
      </c>
      <c r="H20" s="11">
        <v>-2.4</v>
      </c>
      <c r="I20" s="134">
        <v>14.816000000000001</v>
      </c>
      <c r="J20" s="11">
        <v>-1.2</v>
      </c>
      <c r="K20" s="134">
        <v>40.439</v>
      </c>
      <c r="L20" s="11">
        <v>7.8</v>
      </c>
      <c r="M20" s="133"/>
      <c r="N20" s="135" t="s">
        <v>47</v>
      </c>
      <c r="O20" s="136">
        <f>MAX(E16,G16,I16,K16,E27,G27,I27,K27,E38,G38,I38,K38)</f>
        <v>11.2</v>
      </c>
      <c r="P20" s="136">
        <f>MIN(E16,G16,I16,K16,E27,G27,I27,K27,E38,G38,I38,K38)</f>
        <v>0.2</v>
      </c>
    </row>
    <row r="21" spans="1:16">
      <c r="A21" s="70"/>
      <c r="B21" s="45"/>
      <c r="C21" s="134">
        <v>9.9000000000000005E-2</v>
      </c>
      <c r="D21" s="53">
        <v>-1</v>
      </c>
      <c r="E21" s="134">
        <v>0.29599999999999999</v>
      </c>
      <c r="F21" s="53">
        <v>-1.3</v>
      </c>
      <c r="G21" s="134">
        <v>2.3029999999999999</v>
      </c>
      <c r="H21" s="11">
        <v>4.7</v>
      </c>
      <c r="I21" s="134">
        <v>14.045999999999999</v>
      </c>
      <c r="J21" s="11">
        <v>-6.4</v>
      </c>
      <c r="K21" s="134">
        <v>40.179000000000002</v>
      </c>
      <c r="L21" s="11">
        <v>7.1</v>
      </c>
      <c r="M21" s="133"/>
      <c r="N21" s="99" t="s">
        <v>48</v>
      </c>
      <c r="O21" s="136">
        <f>MAX(E15,G15,I15,K15,E26,G26,I26,K26,E37,G37,I37,K37)</f>
        <v>8.4</v>
      </c>
      <c r="P21" s="136">
        <f>MIN(E15,G15,I15,K15,E26,G26,I26,K26,E37,G37,I37,K37)</f>
        <v>2.7</v>
      </c>
    </row>
    <row r="22" spans="1:16">
      <c r="A22" s="70"/>
      <c r="B22" s="45"/>
      <c r="C22" s="134">
        <v>0.10100000000000001</v>
      </c>
      <c r="D22" s="53">
        <v>1</v>
      </c>
      <c r="E22" s="134">
        <v>0.29799999999999999</v>
      </c>
      <c r="F22" s="53">
        <v>-0.7</v>
      </c>
      <c r="G22" s="134">
        <v>2.234</v>
      </c>
      <c r="H22" s="11">
        <v>1.5</v>
      </c>
      <c r="I22" s="134">
        <v>15.718999999999999</v>
      </c>
      <c r="J22" s="11">
        <v>4.8</v>
      </c>
      <c r="K22" s="134">
        <v>37.668999999999997</v>
      </c>
      <c r="L22" s="11">
        <v>0.5</v>
      </c>
      <c r="M22" s="133"/>
    </row>
    <row r="23" spans="1:16" ht="14.4">
      <c r="A23" s="70"/>
      <c r="B23" s="48"/>
      <c r="C23" s="134">
        <v>9.2999999999999999E-2</v>
      </c>
      <c r="D23" s="53">
        <v>-7</v>
      </c>
      <c r="E23" s="134">
        <v>0.315</v>
      </c>
      <c r="F23" s="53">
        <v>5</v>
      </c>
      <c r="G23" s="134">
        <v>2.2690000000000001</v>
      </c>
      <c r="H23" s="11">
        <v>3.1</v>
      </c>
      <c r="I23" s="134">
        <v>15.021000000000001</v>
      </c>
      <c r="J23" s="11">
        <v>0.1</v>
      </c>
      <c r="K23" s="134">
        <v>42.08</v>
      </c>
      <c r="L23" s="11">
        <v>12.2</v>
      </c>
      <c r="M23" s="133"/>
      <c r="N23" s="135" t="s">
        <v>46</v>
      </c>
      <c r="O23" s="99" t="s">
        <v>43</v>
      </c>
      <c r="P23" s="99" t="s">
        <v>44</v>
      </c>
    </row>
    <row r="24" spans="1:16" ht="13.5" customHeight="1">
      <c r="A24" s="9" t="s">
        <v>78</v>
      </c>
      <c r="B24" s="60"/>
      <c r="C24" s="11">
        <v>9.9000000000000005E-2</v>
      </c>
      <c r="D24" s="60"/>
      <c r="E24" s="11">
        <v>0.315</v>
      </c>
      <c r="F24" s="60"/>
      <c r="G24" s="11">
        <v>2.2040000000000002</v>
      </c>
      <c r="H24" s="60"/>
      <c r="I24" s="11">
        <v>15.035</v>
      </c>
      <c r="J24" s="60"/>
      <c r="K24" s="11">
        <v>39.863999999999997</v>
      </c>
      <c r="L24" s="60"/>
      <c r="M24" s="133"/>
      <c r="N24" s="135" t="s">
        <v>47</v>
      </c>
      <c r="O24" s="136">
        <f>MAX(E43,G43,I43,K43)</f>
        <v>7.8</v>
      </c>
      <c r="P24" s="136">
        <f>MIN(E43,G43,I43,K43)</f>
        <v>3.1</v>
      </c>
    </row>
    <row r="25" spans="1:16" ht="13.5" customHeight="1">
      <c r="A25" s="9" t="s">
        <v>79</v>
      </c>
      <c r="B25" s="61"/>
      <c r="C25" s="11">
        <v>8.0000000000000002E-3</v>
      </c>
      <c r="D25" s="61"/>
      <c r="E25" s="11">
        <v>1.9E-2</v>
      </c>
      <c r="F25" s="61"/>
      <c r="G25" s="11">
        <v>7.6999999999999999E-2</v>
      </c>
      <c r="H25" s="61"/>
      <c r="I25" s="11">
        <v>0.64900000000000002</v>
      </c>
      <c r="J25" s="61"/>
      <c r="K25" s="11">
        <v>1.4570000000000001</v>
      </c>
      <c r="L25" s="61"/>
      <c r="M25" s="133"/>
      <c r="N25" s="99" t="s">
        <v>48</v>
      </c>
      <c r="O25" s="136">
        <f>MAX(E42,G42,I42,K42)</f>
        <v>6</v>
      </c>
      <c r="P25" s="136">
        <f>MIN(E42,G42,I42,K42)</f>
        <v>3.8</v>
      </c>
    </row>
    <row r="26" spans="1:16" ht="13.5" customHeight="1">
      <c r="A26" s="9" t="s">
        <v>80</v>
      </c>
      <c r="B26" s="61"/>
      <c r="C26" s="11">
        <v>8.1</v>
      </c>
      <c r="D26" s="61"/>
      <c r="E26" s="53">
        <v>6</v>
      </c>
      <c r="F26" s="61"/>
      <c r="G26" s="11">
        <v>3.5</v>
      </c>
      <c r="H26" s="61"/>
      <c r="I26" s="11">
        <v>4.3</v>
      </c>
      <c r="J26" s="61"/>
      <c r="K26" s="11">
        <v>3.7</v>
      </c>
      <c r="L26" s="61"/>
      <c r="M26" s="133"/>
    </row>
    <row r="27" spans="1:16" ht="13.5" customHeight="1">
      <c r="A27" s="9" t="s">
        <v>81</v>
      </c>
      <c r="B27" s="61"/>
      <c r="C27" s="53">
        <v>-1</v>
      </c>
      <c r="D27" s="61"/>
      <c r="E27" s="53">
        <v>5</v>
      </c>
      <c r="F27" s="61"/>
      <c r="G27" s="11">
        <v>0.2</v>
      </c>
      <c r="H27" s="61"/>
      <c r="I27" s="11">
        <v>0.2</v>
      </c>
      <c r="J27" s="61"/>
      <c r="K27" s="11">
        <v>6.3</v>
      </c>
      <c r="L27" s="61"/>
      <c r="M27" s="133"/>
      <c r="N27" s="99" t="s">
        <v>50</v>
      </c>
    </row>
    <row r="28" spans="1:16" ht="13.5" customHeight="1">
      <c r="A28" s="9" t="s">
        <v>5</v>
      </c>
      <c r="B28" s="63"/>
      <c r="C28" s="62">
        <v>6</v>
      </c>
      <c r="D28" s="63"/>
      <c r="E28" s="62">
        <v>6</v>
      </c>
      <c r="F28" s="63"/>
      <c r="G28" s="62">
        <v>6</v>
      </c>
      <c r="H28" s="63"/>
      <c r="I28" s="62">
        <v>6</v>
      </c>
      <c r="J28" s="63"/>
      <c r="K28" s="62">
        <v>6</v>
      </c>
      <c r="L28" s="63"/>
      <c r="M28" s="133"/>
      <c r="N28" s="135" t="s">
        <v>45</v>
      </c>
      <c r="O28" s="99" t="s">
        <v>43</v>
      </c>
      <c r="P28" s="99" t="s">
        <v>44</v>
      </c>
    </row>
    <row r="29" spans="1:16" ht="14.4">
      <c r="A29" s="70">
        <v>45905</v>
      </c>
      <c r="B29" s="42">
        <v>3</v>
      </c>
      <c r="C29" s="11" t="s">
        <v>167</v>
      </c>
      <c r="D29" s="53">
        <v>25</v>
      </c>
      <c r="E29" s="11">
        <v>0.311</v>
      </c>
      <c r="F29" s="53">
        <v>3.7</v>
      </c>
      <c r="G29" s="11" t="s">
        <v>179</v>
      </c>
      <c r="H29" s="11">
        <v>18.8</v>
      </c>
      <c r="I29" s="134">
        <v>16.38</v>
      </c>
      <c r="J29" s="11">
        <v>9.1999999999999993</v>
      </c>
      <c r="K29" s="134">
        <v>41.570999999999998</v>
      </c>
      <c r="L29" s="11">
        <v>10.9</v>
      </c>
      <c r="M29" s="133"/>
      <c r="N29" s="135" t="s">
        <v>47</v>
      </c>
      <c r="O29" s="136">
        <f>MAX(C16,C27,C38)</f>
        <v>15</v>
      </c>
      <c r="P29" s="136">
        <f>MIN(C16,C27,C38)</f>
        <v>-2</v>
      </c>
    </row>
    <row r="30" spans="1:16">
      <c r="A30" s="70"/>
      <c r="B30" s="45"/>
      <c r="C30" s="11" t="s">
        <v>168</v>
      </c>
      <c r="D30" s="53">
        <v>21</v>
      </c>
      <c r="E30" s="11">
        <v>0.34200000000000003</v>
      </c>
      <c r="F30" s="53">
        <v>14</v>
      </c>
      <c r="G30" s="11">
        <v>2.3340000000000001</v>
      </c>
      <c r="H30" s="11">
        <v>6.1</v>
      </c>
      <c r="I30" s="134">
        <v>15.74</v>
      </c>
      <c r="J30" s="11">
        <v>4.9000000000000004</v>
      </c>
      <c r="K30" s="134">
        <v>40.613999999999997</v>
      </c>
      <c r="L30" s="11">
        <v>8.3000000000000007</v>
      </c>
      <c r="M30" s="133"/>
      <c r="N30" s="99" t="s">
        <v>48</v>
      </c>
      <c r="O30" s="136">
        <f>MAX(C15,C26,C37)</f>
        <v>8.6999999999999993</v>
      </c>
      <c r="P30" s="136">
        <f>MIN(C15,C26,C37)</f>
        <v>6.1</v>
      </c>
    </row>
    <row r="31" spans="1:16">
      <c r="A31" s="70"/>
      <c r="B31" s="45"/>
      <c r="C31" s="11">
        <v>0.10100000000000001</v>
      </c>
      <c r="D31" s="53">
        <v>1</v>
      </c>
      <c r="E31" s="11">
        <v>0.315</v>
      </c>
      <c r="F31" s="53">
        <v>5</v>
      </c>
      <c r="G31" s="56">
        <v>2.33</v>
      </c>
      <c r="H31" s="11">
        <v>5.9</v>
      </c>
      <c r="I31" s="134">
        <v>15.413</v>
      </c>
      <c r="J31" s="11">
        <v>2.8</v>
      </c>
      <c r="K31" s="134">
        <v>42.140999999999998</v>
      </c>
      <c r="L31" s="11">
        <v>12.4</v>
      </c>
      <c r="M31" s="133"/>
    </row>
    <row r="32" spans="1:16" ht="14.4">
      <c r="A32" s="70"/>
      <c r="B32" s="45"/>
      <c r="C32" s="11">
        <v>0.112</v>
      </c>
      <c r="D32" s="53">
        <v>12</v>
      </c>
      <c r="E32" s="11">
        <v>0.32500000000000001</v>
      </c>
      <c r="F32" s="53">
        <v>8.3000000000000007</v>
      </c>
      <c r="G32" s="11">
        <v>2.4220000000000002</v>
      </c>
      <c r="H32" s="11">
        <v>10.1</v>
      </c>
      <c r="I32" s="134">
        <v>15.9</v>
      </c>
      <c r="J32" s="53">
        <v>6</v>
      </c>
      <c r="K32" s="134">
        <v>39.933</v>
      </c>
      <c r="L32" s="11">
        <v>6.5</v>
      </c>
      <c r="M32" s="133"/>
      <c r="N32" s="135" t="s">
        <v>46</v>
      </c>
      <c r="O32" s="99" t="s">
        <v>43</v>
      </c>
      <c r="P32" s="99" t="s">
        <v>44</v>
      </c>
    </row>
    <row r="33" spans="1:16" ht="14.4">
      <c r="A33" s="70"/>
      <c r="B33" s="45"/>
      <c r="C33" s="11" t="s">
        <v>167</v>
      </c>
      <c r="D33" s="53">
        <v>25</v>
      </c>
      <c r="E33" s="56">
        <v>0.32</v>
      </c>
      <c r="F33" s="53">
        <v>6.7</v>
      </c>
      <c r="G33" s="11">
        <v>2.476</v>
      </c>
      <c r="H33" s="11">
        <v>12.5</v>
      </c>
      <c r="I33" s="134">
        <v>15.912000000000001</v>
      </c>
      <c r="J33" s="11">
        <v>6.1</v>
      </c>
      <c r="K33" s="134">
        <v>41.79</v>
      </c>
      <c r="L33" s="11">
        <v>11.4</v>
      </c>
      <c r="M33" s="133"/>
      <c r="N33" s="135" t="s">
        <v>47</v>
      </c>
      <c r="O33" s="136">
        <f>MAX(C43)</f>
        <v>4</v>
      </c>
      <c r="P33" s="136">
        <f>MIN(C43)</f>
        <v>4</v>
      </c>
    </row>
    <row r="34" spans="1:16">
      <c r="A34" s="70"/>
      <c r="B34" s="48"/>
      <c r="C34" s="11">
        <v>0.107</v>
      </c>
      <c r="D34" s="53">
        <v>7</v>
      </c>
      <c r="E34" s="11">
        <v>0.32400000000000001</v>
      </c>
      <c r="F34" s="53">
        <v>8</v>
      </c>
      <c r="G34" s="11">
        <v>2.5030000000000001</v>
      </c>
      <c r="H34" s="11">
        <v>13.8</v>
      </c>
      <c r="I34" s="134">
        <v>16.584</v>
      </c>
      <c r="J34" s="11">
        <v>10.6</v>
      </c>
      <c r="K34" s="134" t="s">
        <v>178</v>
      </c>
      <c r="L34" s="11">
        <v>15.9</v>
      </c>
      <c r="M34" s="133"/>
      <c r="N34" s="99" t="s">
        <v>48</v>
      </c>
      <c r="O34" s="136">
        <f>MAX(C42)</f>
        <v>10.6</v>
      </c>
      <c r="P34" s="136">
        <f>MIN(C42)</f>
        <v>10.6</v>
      </c>
    </row>
    <row r="35" spans="1:16" ht="14.25" customHeight="1">
      <c r="A35" s="9" t="s">
        <v>78</v>
      </c>
      <c r="B35" s="60"/>
      <c r="C35" s="134">
        <v>0.115</v>
      </c>
      <c r="D35" s="60"/>
      <c r="E35" s="134">
        <v>0.32300000000000001</v>
      </c>
      <c r="F35" s="60"/>
      <c r="G35" s="134">
        <v>2.4460000000000002</v>
      </c>
      <c r="H35" s="60"/>
      <c r="I35" s="11">
        <v>15.988</v>
      </c>
      <c r="J35" s="60"/>
      <c r="K35" s="11">
        <v>41.582999999999998</v>
      </c>
      <c r="L35" s="60"/>
      <c r="M35" s="133"/>
      <c r="N35" s="133"/>
      <c r="O35" s="133"/>
      <c r="P35" s="133"/>
    </row>
    <row r="36" spans="1:16" ht="14.25" customHeight="1">
      <c r="A36" s="9" t="s">
        <v>79</v>
      </c>
      <c r="B36" s="61"/>
      <c r="C36" s="134">
        <v>0.01</v>
      </c>
      <c r="D36" s="61"/>
      <c r="E36" s="134">
        <v>1.0999999999999999E-2</v>
      </c>
      <c r="F36" s="61"/>
      <c r="G36" s="134">
        <v>0.108</v>
      </c>
      <c r="H36" s="61"/>
      <c r="I36" s="11">
        <v>0.42799999999999999</v>
      </c>
      <c r="J36" s="61"/>
      <c r="K36" s="11">
        <v>1.2250000000000001</v>
      </c>
      <c r="L36" s="61"/>
      <c r="M36" s="133"/>
      <c r="N36" s="133"/>
      <c r="O36" s="133"/>
      <c r="P36" s="133"/>
    </row>
    <row r="37" spans="1:16" ht="14.25" customHeight="1">
      <c r="A37" s="9" t="s">
        <v>80</v>
      </c>
      <c r="B37" s="61"/>
      <c r="C37" s="11">
        <v>8.6999999999999993</v>
      </c>
      <c r="D37" s="61"/>
      <c r="E37" s="11">
        <v>3.4</v>
      </c>
      <c r="F37" s="61"/>
      <c r="G37" s="11">
        <v>4.4000000000000004</v>
      </c>
      <c r="H37" s="61"/>
      <c r="I37" s="11">
        <v>2.7</v>
      </c>
      <c r="J37" s="61"/>
      <c r="K37" s="11">
        <v>2.9</v>
      </c>
      <c r="L37" s="61"/>
      <c r="M37" s="133"/>
      <c r="N37" s="133"/>
      <c r="O37" s="133"/>
      <c r="P37" s="133"/>
    </row>
    <row r="38" spans="1:16" ht="14.25" customHeight="1">
      <c r="A38" s="9" t="s">
        <v>81</v>
      </c>
      <c r="B38" s="61"/>
      <c r="C38" s="53">
        <v>15</v>
      </c>
      <c r="D38" s="61"/>
      <c r="E38" s="11">
        <v>7.7</v>
      </c>
      <c r="F38" s="61"/>
      <c r="G38" s="11">
        <v>11.2</v>
      </c>
      <c r="H38" s="61"/>
      <c r="I38" s="11">
        <v>6.6</v>
      </c>
      <c r="J38" s="61"/>
      <c r="K38" s="11">
        <v>10.9</v>
      </c>
      <c r="L38" s="61"/>
      <c r="M38" s="133"/>
      <c r="N38" s="133"/>
      <c r="O38" s="133"/>
      <c r="P38" s="133"/>
    </row>
    <row r="39" spans="1:16" ht="14.25" customHeight="1">
      <c r="A39" s="9" t="s">
        <v>5</v>
      </c>
      <c r="B39" s="63"/>
      <c r="C39" s="62">
        <v>6</v>
      </c>
      <c r="D39" s="63"/>
      <c r="E39" s="62">
        <v>6</v>
      </c>
      <c r="F39" s="63"/>
      <c r="G39" s="62">
        <v>6</v>
      </c>
      <c r="H39" s="63"/>
      <c r="I39" s="62">
        <v>6</v>
      </c>
      <c r="J39" s="63"/>
      <c r="K39" s="62">
        <v>6</v>
      </c>
      <c r="L39" s="63"/>
      <c r="M39" s="133"/>
      <c r="N39" s="133"/>
      <c r="O39" s="133"/>
      <c r="P39" s="133"/>
    </row>
    <row r="40" spans="1:16" ht="15" customHeight="1">
      <c r="A40" s="9" t="s">
        <v>82</v>
      </c>
      <c r="B40" s="59"/>
      <c r="C40" s="11">
        <v>0.104</v>
      </c>
      <c r="D40" s="60"/>
      <c r="E40" s="11">
        <v>0.316</v>
      </c>
      <c r="F40" s="60"/>
      <c r="G40" s="11">
        <v>2.3490000000000002</v>
      </c>
      <c r="H40" s="60"/>
      <c r="I40" s="11">
        <v>15.468999999999999</v>
      </c>
      <c r="J40" s="60"/>
      <c r="K40" s="11">
        <v>40.436999999999998</v>
      </c>
      <c r="L40" s="60"/>
      <c r="M40" s="133"/>
      <c r="N40" s="133"/>
      <c r="O40" s="133"/>
      <c r="P40" s="133"/>
    </row>
    <row r="41" spans="1:16" ht="15" customHeight="1">
      <c r="A41" s="9" t="s">
        <v>83</v>
      </c>
      <c r="B41" s="59"/>
      <c r="C41" s="11">
        <v>1.0999999999999999E-2</v>
      </c>
      <c r="D41" s="61"/>
      <c r="E41" s="11">
        <v>1.9E-2</v>
      </c>
      <c r="F41" s="61"/>
      <c r="G41" s="11">
        <v>0.13800000000000001</v>
      </c>
      <c r="H41" s="61"/>
      <c r="I41" s="11">
        <v>0.65300000000000002</v>
      </c>
      <c r="J41" s="61"/>
      <c r="K41" s="11">
        <v>1.526</v>
      </c>
      <c r="L41" s="61"/>
      <c r="M41" s="133"/>
      <c r="N41" s="133"/>
      <c r="O41" s="133"/>
      <c r="P41" s="133"/>
    </row>
    <row r="42" spans="1:16" ht="15" customHeight="1">
      <c r="A42" s="9" t="s">
        <v>84</v>
      </c>
      <c r="B42" s="59"/>
      <c r="C42" s="11">
        <v>10.6</v>
      </c>
      <c r="D42" s="61"/>
      <c r="E42" s="53">
        <v>6</v>
      </c>
      <c r="F42" s="61"/>
      <c r="G42" s="11">
        <v>5.9</v>
      </c>
      <c r="H42" s="61"/>
      <c r="I42" s="11">
        <v>4.2</v>
      </c>
      <c r="J42" s="61"/>
      <c r="K42" s="11">
        <v>3.8</v>
      </c>
      <c r="L42" s="61"/>
      <c r="M42" s="133"/>
      <c r="N42" s="133"/>
      <c r="O42" s="133"/>
      <c r="P42" s="133"/>
    </row>
    <row r="43" spans="1:16" ht="15" customHeight="1">
      <c r="A43" s="9" t="s">
        <v>85</v>
      </c>
      <c r="B43" s="59"/>
      <c r="C43" s="53">
        <v>4</v>
      </c>
      <c r="D43" s="61"/>
      <c r="E43" s="11">
        <v>5.3</v>
      </c>
      <c r="F43" s="61"/>
      <c r="G43" s="11">
        <v>6.8</v>
      </c>
      <c r="H43" s="61"/>
      <c r="I43" s="11">
        <v>3.1</v>
      </c>
      <c r="J43" s="61"/>
      <c r="K43" s="11">
        <v>7.8</v>
      </c>
      <c r="L43" s="61"/>
      <c r="M43" s="133"/>
      <c r="N43" s="133"/>
      <c r="O43" s="133"/>
      <c r="P43" s="133"/>
    </row>
    <row r="44" spans="1:16" ht="15" customHeight="1">
      <c r="A44" s="9" t="s">
        <v>5</v>
      </c>
      <c r="B44" s="59"/>
      <c r="C44" s="62">
        <v>18</v>
      </c>
      <c r="D44" s="63"/>
      <c r="E44" s="62">
        <v>18</v>
      </c>
      <c r="F44" s="63"/>
      <c r="G44" s="62">
        <v>18</v>
      </c>
      <c r="H44" s="63"/>
      <c r="I44" s="62">
        <v>18</v>
      </c>
      <c r="J44" s="63"/>
      <c r="K44" s="62">
        <v>18</v>
      </c>
      <c r="L44" s="63"/>
      <c r="M44" s="133"/>
      <c r="N44" s="133"/>
      <c r="O44" s="133"/>
      <c r="P44" s="133"/>
    </row>
    <row r="45" spans="1:16" ht="14.4">
      <c r="A45" s="137" t="s">
        <v>170</v>
      </c>
    </row>
    <row r="46" spans="1:16" ht="14.25" customHeight="1"/>
    <row r="47" spans="1:16" ht="14.25" customHeight="1"/>
    <row r="48" spans="1:16" ht="14.25" customHeight="1"/>
    <row r="49" spans="13:16" ht="14.25" customHeight="1"/>
    <row r="50" spans="13:16" ht="14.25" customHeight="1">
      <c r="M50" s="133"/>
      <c r="N50" s="133"/>
      <c r="O50" s="133"/>
      <c r="P50" s="133"/>
    </row>
    <row r="51" spans="13:16" ht="15" customHeight="1">
      <c r="M51" s="133"/>
      <c r="N51" s="133"/>
      <c r="O51" s="133"/>
      <c r="P51" s="133"/>
    </row>
    <row r="52" spans="13:16" ht="15" customHeight="1">
      <c r="M52" s="133"/>
      <c r="N52" s="133"/>
      <c r="O52" s="133"/>
      <c r="P52" s="133"/>
    </row>
    <row r="53" spans="13:16" ht="15" customHeight="1">
      <c r="M53" s="133"/>
      <c r="N53" s="133"/>
      <c r="O53" s="133"/>
      <c r="P53" s="133"/>
    </row>
    <row r="54" spans="13:16" ht="15" customHeight="1">
      <c r="M54" s="133"/>
      <c r="N54" s="133"/>
      <c r="O54" s="133"/>
      <c r="P54" s="133"/>
    </row>
    <row r="55" spans="13:16" ht="15" customHeight="1">
      <c r="M55" s="133"/>
      <c r="N55" s="133"/>
      <c r="O55" s="133"/>
      <c r="P55" s="133"/>
    </row>
  </sheetData>
  <mergeCells count="38">
    <mergeCell ref="A2:E2"/>
    <mergeCell ref="A4:A6"/>
    <mergeCell ref="B4:B6"/>
    <mergeCell ref="D4:D6"/>
    <mergeCell ref="H4:H6"/>
    <mergeCell ref="J4:J6"/>
    <mergeCell ref="L4:L6"/>
    <mergeCell ref="A7:A12"/>
    <mergeCell ref="B7:B12"/>
    <mergeCell ref="F4:F6"/>
    <mergeCell ref="L13:L17"/>
    <mergeCell ref="A18:A23"/>
    <mergeCell ref="B18:B23"/>
    <mergeCell ref="B24:B28"/>
    <mergeCell ref="D24:D28"/>
    <mergeCell ref="F24:F28"/>
    <mergeCell ref="H24:H28"/>
    <mergeCell ref="J24:J28"/>
    <mergeCell ref="L24:L28"/>
    <mergeCell ref="B13:B17"/>
    <mergeCell ref="D13:D17"/>
    <mergeCell ref="F13:F17"/>
    <mergeCell ref="H13:H17"/>
    <mergeCell ref="J13:J17"/>
    <mergeCell ref="A29:A34"/>
    <mergeCell ref="B29:B34"/>
    <mergeCell ref="B35:B39"/>
    <mergeCell ref="D35:D39"/>
    <mergeCell ref="F35:F39"/>
    <mergeCell ref="J35:J39"/>
    <mergeCell ref="L35:L39"/>
    <mergeCell ref="B40:B44"/>
    <mergeCell ref="D40:D44"/>
    <mergeCell ref="F40:F44"/>
    <mergeCell ref="H40:H44"/>
    <mergeCell ref="J40:J44"/>
    <mergeCell ref="L40:L44"/>
    <mergeCell ref="H35:H39"/>
  </mergeCells>
  <phoneticPr fontId="2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J45"/>
  <sheetViews>
    <sheetView zoomScaleNormal="100" zoomScaleSheetLayoutView="100" workbookViewId="0">
      <selection sqref="A1:XFD1048576"/>
    </sheetView>
  </sheetViews>
  <sheetFormatPr defaultColWidth="8.77734375" defaultRowHeight="15.75" customHeight="1"/>
  <cols>
    <col min="1" max="1" width="13.5546875" style="21" customWidth="1"/>
    <col min="2" max="2" width="13.44140625" style="21" customWidth="1"/>
    <col min="3" max="3" width="17.77734375" style="21" customWidth="1"/>
    <col min="4" max="4" width="13.44140625" style="21" customWidth="1"/>
    <col min="5" max="5" width="13.109375" style="21" customWidth="1"/>
    <col min="6" max="6" width="13.44140625" style="21" customWidth="1"/>
    <col min="7" max="7" width="16.77734375" style="21" customWidth="1"/>
    <col min="8" max="8" width="9.5546875" style="21" customWidth="1"/>
    <col min="9" max="9" width="11" style="21" customWidth="1"/>
    <col min="10" max="10" width="12" style="21" customWidth="1"/>
    <col min="11" max="11" width="10" style="21" customWidth="1"/>
    <col min="12" max="12" width="9.5546875" style="21" customWidth="1"/>
    <col min="13" max="16384" width="8.77734375" style="21"/>
  </cols>
  <sheetData>
    <row r="2" spans="1:10" s="21" customFormat="1" ht="15.75" customHeight="1">
      <c r="A2" s="108" t="s">
        <v>70</v>
      </c>
    </row>
    <row r="4" spans="1:10" s="21" customFormat="1" ht="15.75" customHeight="1">
      <c r="A4" s="109" t="s">
        <v>171</v>
      </c>
      <c r="B4" s="110"/>
      <c r="C4" s="110"/>
      <c r="D4" s="110"/>
      <c r="E4" s="110"/>
      <c r="F4" s="110"/>
      <c r="G4" s="110"/>
      <c r="H4" s="110"/>
      <c r="I4" s="110"/>
      <c r="J4" s="111"/>
    </row>
    <row r="5" spans="1:10" s="21" customFormat="1" ht="15.75" customHeight="1">
      <c r="A5" s="112"/>
      <c r="B5" s="113" t="s">
        <v>3</v>
      </c>
      <c r="C5" s="113"/>
      <c r="D5" s="113"/>
      <c r="E5" s="114" t="s">
        <v>2</v>
      </c>
      <c r="F5" s="115"/>
      <c r="G5" s="116"/>
      <c r="H5" s="114" t="s">
        <v>1</v>
      </c>
      <c r="I5" s="115"/>
      <c r="J5" s="116"/>
    </row>
    <row r="6" spans="1:10" s="21" customFormat="1" ht="29.55" customHeight="1">
      <c r="A6" s="112"/>
      <c r="B6" s="117" t="s">
        <v>71</v>
      </c>
      <c r="C6" s="118" t="s">
        <v>67</v>
      </c>
      <c r="D6" s="119" t="s">
        <v>38</v>
      </c>
      <c r="E6" s="118" t="s">
        <v>68</v>
      </c>
      <c r="F6" s="118" t="s">
        <v>67</v>
      </c>
      <c r="G6" s="119" t="s">
        <v>38</v>
      </c>
      <c r="H6" s="119" t="s">
        <v>122</v>
      </c>
      <c r="I6" s="119" t="s">
        <v>69</v>
      </c>
      <c r="J6" s="119" t="s">
        <v>38</v>
      </c>
    </row>
    <row r="7" spans="1:10" s="21" customFormat="1" ht="15.75" customHeight="1">
      <c r="A7" s="119">
        <v>1</v>
      </c>
      <c r="B7" s="120">
        <v>0.105013</v>
      </c>
      <c r="C7" s="120">
        <v>0.15670600000000001</v>
      </c>
      <c r="D7" s="121">
        <f>ROUND(B7/C$13*100,1)</f>
        <v>68.400000000000006</v>
      </c>
      <c r="E7" s="120">
        <v>3.9412780000000001</v>
      </c>
      <c r="F7" s="120">
        <v>6.2359059999999999</v>
      </c>
      <c r="G7" s="121">
        <f>ROUND(E7/F$13*100,1)</f>
        <v>62</v>
      </c>
      <c r="H7" s="120">
        <v>9.3267120000000006</v>
      </c>
      <c r="I7" s="120">
        <v>15.943820000000001</v>
      </c>
      <c r="J7" s="121">
        <f>ROUND(H7/I$13*100,1)</f>
        <v>57.4</v>
      </c>
    </row>
    <row r="8" spans="1:10" s="21" customFormat="1" ht="15.75" customHeight="1">
      <c r="A8" s="119">
        <v>2</v>
      </c>
      <c r="B8" s="120">
        <v>9.9807999999999994E-2</v>
      </c>
      <c r="C8" s="120">
        <v>0.15256600000000001</v>
      </c>
      <c r="D8" s="121">
        <f t="shared" ref="D8:D11" si="0">ROUND(B8/C$13*100,1)</f>
        <v>65</v>
      </c>
      <c r="E8" s="120">
        <v>4.0151560000000002</v>
      </c>
      <c r="F8" s="120">
        <v>6.2885619999999998</v>
      </c>
      <c r="G8" s="121">
        <f t="shared" ref="G8:G11" si="1">ROUND(E8/F$13*100,1)</f>
        <v>63.2</v>
      </c>
      <c r="H8" s="120">
        <v>9.9013270000000002</v>
      </c>
      <c r="I8" s="120">
        <v>16.540095000000001</v>
      </c>
      <c r="J8" s="121">
        <f t="shared" ref="J8:J11" si="2">ROUND(H8/I$13*100,1)</f>
        <v>61</v>
      </c>
    </row>
    <row r="9" spans="1:10" s="21" customFormat="1" ht="15.75" customHeight="1">
      <c r="A9" s="119">
        <v>3</v>
      </c>
      <c r="B9" s="120">
        <v>9.6408999999999995E-2</v>
      </c>
      <c r="C9" s="120">
        <v>0.15376300000000001</v>
      </c>
      <c r="D9" s="121">
        <f t="shared" si="0"/>
        <v>62.8</v>
      </c>
      <c r="E9" s="120">
        <v>4.0570750000000002</v>
      </c>
      <c r="F9" s="120">
        <v>6.1742759999999999</v>
      </c>
      <c r="G9" s="121">
        <f t="shared" si="1"/>
        <v>63.9</v>
      </c>
      <c r="H9" s="120">
        <v>10.451625</v>
      </c>
      <c r="I9" s="120">
        <v>15.839295999999999</v>
      </c>
      <c r="J9" s="121">
        <f t="shared" si="2"/>
        <v>64.400000000000006</v>
      </c>
    </row>
    <row r="10" spans="1:10" s="21" customFormat="1" ht="15.75" customHeight="1">
      <c r="A10" s="119">
        <v>4</v>
      </c>
      <c r="B10" s="120">
        <v>9.6572000000000005E-2</v>
      </c>
      <c r="C10" s="120">
        <v>0.149148</v>
      </c>
      <c r="D10" s="121">
        <f t="shared" si="0"/>
        <v>62.9</v>
      </c>
      <c r="E10" s="120">
        <v>4.1630729999999998</v>
      </c>
      <c r="F10" s="120">
        <v>6.4415810000000002</v>
      </c>
      <c r="G10" s="121">
        <f t="shared" si="1"/>
        <v>65.5</v>
      </c>
      <c r="H10" s="120">
        <v>9.6204330000000002</v>
      </c>
      <c r="I10" s="120">
        <v>16.461366999999999</v>
      </c>
      <c r="J10" s="121">
        <f t="shared" si="2"/>
        <v>59.2</v>
      </c>
    </row>
    <row r="11" spans="1:10" s="21" customFormat="1" ht="15.75" customHeight="1">
      <c r="A11" s="119">
        <v>5</v>
      </c>
      <c r="B11" s="120">
        <v>9.6206E-2</v>
      </c>
      <c r="C11" s="120">
        <v>0.15270300000000001</v>
      </c>
      <c r="D11" s="121">
        <f t="shared" si="0"/>
        <v>62.7</v>
      </c>
      <c r="E11" s="120">
        <v>4.3189099999999998</v>
      </c>
      <c r="F11" s="120">
        <v>6.6258280000000003</v>
      </c>
      <c r="G11" s="121">
        <f t="shared" si="1"/>
        <v>68</v>
      </c>
      <c r="H11" s="120">
        <v>10.768405</v>
      </c>
      <c r="I11" s="120">
        <v>16.280660000000001</v>
      </c>
      <c r="J11" s="121">
        <f t="shared" si="2"/>
        <v>66.3</v>
      </c>
    </row>
    <row r="12" spans="1:10" s="21" customFormat="1" ht="15.75" customHeight="1">
      <c r="A12" s="119">
        <v>6</v>
      </c>
      <c r="B12" s="120">
        <v>0.10595</v>
      </c>
      <c r="C12" s="120">
        <v>0.15626599999999999</v>
      </c>
      <c r="D12" s="121">
        <f>ROUND(B12/C$13*100,1)</f>
        <v>69</v>
      </c>
      <c r="E12" s="120">
        <v>4.4571040000000002</v>
      </c>
      <c r="F12" s="120">
        <v>6.3575900000000001</v>
      </c>
      <c r="G12" s="121">
        <f>ROUND(E12/F$13*100,1)</f>
        <v>70.099999999999994</v>
      </c>
      <c r="H12" s="120">
        <v>11.132690999999999</v>
      </c>
      <c r="I12" s="120">
        <v>16.37603</v>
      </c>
      <c r="J12" s="121">
        <f>ROUND(H12/I$13*100,1)</f>
        <v>68.599999999999994</v>
      </c>
    </row>
    <row r="13" spans="1:10" s="21" customFormat="1" ht="15.75" customHeight="1">
      <c r="A13" s="119" t="s">
        <v>123</v>
      </c>
      <c r="B13" s="122">
        <f>ROUND(AVERAGEA(B7:B12),6)</f>
        <v>9.9992999999999999E-2</v>
      </c>
      <c r="C13" s="122">
        <f>ROUND(AVERAGEA(C7:C12),6)</f>
        <v>0.15352499999999999</v>
      </c>
      <c r="D13" s="123">
        <f>ROUND(AVERAGE(D7:D12),1)</f>
        <v>65.099999999999994</v>
      </c>
      <c r="E13" s="122">
        <f>ROUND(AVERAGEA(E7:E12),6)</f>
        <v>4.158766</v>
      </c>
      <c r="F13" s="122">
        <f>ROUND(AVERAGEA(F7:F12),6)</f>
        <v>6.3539570000000003</v>
      </c>
      <c r="G13" s="123">
        <f>ROUND(AVERAGE(G7:G12),1)</f>
        <v>65.5</v>
      </c>
      <c r="H13" s="122">
        <f>ROUND(AVERAGEA(H7:H12),6)</f>
        <v>10.200199</v>
      </c>
      <c r="I13" s="122">
        <f>ROUND(AVERAGEA(I7:I12),6)</f>
        <v>16.240210999999999</v>
      </c>
      <c r="J13" s="123">
        <f>ROUND(AVERAGE(J7:J12),1)</f>
        <v>62.8</v>
      </c>
    </row>
    <row r="14" spans="1:10" s="21" customFormat="1" ht="15.75" customHeight="1">
      <c r="A14" s="119" t="s">
        <v>4</v>
      </c>
      <c r="B14" s="124"/>
      <c r="C14" s="125"/>
      <c r="D14" s="123">
        <f>ROUND(STDEV(D7:D12),1)</f>
        <v>2.9</v>
      </c>
      <c r="E14" s="124"/>
      <c r="F14" s="125"/>
      <c r="G14" s="123">
        <f>ROUND(STDEV(G7:G12),1)</f>
        <v>3.1</v>
      </c>
      <c r="H14" s="124"/>
      <c r="I14" s="125"/>
      <c r="J14" s="123">
        <f>ROUND(STDEV(J7:J12),1)</f>
        <v>4.3</v>
      </c>
    </row>
    <row r="15" spans="1:10" s="21" customFormat="1" ht="15.75" customHeight="1">
      <c r="A15" s="119" t="s">
        <v>36</v>
      </c>
      <c r="B15" s="126"/>
      <c r="C15" s="127"/>
      <c r="D15" s="119">
        <f>ROUND(D14/D13*100,1)</f>
        <v>4.5</v>
      </c>
      <c r="E15" s="126"/>
      <c r="F15" s="127"/>
      <c r="G15" s="119">
        <f>ROUND(G14/G13*100,1)</f>
        <v>4.7</v>
      </c>
      <c r="H15" s="126"/>
      <c r="I15" s="127"/>
      <c r="J15" s="119">
        <f>ROUND(J14/J13*100,1)</f>
        <v>6.8</v>
      </c>
    </row>
    <row r="16" spans="1:10" s="21" customFormat="1" ht="15.75" customHeight="1">
      <c r="A16" s="67" t="s">
        <v>86</v>
      </c>
      <c r="B16" s="128">
        <f>ROUND(AVERAGE(D13,G13,J13),1)</f>
        <v>64.5</v>
      </c>
      <c r="C16" s="129"/>
      <c r="D16" s="129"/>
      <c r="E16" s="129"/>
      <c r="F16" s="129"/>
      <c r="G16" s="129"/>
      <c r="H16" s="129"/>
      <c r="I16" s="129"/>
      <c r="J16" s="129"/>
    </row>
    <row r="17" spans="1:10" s="21" customFormat="1" ht="15.75" customHeight="1">
      <c r="A17" s="67" t="s">
        <v>87</v>
      </c>
      <c r="B17" s="130">
        <f>ROUND(STDEV(D13,G13,J13)/B16*100,1)</f>
        <v>2.2999999999999998</v>
      </c>
      <c r="C17" s="129"/>
      <c r="D17" s="129"/>
      <c r="E17" s="129"/>
      <c r="F17" s="129"/>
      <c r="G17" s="129"/>
      <c r="H17" s="129"/>
      <c r="I17" s="129"/>
      <c r="J17" s="129"/>
    </row>
    <row r="18" spans="1:10" s="21" customFormat="1" ht="15.75" customHeight="1">
      <c r="B18" s="131"/>
      <c r="C18" s="95"/>
      <c r="D18" s="95"/>
      <c r="E18" s="95"/>
      <c r="F18" s="95"/>
      <c r="G18" s="95"/>
    </row>
    <row r="19" spans="1:10" s="21" customFormat="1" ht="15.75" customHeight="1">
      <c r="B19" s="131"/>
      <c r="C19" s="95"/>
      <c r="D19" s="95"/>
      <c r="E19" s="95"/>
      <c r="F19" s="95"/>
      <c r="G19" s="95"/>
    </row>
    <row r="20" spans="1:10" s="21" customFormat="1" ht="15.75" customHeight="1">
      <c r="B20" s="131"/>
      <c r="C20" s="95"/>
      <c r="D20" s="95"/>
      <c r="E20" s="95"/>
      <c r="F20" s="95"/>
      <c r="G20" s="95"/>
    </row>
    <row r="21" spans="1:10" s="21" customFormat="1" ht="15.75" customHeight="1">
      <c r="B21" s="131"/>
      <c r="C21" s="95"/>
      <c r="D21" s="95"/>
      <c r="E21" s="95"/>
      <c r="F21" s="95"/>
      <c r="G21" s="95"/>
    </row>
    <row r="22" spans="1:10" s="21" customFormat="1" ht="15.75" customHeight="1">
      <c r="B22" s="131"/>
      <c r="C22" s="95"/>
      <c r="D22" s="95"/>
      <c r="E22" s="95"/>
      <c r="F22" s="95"/>
      <c r="G22" s="95"/>
    </row>
    <row r="23" spans="1:10" s="21" customFormat="1" ht="15.75" customHeight="1">
      <c r="B23" s="131"/>
      <c r="C23" s="95"/>
      <c r="D23" s="95"/>
      <c r="E23" s="95"/>
      <c r="F23" s="95"/>
      <c r="G23" s="95"/>
    </row>
    <row r="24" spans="1:10" s="21" customFormat="1" ht="15.75" customHeight="1">
      <c r="B24" s="131"/>
      <c r="C24" s="95"/>
      <c r="D24" s="95"/>
      <c r="E24" s="95"/>
      <c r="F24" s="95"/>
      <c r="G24" s="95"/>
    </row>
    <row r="25" spans="1:10" s="21" customFormat="1" ht="15.75" customHeight="1">
      <c r="B25" s="131"/>
      <c r="C25" s="95"/>
      <c r="D25" s="95"/>
      <c r="E25" s="95"/>
      <c r="F25" s="95"/>
      <c r="G25" s="95"/>
    </row>
    <row r="26" spans="1:10" s="21" customFormat="1" ht="15.75" customHeight="1">
      <c r="B26" s="131"/>
      <c r="C26" s="95"/>
      <c r="D26" s="95"/>
      <c r="E26" s="95"/>
      <c r="F26" s="95"/>
      <c r="G26" s="95"/>
    </row>
    <row r="27" spans="1:10" s="21" customFormat="1" ht="15.75" customHeight="1">
      <c r="B27" s="131"/>
      <c r="C27" s="95"/>
      <c r="D27" s="95"/>
      <c r="E27" s="95"/>
      <c r="F27" s="95"/>
      <c r="G27" s="95"/>
    </row>
    <row r="28" spans="1:10" s="21" customFormat="1" ht="15.75" customHeight="1">
      <c r="B28" s="131"/>
      <c r="C28" s="95"/>
      <c r="D28" s="95"/>
      <c r="E28" s="95"/>
      <c r="F28" s="95"/>
      <c r="G28" s="95"/>
    </row>
    <row r="29" spans="1:10" s="21" customFormat="1" ht="15.75" customHeight="1">
      <c r="B29" s="131"/>
      <c r="C29" s="95"/>
      <c r="D29" s="95"/>
      <c r="E29" s="95"/>
      <c r="F29" s="95"/>
      <c r="G29" s="95"/>
    </row>
    <row r="30" spans="1:10" s="21" customFormat="1" ht="15.75" customHeight="1">
      <c r="B30" s="131"/>
      <c r="C30" s="95"/>
      <c r="D30" s="95"/>
      <c r="E30" s="95"/>
      <c r="F30" s="95"/>
      <c r="G30" s="95"/>
    </row>
    <row r="31" spans="1:10" s="21" customFormat="1" ht="15.75" customHeight="1">
      <c r="B31" s="131"/>
      <c r="C31" s="95"/>
      <c r="D31" s="95"/>
      <c r="E31" s="95"/>
      <c r="F31" s="95"/>
      <c r="G31" s="95"/>
    </row>
    <row r="32" spans="1:10" s="21" customFormat="1" ht="15.75" customHeight="1">
      <c r="B32" s="131"/>
      <c r="C32" s="95"/>
      <c r="D32" s="95"/>
      <c r="E32" s="95"/>
      <c r="F32" s="95"/>
      <c r="G32" s="95"/>
    </row>
    <row r="33" spans="2:7" s="21" customFormat="1" ht="15.75" customHeight="1">
      <c r="B33" s="131"/>
      <c r="C33" s="95"/>
      <c r="D33" s="95"/>
      <c r="E33" s="95"/>
      <c r="F33" s="95"/>
      <c r="G33" s="95"/>
    </row>
    <row r="34" spans="2:7" s="21" customFormat="1" ht="15.75" customHeight="1">
      <c r="B34" s="131"/>
      <c r="C34" s="95"/>
      <c r="D34" s="95"/>
      <c r="E34" s="95"/>
      <c r="F34" s="95"/>
      <c r="G34" s="95"/>
    </row>
    <row r="35" spans="2:7" s="21" customFormat="1" ht="15.75" customHeight="1">
      <c r="B35" s="131"/>
      <c r="C35" s="95"/>
      <c r="D35" s="95"/>
      <c r="E35" s="95"/>
      <c r="F35" s="95"/>
      <c r="G35" s="95"/>
    </row>
    <row r="36" spans="2:7" s="21" customFormat="1" ht="15.75" customHeight="1">
      <c r="B36" s="131"/>
      <c r="C36" s="95"/>
      <c r="D36" s="95"/>
      <c r="E36" s="95"/>
      <c r="F36" s="95"/>
      <c r="G36" s="95"/>
    </row>
    <row r="37" spans="2:7" s="21" customFormat="1" ht="15.75" customHeight="1">
      <c r="B37" s="131"/>
      <c r="C37" s="95"/>
      <c r="D37" s="95"/>
      <c r="E37" s="95"/>
      <c r="F37" s="95"/>
      <c r="G37" s="95"/>
    </row>
    <row r="38" spans="2:7" s="21" customFormat="1" ht="15.75" customHeight="1">
      <c r="B38" s="131"/>
      <c r="C38" s="95"/>
      <c r="D38" s="95"/>
      <c r="E38" s="95"/>
      <c r="F38" s="95"/>
      <c r="G38" s="95"/>
    </row>
    <row r="39" spans="2:7" s="21" customFormat="1" ht="15.75" customHeight="1">
      <c r="B39" s="131"/>
      <c r="C39" s="95"/>
      <c r="D39" s="95"/>
      <c r="E39" s="95"/>
      <c r="F39" s="95"/>
      <c r="G39" s="95"/>
    </row>
    <row r="40" spans="2:7" s="21" customFormat="1" ht="15.75" customHeight="1">
      <c r="B40" s="131"/>
      <c r="C40" s="95"/>
      <c r="D40" s="95"/>
      <c r="E40" s="95"/>
      <c r="F40" s="95"/>
      <c r="G40" s="95"/>
    </row>
    <row r="41" spans="2:7" s="21" customFormat="1" ht="15.75" customHeight="1">
      <c r="B41" s="131"/>
      <c r="C41" s="95"/>
      <c r="D41" s="95"/>
      <c r="E41" s="95"/>
      <c r="F41" s="95"/>
      <c r="G41" s="95"/>
    </row>
    <row r="42" spans="2:7" s="21" customFormat="1" ht="15.75" customHeight="1">
      <c r="B42" s="131"/>
      <c r="C42" s="95"/>
      <c r="D42" s="95"/>
      <c r="E42" s="95"/>
      <c r="F42" s="95"/>
      <c r="G42" s="95"/>
    </row>
    <row r="43" spans="2:7" s="21" customFormat="1" ht="15.75" customHeight="1">
      <c r="B43" s="131"/>
      <c r="C43" s="95"/>
      <c r="D43" s="95"/>
      <c r="E43" s="95"/>
      <c r="F43" s="95"/>
      <c r="G43" s="95"/>
    </row>
    <row r="44" spans="2:7" s="21" customFormat="1" ht="15.75" customHeight="1">
      <c r="B44" s="131"/>
      <c r="C44" s="95"/>
      <c r="D44" s="95"/>
      <c r="E44" s="95"/>
      <c r="F44" s="95"/>
      <c r="G44" s="95"/>
    </row>
    <row r="45" spans="2:7" s="21" customFormat="1" ht="15.75" customHeight="1">
      <c r="B45" s="131"/>
      <c r="C45" s="95"/>
      <c r="D45" s="95"/>
      <c r="E45" s="95"/>
      <c r="F45" s="95"/>
      <c r="G45" s="95"/>
    </row>
  </sheetData>
  <mergeCells count="10">
    <mergeCell ref="B17:J17"/>
    <mergeCell ref="B16:J16"/>
    <mergeCell ref="A4:J4"/>
    <mergeCell ref="B14:C15"/>
    <mergeCell ref="E14:F15"/>
    <mergeCell ref="H14:I15"/>
    <mergeCell ref="A5:A6"/>
    <mergeCell ref="E5:G5"/>
    <mergeCell ref="H5:J5"/>
    <mergeCell ref="B5:D5"/>
  </mergeCells>
  <phoneticPr fontId="20" type="noConversion"/>
  <printOptions headings="1" gridLines="1"/>
  <pageMargins left="0.70866141732283472" right="0.70866141732283472" top="0.74803149606299213" bottom="0.74803149606299213" header="0.31496062992125984" footer="0.31496062992125984"/>
  <pageSetup scale="84" orientation="landscape" r:id="rId1"/>
  <headerFooter>
    <oddHeader>&amp;C18903MV01验证数据汇总</oddHeader>
    <oddFooter>&amp;C第&amp;P页，共&amp;N页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D41"/>
  <sheetViews>
    <sheetView zoomScaleNormal="100" zoomScaleSheetLayoutView="100" workbookViewId="0">
      <selection activeCell="N26" sqref="N26"/>
    </sheetView>
  </sheetViews>
  <sheetFormatPr defaultColWidth="8.77734375" defaultRowHeight="13.8"/>
  <cols>
    <col min="1" max="1" width="17" style="26" customWidth="1"/>
    <col min="2" max="2" width="17.5546875" style="21" customWidth="1"/>
    <col min="3" max="3" width="20" style="26" customWidth="1"/>
    <col min="4" max="4" width="17.5546875" style="26" customWidth="1"/>
    <col min="5" max="16384" width="8.77734375" style="26"/>
  </cols>
  <sheetData>
    <row r="2" spans="1:4">
      <c r="A2" s="25" t="s">
        <v>30</v>
      </c>
      <c r="B2" s="25"/>
      <c r="C2" s="25"/>
      <c r="D2" s="25"/>
    </row>
    <row r="3" spans="1:4">
      <c r="A3" s="27"/>
      <c r="B3" s="27"/>
      <c r="C3" s="27"/>
      <c r="D3" s="27"/>
    </row>
    <row r="4" spans="1:4" ht="15" customHeight="1">
      <c r="A4" s="28" t="s">
        <v>88</v>
      </c>
      <c r="B4" s="28" t="s">
        <v>17</v>
      </c>
      <c r="C4" s="16" t="s">
        <v>89</v>
      </c>
      <c r="D4" s="28" t="s">
        <v>76</v>
      </c>
    </row>
    <row r="5" spans="1:4" ht="15" customHeight="1">
      <c r="A5" s="29"/>
      <c r="B5" s="29"/>
      <c r="C5" s="30">
        <v>500</v>
      </c>
      <c r="D5" s="29"/>
    </row>
    <row r="6" spans="1:4" ht="15" customHeight="1">
      <c r="A6" s="31"/>
      <c r="B6" s="31"/>
      <c r="C6" s="32" t="s">
        <v>6</v>
      </c>
      <c r="D6" s="31"/>
    </row>
    <row r="7" spans="1:4" ht="15" customHeight="1">
      <c r="A7" s="33">
        <v>45902</v>
      </c>
      <c r="B7" s="28">
        <v>1</v>
      </c>
      <c r="C7" s="34">
        <v>459.38299999999998</v>
      </c>
      <c r="D7" s="35">
        <f t="shared" ref="D7:D12" si="0">ROUND((C7-C$5)/C$5*100,1)</f>
        <v>-8.1</v>
      </c>
    </row>
    <row r="8" spans="1:4" ht="15" customHeight="1">
      <c r="A8" s="33"/>
      <c r="B8" s="29"/>
      <c r="C8" s="36">
        <v>468.02199999999999</v>
      </c>
      <c r="D8" s="35">
        <f t="shared" si="0"/>
        <v>-6.4</v>
      </c>
    </row>
    <row r="9" spans="1:4" ht="15" customHeight="1">
      <c r="A9" s="33"/>
      <c r="B9" s="29"/>
      <c r="C9" s="36">
        <v>481.66</v>
      </c>
      <c r="D9" s="35">
        <f t="shared" si="0"/>
        <v>-3.7</v>
      </c>
    </row>
    <row r="10" spans="1:4" ht="15" customHeight="1">
      <c r="A10" s="33"/>
      <c r="B10" s="29"/>
      <c r="C10" s="36">
        <v>494.51799999999997</v>
      </c>
      <c r="D10" s="35">
        <f t="shared" si="0"/>
        <v>-1.1000000000000001</v>
      </c>
    </row>
    <row r="11" spans="1:4" ht="15" customHeight="1">
      <c r="A11" s="33"/>
      <c r="B11" s="29"/>
      <c r="C11" s="36">
        <v>495.25599999999997</v>
      </c>
      <c r="D11" s="35">
        <f t="shared" si="0"/>
        <v>-0.9</v>
      </c>
    </row>
    <row r="12" spans="1:4" ht="15" customHeight="1">
      <c r="A12" s="33"/>
      <c r="B12" s="31"/>
      <c r="C12" s="34">
        <v>484.12200000000001</v>
      </c>
      <c r="D12" s="35">
        <f t="shared" si="0"/>
        <v>-3.2</v>
      </c>
    </row>
    <row r="13" spans="1:4" ht="15" customHeight="1">
      <c r="A13" s="16" t="s">
        <v>18</v>
      </c>
      <c r="B13" s="37"/>
      <c r="C13" s="38">
        <f>ROUND(AVERAGE(C7:C12),3)</f>
        <v>480.49400000000003</v>
      </c>
      <c r="D13" s="37"/>
    </row>
    <row r="14" spans="1:4" ht="15" customHeight="1">
      <c r="A14" s="16" t="s">
        <v>4</v>
      </c>
      <c r="B14" s="39"/>
      <c r="C14" s="38">
        <f>ROUND(STDEV(C7:C12),3)</f>
        <v>14.355</v>
      </c>
      <c r="D14" s="39"/>
    </row>
    <row r="15" spans="1:4" ht="15" customHeight="1">
      <c r="A15" s="9" t="s">
        <v>36</v>
      </c>
      <c r="B15" s="39"/>
      <c r="C15" s="35">
        <f>ROUND(C14/C13*100,1)</f>
        <v>3</v>
      </c>
      <c r="D15" s="39"/>
    </row>
    <row r="16" spans="1:4" ht="15" customHeight="1">
      <c r="A16" s="9" t="s">
        <v>182</v>
      </c>
      <c r="B16" s="39"/>
      <c r="C16" s="35">
        <f>ROUND(C13/C$5*100,1)</f>
        <v>96.1</v>
      </c>
      <c r="D16" s="39"/>
    </row>
    <row r="17" spans="1:4">
      <c r="A17" s="16" t="s">
        <v>5</v>
      </c>
      <c r="B17" s="40"/>
      <c r="C17" s="16">
        <v>6</v>
      </c>
      <c r="D17" s="40"/>
    </row>
    <row r="40" spans="2:2">
      <c r="B40" s="12"/>
    </row>
    <row r="41" spans="2:2">
      <c r="B41" s="12"/>
    </row>
  </sheetData>
  <mergeCells count="8">
    <mergeCell ref="B13:B17"/>
    <mergeCell ref="D13:D17"/>
    <mergeCell ref="A2:D2"/>
    <mergeCell ref="D4:D6"/>
    <mergeCell ref="B4:B6"/>
    <mergeCell ref="A4:A6"/>
    <mergeCell ref="A7:A12"/>
    <mergeCell ref="B7:B12"/>
  </mergeCells>
  <phoneticPr fontId="5" type="noConversion"/>
  <printOptions headings="1" gridLines="1"/>
  <pageMargins left="0.70866141732283472" right="0.70866141732283472" top="0.74803149606299213" bottom="0.74803149606299213" header="0.31496062992125984" footer="0.31496062992125984"/>
  <pageSetup orientation="portrait" r:id="rId1"/>
  <headerFooter>
    <oddHeader>&amp;C 1632MV7生物分析方法学验证数据</oddHeader>
    <oddFooter>&amp;C第&amp;P页，共&amp;N页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I33"/>
  <sheetViews>
    <sheetView zoomScaleNormal="100" zoomScaleSheetLayoutView="100" workbookViewId="0">
      <selection activeCell="I20" sqref="I20"/>
    </sheetView>
  </sheetViews>
  <sheetFormatPr defaultColWidth="8.77734375" defaultRowHeight="13.8"/>
  <cols>
    <col min="1" max="6" width="14.5546875" style="26" customWidth="1"/>
    <col min="7" max="7" width="12.33203125" style="26" customWidth="1"/>
    <col min="8" max="8" width="8.77734375" style="26"/>
    <col min="9" max="9" width="16.77734375" style="26" customWidth="1"/>
    <col min="10" max="16384" width="8.77734375" style="26"/>
  </cols>
  <sheetData>
    <row r="2" spans="1:9">
      <c r="A2" s="25" t="s">
        <v>29</v>
      </c>
      <c r="B2" s="25"/>
      <c r="C2" s="25"/>
    </row>
    <row r="3" spans="1:9">
      <c r="A3" s="27"/>
      <c r="B3" s="27"/>
      <c r="C3" s="27"/>
    </row>
    <row r="4" spans="1:9" s="107" customFormat="1" ht="14.4">
      <c r="A4" s="106" t="s">
        <v>90</v>
      </c>
      <c r="B4" s="106" t="s">
        <v>177</v>
      </c>
      <c r="C4" s="12"/>
      <c r="D4" s="12"/>
      <c r="E4" s="12"/>
      <c r="F4" s="12"/>
      <c r="G4" s="12"/>
      <c r="H4" s="12"/>
      <c r="I4" s="12"/>
    </row>
    <row r="5" spans="1:9" ht="14.25" customHeight="1">
      <c r="A5" s="42" t="s">
        <v>27</v>
      </c>
      <c r="B5" s="42" t="s">
        <v>9</v>
      </c>
      <c r="C5" s="9" t="s">
        <v>3</v>
      </c>
      <c r="D5" s="98" t="s">
        <v>52</v>
      </c>
      <c r="E5" s="9" t="s">
        <v>1</v>
      </c>
      <c r="F5" s="42" t="s">
        <v>52</v>
      </c>
      <c r="G5" s="12"/>
      <c r="H5" s="93" t="s">
        <v>91</v>
      </c>
      <c r="I5" s="92">
        <v>45903.712500000001</v>
      </c>
    </row>
    <row r="6" spans="1:9" ht="13.5" customHeight="1">
      <c r="A6" s="45"/>
      <c r="B6" s="45"/>
      <c r="C6" s="68">
        <v>0.3</v>
      </c>
      <c r="D6" s="98"/>
      <c r="E6" s="68">
        <v>37.5</v>
      </c>
      <c r="F6" s="45"/>
      <c r="G6" s="12"/>
      <c r="H6" s="93" t="s">
        <v>92</v>
      </c>
      <c r="I6" s="92">
        <v>45904.38958333333</v>
      </c>
    </row>
    <row r="7" spans="1:9" ht="14.4">
      <c r="A7" s="48"/>
      <c r="B7" s="48"/>
      <c r="C7" s="49" t="s">
        <v>6</v>
      </c>
      <c r="D7" s="98"/>
      <c r="E7" s="49" t="s">
        <v>6</v>
      </c>
      <c r="F7" s="48"/>
      <c r="G7" s="12"/>
      <c r="H7" s="93" t="s">
        <v>93</v>
      </c>
      <c r="I7" s="94">
        <f>(I6-I5)*24</f>
        <v>16.249999999883585</v>
      </c>
    </row>
    <row r="8" spans="1:9">
      <c r="A8" s="70">
        <v>45905</v>
      </c>
      <c r="B8" s="42">
        <v>3</v>
      </c>
      <c r="C8" s="36">
        <v>0.29699999999999999</v>
      </c>
      <c r="D8" s="35">
        <f>ROUND((C8-C$6)/C$6*100,1)</f>
        <v>-1</v>
      </c>
      <c r="E8" s="34">
        <v>39.246000000000002</v>
      </c>
      <c r="F8" s="35">
        <f>ROUND((E8-E$6)/E$6*100,1)</f>
        <v>4.7</v>
      </c>
      <c r="G8" s="12"/>
      <c r="H8" s="12"/>
      <c r="I8" s="12"/>
    </row>
    <row r="9" spans="1:9">
      <c r="A9" s="70"/>
      <c r="B9" s="45"/>
      <c r="C9" s="36">
        <v>0.29699999999999999</v>
      </c>
      <c r="D9" s="35">
        <f t="shared" ref="D9:D13" si="0">ROUND((C9-C$6)/C$6*100,1)</f>
        <v>-1</v>
      </c>
      <c r="E9" s="34">
        <v>37.865000000000002</v>
      </c>
      <c r="F9" s="35">
        <f t="shared" ref="F9:F13" si="1">ROUND((E9-E$6)/E$6*100,1)</f>
        <v>1</v>
      </c>
      <c r="G9" s="12"/>
      <c r="H9" s="12"/>
      <c r="I9" s="12"/>
    </row>
    <row r="10" spans="1:9">
      <c r="A10" s="70"/>
      <c r="B10" s="45"/>
      <c r="C10" s="36">
        <v>0.27900000000000003</v>
      </c>
      <c r="D10" s="35">
        <f t="shared" si="0"/>
        <v>-7</v>
      </c>
      <c r="E10" s="34">
        <v>38.024000000000001</v>
      </c>
      <c r="F10" s="35">
        <f t="shared" si="1"/>
        <v>1.4</v>
      </c>
      <c r="G10" s="12"/>
      <c r="H10" s="12"/>
      <c r="I10" s="12"/>
    </row>
    <row r="11" spans="1:9">
      <c r="A11" s="70"/>
      <c r="B11" s="45"/>
      <c r="C11" s="36">
        <v>0.28599999999999998</v>
      </c>
      <c r="D11" s="35">
        <f t="shared" si="0"/>
        <v>-4.7</v>
      </c>
      <c r="E11" s="34">
        <v>41.734000000000002</v>
      </c>
      <c r="F11" s="35">
        <f t="shared" si="1"/>
        <v>11.3</v>
      </c>
      <c r="G11" s="12"/>
      <c r="H11" s="12"/>
      <c r="I11" s="12"/>
    </row>
    <row r="12" spans="1:9">
      <c r="A12" s="70"/>
      <c r="B12" s="45"/>
      <c r="C12" s="36">
        <v>0.33600000000000002</v>
      </c>
      <c r="D12" s="35">
        <f t="shared" si="0"/>
        <v>12</v>
      </c>
      <c r="E12" s="36">
        <v>37.503999999999998</v>
      </c>
      <c r="F12" s="35">
        <f t="shared" si="1"/>
        <v>0</v>
      </c>
      <c r="G12" s="12"/>
      <c r="H12" s="12"/>
      <c r="I12" s="12"/>
    </row>
    <row r="13" spans="1:9">
      <c r="A13" s="70"/>
      <c r="B13" s="48"/>
      <c r="C13" s="36">
        <v>0.317</v>
      </c>
      <c r="D13" s="35">
        <f t="shared" si="0"/>
        <v>5.7</v>
      </c>
      <c r="E13" s="36">
        <v>40.088000000000001</v>
      </c>
      <c r="F13" s="35">
        <f t="shared" si="1"/>
        <v>6.9</v>
      </c>
      <c r="G13" s="12"/>
      <c r="H13" s="12"/>
      <c r="I13" s="12"/>
    </row>
    <row r="14" spans="1:9" ht="14.4">
      <c r="A14" s="9" t="s">
        <v>16</v>
      </c>
      <c r="B14" s="60"/>
      <c r="C14" s="38">
        <f>ROUND(AVERAGE(C8:C13),3)</f>
        <v>0.30199999999999999</v>
      </c>
      <c r="D14" s="37"/>
      <c r="E14" s="38">
        <f>ROUND(AVERAGE(E8:E13),3)</f>
        <v>39.076999999999998</v>
      </c>
      <c r="F14" s="37"/>
      <c r="G14" s="12"/>
      <c r="H14" s="12"/>
      <c r="I14" s="12"/>
    </row>
    <row r="15" spans="1:9">
      <c r="A15" s="9" t="s">
        <v>4</v>
      </c>
      <c r="B15" s="61"/>
      <c r="C15" s="38">
        <f>ROUND(STDEV(C8:C13),3)</f>
        <v>2.1000000000000001E-2</v>
      </c>
      <c r="D15" s="39"/>
      <c r="E15" s="38">
        <f>ROUND(STDEV(E8:E13),3)</f>
        <v>1.6220000000000001</v>
      </c>
      <c r="F15" s="39"/>
      <c r="G15" s="12"/>
      <c r="H15" s="12"/>
      <c r="I15" s="12"/>
    </row>
    <row r="16" spans="1:9">
      <c r="A16" s="9" t="s">
        <v>36</v>
      </c>
      <c r="B16" s="61"/>
      <c r="C16" s="35">
        <f>ROUND(C15/C14*100,1)</f>
        <v>7</v>
      </c>
      <c r="D16" s="39"/>
      <c r="E16" s="35">
        <f>ROUND(E15/E14*100,1)</f>
        <v>4.2</v>
      </c>
      <c r="F16" s="39"/>
      <c r="G16" s="12"/>
      <c r="H16" s="12"/>
      <c r="I16" s="12"/>
    </row>
    <row r="17" spans="1:9">
      <c r="A17" s="9" t="s">
        <v>182</v>
      </c>
      <c r="B17" s="61"/>
      <c r="C17" s="35">
        <f>ROUND(C14/C$6*100,1)</f>
        <v>100.7</v>
      </c>
      <c r="D17" s="39"/>
      <c r="E17" s="35">
        <f>ROUND(E14/E$6*100,1)</f>
        <v>104.2</v>
      </c>
      <c r="F17" s="39"/>
      <c r="G17" s="12"/>
      <c r="H17" s="12"/>
      <c r="I17" s="12"/>
    </row>
    <row r="18" spans="1:9">
      <c r="A18" s="9" t="s">
        <v>5</v>
      </c>
      <c r="B18" s="63"/>
      <c r="C18" s="16">
        <v>6</v>
      </c>
      <c r="D18" s="40"/>
      <c r="E18" s="16">
        <v>6</v>
      </c>
      <c r="F18" s="40"/>
      <c r="G18" s="12"/>
      <c r="H18" s="12"/>
      <c r="I18" s="12"/>
    </row>
    <row r="19" spans="1:9">
      <c r="A19" s="103"/>
      <c r="B19" s="103"/>
      <c r="C19" s="103"/>
      <c r="D19" s="103"/>
      <c r="E19" s="103"/>
      <c r="H19" s="107"/>
    </row>
    <row r="20" spans="1:9">
      <c r="H20" s="107"/>
    </row>
    <row r="24" spans="1:9" ht="13.5" customHeight="1"/>
    <row r="32" spans="1:9">
      <c r="B32" s="6"/>
    </row>
    <row r="33" spans="2:2">
      <c r="B33" s="6"/>
    </row>
  </sheetData>
  <mergeCells count="10">
    <mergeCell ref="B14:B18"/>
    <mergeCell ref="D14:D18"/>
    <mergeCell ref="F14:F18"/>
    <mergeCell ref="A2:C2"/>
    <mergeCell ref="A5:A7"/>
    <mergeCell ref="B5:B7"/>
    <mergeCell ref="D5:D7"/>
    <mergeCell ref="F5:F7"/>
    <mergeCell ref="A8:A13"/>
    <mergeCell ref="B8:B13"/>
  </mergeCells>
  <phoneticPr fontId="5" type="noConversion"/>
  <printOptions headings="1" gridLines="1"/>
  <pageMargins left="0.70866141732283472" right="0.70866141732283472" top="0.74803149606299213" bottom="0.74803149606299213" header="0.31496062992125984" footer="0.31496062992125984"/>
  <pageSetup scale="67" orientation="portrait" r:id="rId1"/>
  <headerFooter>
    <oddHeader>&amp;C 1632MV7生物分析方法学验证数据</oddHeader>
    <oddFooter>&amp;C第&amp;P页，共&amp;N页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G46"/>
  <sheetViews>
    <sheetView zoomScaleNormal="100" zoomScaleSheetLayoutView="100" workbookViewId="0">
      <selection sqref="A1:XFD1048576"/>
    </sheetView>
  </sheetViews>
  <sheetFormatPr defaultColWidth="8.77734375" defaultRowHeight="13.8"/>
  <cols>
    <col min="1" max="7" width="12.77734375" style="26" customWidth="1"/>
    <col min="8" max="8" width="13.44140625" style="26" customWidth="1"/>
    <col min="9" max="16384" width="8.77734375" style="26"/>
  </cols>
  <sheetData>
    <row r="2" spans="1:7" s="26" customFormat="1">
      <c r="A2" s="25" t="s">
        <v>28</v>
      </c>
      <c r="B2" s="25"/>
      <c r="C2" s="25"/>
      <c r="D2" s="25"/>
      <c r="E2" s="25"/>
      <c r="F2" s="25"/>
    </row>
    <row r="3" spans="1:7" s="26" customFormat="1">
      <c r="A3" s="27"/>
      <c r="B3" s="27"/>
      <c r="C3" s="27"/>
      <c r="D3" s="27"/>
      <c r="E3" s="27"/>
      <c r="F3" s="27"/>
    </row>
    <row r="4" spans="1:7" s="21" customFormat="1" ht="15.75" customHeight="1">
      <c r="A4" s="96" t="s">
        <v>176</v>
      </c>
      <c r="B4" s="73"/>
      <c r="C4" s="73"/>
      <c r="D4" s="73"/>
      <c r="E4" s="73"/>
      <c r="F4" s="73"/>
    </row>
    <row r="5" spans="1:7" s="99" customFormat="1" ht="15.75" customHeight="1">
      <c r="A5" s="97" t="s">
        <v>88</v>
      </c>
      <c r="B5" s="97" t="s">
        <v>17</v>
      </c>
      <c r="C5" s="28" t="s">
        <v>20</v>
      </c>
      <c r="D5" s="9" t="s">
        <v>3</v>
      </c>
      <c r="E5" s="98" t="s">
        <v>52</v>
      </c>
      <c r="F5" s="9" t="s">
        <v>1</v>
      </c>
      <c r="G5" s="97" t="s">
        <v>76</v>
      </c>
    </row>
    <row r="6" spans="1:7" s="99" customFormat="1" ht="15.75" customHeight="1">
      <c r="A6" s="97"/>
      <c r="B6" s="97"/>
      <c r="C6" s="29"/>
      <c r="D6" s="68">
        <v>0.3</v>
      </c>
      <c r="E6" s="98"/>
      <c r="F6" s="68">
        <v>37.5</v>
      </c>
      <c r="G6" s="97"/>
    </row>
    <row r="7" spans="1:7" s="99" customFormat="1" ht="15.75" customHeight="1">
      <c r="A7" s="97"/>
      <c r="B7" s="97"/>
      <c r="C7" s="31"/>
      <c r="D7" s="49" t="s">
        <v>6</v>
      </c>
      <c r="E7" s="98"/>
      <c r="F7" s="49" t="s">
        <v>6</v>
      </c>
      <c r="G7" s="97"/>
    </row>
    <row r="8" spans="1:7" s="99" customFormat="1" ht="15.75" customHeight="1">
      <c r="A8" s="70">
        <v>45905</v>
      </c>
      <c r="B8" s="42">
        <v>3</v>
      </c>
      <c r="C8" s="100" t="s">
        <v>94</v>
      </c>
      <c r="D8" s="36">
        <v>0.312</v>
      </c>
      <c r="E8" s="35">
        <f t="shared" ref="E8:E13" si="0">ROUND((D8-D$6)/D$6*100,1)</f>
        <v>4</v>
      </c>
      <c r="F8" s="36">
        <v>38.97</v>
      </c>
      <c r="G8" s="35">
        <f t="shared" ref="G8:G13" si="1">ROUND((F8-F$6)/F$6*100,1)</f>
        <v>3.9</v>
      </c>
    </row>
    <row r="9" spans="1:7" s="99" customFormat="1" ht="15.75" customHeight="1">
      <c r="A9" s="70"/>
      <c r="B9" s="45"/>
      <c r="C9" s="101"/>
      <c r="D9" s="36">
        <v>0.30399999999999999</v>
      </c>
      <c r="E9" s="35">
        <f t="shared" si="0"/>
        <v>1.3</v>
      </c>
      <c r="F9" s="36">
        <v>41.564999999999998</v>
      </c>
      <c r="G9" s="35">
        <f t="shared" si="1"/>
        <v>10.8</v>
      </c>
    </row>
    <row r="10" spans="1:7" s="99" customFormat="1" ht="15.75" customHeight="1">
      <c r="A10" s="70"/>
      <c r="B10" s="45"/>
      <c r="C10" s="101"/>
      <c r="D10" s="36">
        <v>0.30299999999999999</v>
      </c>
      <c r="E10" s="35">
        <f t="shared" si="0"/>
        <v>1</v>
      </c>
      <c r="F10" s="36">
        <v>41.531999999999996</v>
      </c>
      <c r="G10" s="35">
        <f t="shared" si="1"/>
        <v>10.8</v>
      </c>
    </row>
    <row r="11" spans="1:7" s="99" customFormat="1" ht="15.75" customHeight="1">
      <c r="A11" s="70"/>
      <c r="B11" s="45"/>
      <c r="C11" s="101"/>
      <c r="D11" s="36">
        <v>0.34200000000000003</v>
      </c>
      <c r="E11" s="35">
        <f t="shared" si="0"/>
        <v>14</v>
      </c>
      <c r="F11" s="36">
        <v>38.558</v>
      </c>
      <c r="G11" s="35">
        <f t="shared" si="1"/>
        <v>2.8</v>
      </c>
    </row>
    <row r="12" spans="1:7" s="99" customFormat="1" ht="15.75" customHeight="1">
      <c r="A12" s="70"/>
      <c r="B12" s="45"/>
      <c r="C12" s="101"/>
      <c r="D12" s="36">
        <v>0.34200000000000003</v>
      </c>
      <c r="E12" s="35">
        <f t="shared" si="0"/>
        <v>14</v>
      </c>
      <c r="F12" s="36">
        <v>38.045999999999999</v>
      </c>
      <c r="G12" s="35">
        <f t="shared" si="1"/>
        <v>1.5</v>
      </c>
    </row>
    <row r="13" spans="1:7" s="99" customFormat="1" ht="15.75" customHeight="1">
      <c r="A13" s="70"/>
      <c r="B13" s="48"/>
      <c r="C13" s="102"/>
      <c r="D13" s="36">
        <v>0.313</v>
      </c>
      <c r="E13" s="35">
        <f t="shared" si="0"/>
        <v>4.3</v>
      </c>
      <c r="F13" s="36">
        <v>39.241</v>
      </c>
      <c r="G13" s="35">
        <f t="shared" si="1"/>
        <v>4.5999999999999996</v>
      </c>
    </row>
    <row r="14" spans="1:7" s="99" customFormat="1" ht="15.75" customHeight="1">
      <c r="A14" s="16" t="s">
        <v>18</v>
      </c>
      <c r="B14" s="37"/>
      <c r="C14" s="37"/>
      <c r="D14" s="38">
        <f>ROUND(AVERAGE(D8:D13),3)</f>
        <v>0.31900000000000001</v>
      </c>
      <c r="E14" s="37"/>
      <c r="F14" s="38">
        <f>ROUND(AVERAGE(F8:F13),3)</f>
        <v>39.652000000000001</v>
      </c>
      <c r="G14" s="37"/>
    </row>
    <row r="15" spans="1:7" s="99" customFormat="1" ht="15.75" customHeight="1">
      <c r="A15" s="16" t="s">
        <v>4</v>
      </c>
      <c r="B15" s="39"/>
      <c r="C15" s="39"/>
      <c r="D15" s="38">
        <f>ROUND(STDEV(D8:D13),3)</f>
        <v>1.7999999999999999E-2</v>
      </c>
      <c r="E15" s="39"/>
      <c r="F15" s="38">
        <f>ROUND(STDEV(F8:F13),3)</f>
        <v>1.5229999999999999</v>
      </c>
      <c r="G15" s="39"/>
    </row>
    <row r="16" spans="1:7" s="99" customFormat="1" ht="15.75" customHeight="1">
      <c r="A16" s="9" t="s">
        <v>36</v>
      </c>
      <c r="B16" s="39"/>
      <c r="C16" s="39"/>
      <c r="D16" s="35">
        <f>ROUND(D15/D14*100,1)</f>
        <v>5.6</v>
      </c>
      <c r="E16" s="39"/>
      <c r="F16" s="35">
        <f>ROUND(F15/F14*100,1)</f>
        <v>3.8</v>
      </c>
      <c r="G16" s="39"/>
    </row>
    <row r="17" spans="1:7" s="99" customFormat="1" ht="15.75" customHeight="1">
      <c r="A17" s="9" t="s">
        <v>182</v>
      </c>
      <c r="B17" s="39"/>
      <c r="C17" s="39"/>
      <c r="D17" s="35">
        <f>ROUND(D14/D$6*100,1)</f>
        <v>106.3</v>
      </c>
      <c r="E17" s="39"/>
      <c r="F17" s="35">
        <f>ROUND(F14/F$6*100,1)</f>
        <v>105.7</v>
      </c>
      <c r="G17" s="39"/>
    </row>
    <row r="18" spans="1:7" s="99" customFormat="1" ht="15.75" customHeight="1">
      <c r="A18" s="16" t="s">
        <v>5</v>
      </c>
      <c r="B18" s="40"/>
      <c r="C18" s="40"/>
      <c r="D18" s="16">
        <v>6</v>
      </c>
      <c r="E18" s="40"/>
      <c r="F18" s="16">
        <v>6</v>
      </c>
      <c r="G18" s="40"/>
    </row>
    <row r="19" spans="1:7" s="26" customFormat="1">
      <c r="A19" s="103"/>
      <c r="B19" s="103"/>
      <c r="C19" s="103"/>
      <c r="D19" s="103"/>
      <c r="E19" s="103"/>
      <c r="F19" s="104"/>
    </row>
    <row r="20" spans="1:7" s="26" customFormat="1">
      <c r="A20" s="105"/>
      <c r="B20" s="105"/>
      <c r="C20" s="105"/>
      <c r="D20" s="105"/>
    </row>
    <row r="45" spans="2:2" s="26" customFormat="1">
      <c r="B45" s="6"/>
    </row>
    <row r="46" spans="2:2" s="26" customFormat="1">
      <c r="B46" s="6"/>
    </row>
  </sheetData>
  <mergeCells count="14">
    <mergeCell ref="G5:G7"/>
    <mergeCell ref="G14:G18"/>
    <mergeCell ref="A2:F2"/>
    <mergeCell ref="A20:D20"/>
    <mergeCell ref="A5:A7"/>
    <mergeCell ref="B5:B7"/>
    <mergeCell ref="C5:C7"/>
    <mergeCell ref="E5:E7"/>
    <mergeCell ref="A8:A13"/>
    <mergeCell ref="B8:B13"/>
    <mergeCell ref="C8:C13"/>
    <mergeCell ref="B14:B18"/>
    <mergeCell ref="C14:C18"/>
    <mergeCell ref="E14:E18"/>
  </mergeCells>
  <phoneticPr fontId="5" type="noConversion"/>
  <printOptions headings="1" gridLines="1"/>
  <pageMargins left="0.70866141732283472" right="0.70866141732283472" top="0.74803149606299213" bottom="0.74803149606299213" header="0.31496062992125984" footer="0.31496062992125984"/>
  <pageSetup scale="94" orientation="portrait" r:id="rId1"/>
  <headerFooter>
    <oddHeader>&amp;C 1632MV7生物分析方法学验证数据</oddHeader>
    <oddFooter>&amp;C第&amp;P页，共&amp;N页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I63"/>
  <sheetViews>
    <sheetView zoomScaleNormal="100" zoomScaleSheetLayoutView="100" workbookViewId="0">
      <selection activeCell="J23" sqref="J23"/>
    </sheetView>
  </sheetViews>
  <sheetFormatPr defaultColWidth="8.77734375" defaultRowHeight="13.8"/>
  <cols>
    <col min="1" max="1" width="17.33203125" style="21" customWidth="1"/>
    <col min="2" max="8" width="13.44140625" style="21" customWidth="1"/>
    <col min="9" max="9" width="21.21875" style="21" customWidth="1"/>
    <col min="10" max="230" width="13.44140625" style="21" customWidth="1"/>
    <col min="231" max="16384" width="8.77734375" style="21"/>
  </cols>
  <sheetData>
    <row r="2" spans="1:9" s="21" customFormat="1" ht="15.75" customHeight="1">
      <c r="A2" s="21" t="s">
        <v>95</v>
      </c>
    </row>
    <row r="4" spans="1:9" s="21" customFormat="1" ht="15.75" customHeight="1">
      <c r="A4" s="41" t="s">
        <v>175</v>
      </c>
    </row>
    <row r="5" spans="1:9" s="21" customFormat="1" ht="15.75" customHeight="1">
      <c r="A5" s="28" t="s">
        <v>88</v>
      </c>
      <c r="B5" s="28" t="s">
        <v>17</v>
      </c>
      <c r="C5" s="9" t="s">
        <v>7</v>
      </c>
      <c r="D5" s="42" t="s">
        <v>52</v>
      </c>
      <c r="E5" s="67" t="s">
        <v>1</v>
      </c>
      <c r="F5" s="28" t="s">
        <v>76</v>
      </c>
      <c r="H5" s="43" t="s">
        <v>96</v>
      </c>
      <c r="I5" s="92">
        <v>45902.734027777777</v>
      </c>
    </row>
    <row r="6" spans="1:9" s="21" customFormat="1" ht="15.75" customHeight="1">
      <c r="A6" s="29"/>
      <c r="B6" s="29"/>
      <c r="C6" s="68">
        <v>0.3</v>
      </c>
      <c r="D6" s="45"/>
      <c r="E6" s="68">
        <v>37.5</v>
      </c>
      <c r="F6" s="29"/>
      <c r="H6" s="43" t="s">
        <v>97</v>
      </c>
      <c r="I6" s="92">
        <v>45906.007407407407</v>
      </c>
    </row>
    <row r="7" spans="1:9" s="21" customFormat="1" ht="15.75" customHeight="1">
      <c r="A7" s="31"/>
      <c r="B7" s="31"/>
      <c r="C7" s="49" t="s">
        <v>6</v>
      </c>
      <c r="D7" s="48"/>
      <c r="E7" s="49" t="s">
        <v>6</v>
      </c>
      <c r="F7" s="31"/>
      <c r="H7" s="93" t="s">
        <v>93</v>
      </c>
      <c r="I7" s="94">
        <f>(I6-I5)*24</f>
        <v>78.561111111135688</v>
      </c>
    </row>
    <row r="8" spans="1:9" s="21" customFormat="1" ht="15.75" customHeight="1">
      <c r="A8" s="70">
        <v>45905</v>
      </c>
      <c r="B8" s="42">
        <v>3</v>
      </c>
      <c r="C8" s="36">
        <v>0.31900000000000001</v>
      </c>
      <c r="D8" s="35">
        <f>ROUND((C8-C$6)/C$6*100,1)</f>
        <v>6.3</v>
      </c>
      <c r="E8" s="34">
        <v>40.262</v>
      </c>
      <c r="F8" s="35">
        <f>ROUND((E8-E6)/E$6*100,1)</f>
        <v>7.4</v>
      </c>
    </row>
    <row r="9" spans="1:9" s="21" customFormat="1" ht="15.75" customHeight="1">
      <c r="A9" s="70"/>
      <c r="B9" s="45"/>
      <c r="C9" s="36">
        <v>0.33200000000000002</v>
      </c>
      <c r="D9" s="35">
        <f t="shared" ref="D9:D13" si="0">ROUND((C9-C$6)/C$6*100,1)</f>
        <v>10.7</v>
      </c>
      <c r="E9" s="34">
        <v>39.143999999999998</v>
      </c>
      <c r="F9" s="35">
        <f>ROUND((E9-E$6)/E$6*100,1)</f>
        <v>4.4000000000000004</v>
      </c>
    </row>
    <row r="10" spans="1:9" s="21" customFormat="1" ht="15.75" customHeight="1">
      <c r="A10" s="70"/>
      <c r="B10" s="45"/>
      <c r="C10" s="36">
        <v>0.33900000000000002</v>
      </c>
      <c r="D10" s="35">
        <f t="shared" si="0"/>
        <v>13</v>
      </c>
      <c r="E10" s="34">
        <v>39.688000000000002</v>
      </c>
      <c r="F10" s="35">
        <f>ROUND((E10-E$6)/E$6*100,1)</f>
        <v>5.8</v>
      </c>
    </row>
    <row r="11" spans="1:9" s="21" customFormat="1" ht="15.75" customHeight="1">
      <c r="A11" s="70"/>
      <c r="B11" s="45"/>
      <c r="C11" s="36">
        <v>0.31900000000000001</v>
      </c>
      <c r="D11" s="35">
        <f t="shared" si="0"/>
        <v>6.3</v>
      </c>
      <c r="E11" s="34">
        <v>39.843000000000004</v>
      </c>
      <c r="F11" s="35">
        <f>ROUND((E11-E$6)/E$6*100,1)</f>
        <v>6.2</v>
      </c>
    </row>
    <row r="12" spans="1:9" s="21" customFormat="1" ht="15.75" customHeight="1">
      <c r="A12" s="70"/>
      <c r="B12" s="45"/>
      <c r="C12" s="36">
        <v>0.29899999999999999</v>
      </c>
      <c r="D12" s="35">
        <f t="shared" si="0"/>
        <v>-0.3</v>
      </c>
      <c r="E12" s="34">
        <v>41.892000000000003</v>
      </c>
      <c r="F12" s="35">
        <f>ROUND((E12-E$6)/E$6*100,1)</f>
        <v>11.7</v>
      </c>
    </row>
    <row r="13" spans="1:9" s="21" customFormat="1" ht="15.75" customHeight="1">
      <c r="A13" s="70"/>
      <c r="B13" s="48"/>
      <c r="C13" s="36">
        <v>0.30299999999999999</v>
      </c>
      <c r="D13" s="35">
        <f t="shared" si="0"/>
        <v>1</v>
      </c>
      <c r="E13" s="36">
        <v>42.689</v>
      </c>
      <c r="F13" s="35">
        <f>ROUND((E13-E$6)/E$6*100,1)</f>
        <v>13.8</v>
      </c>
      <c r="I13" s="21" t="s">
        <v>66</v>
      </c>
    </row>
    <row r="14" spans="1:9" s="21" customFormat="1" ht="15.75" customHeight="1">
      <c r="A14" s="16" t="s">
        <v>18</v>
      </c>
      <c r="B14" s="37"/>
      <c r="C14" s="38">
        <f>ROUND(AVERAGE(C8:C13),3)</f>
        <v>0.31900000000000001</v>
      </c>
      <c r="D14" s="37"/>
      <c r="E14" s="38">
        <f>ROUND(AVERAGE(E8:E13),3)</f>
        <v>40.585999999999999</v>
      </c>
      <c r="F14" s="37"/>
    </row>
    <row r="15" spans="1:9" s="21" customFormat="1" ht="15.75" customHeight="1">
      <c r="A15" s="16" t="s">
        <v>4</v>
      </c>
      <c r="B15" s="39"/>
      <c r="C15" s="38">
        <f>ROUND(STDEV(C8:C13),3)</f>
        <v>1.6E-2</v>
      </c>
      <c r="D15" s="39"/>
      <c r="E15" s="38">
        <f>ROUND(STDEV(E8:E13),3)</f>
        <v>1.391</v>
      </c>
      <c r="F15" s="39"/>
    </row>
    <row r="16" spans="1:9" s="21" customFormat="1" ht="15.75" customHeight="1">
      <c r="A16" s="9" t="s">
        <v>36</v>
      </c>
      <c r="B16" s="39"/>
      <c r="C16" s="35">
        <f>ROUND(C15/C14*100,1)</f>
        <v>5</v>
      </c>
      <c r="D16" s="39"/>
      <c r="E16" s="35">
        <f>ROUND(E15/E14*100,1)</f>
        <v>3.4</v>
      </c>
      <c r="F16" s="39"/>
    </row>
    <row r="17" spans="1:6" s="21" customFormat="1" ht="15.75" customHeight="1">
      <c r="A17" s="9" t="s">
        <v>182</v>
      </c>
      <c r="B17" s="39"/>
      <c r="C17" s="35">
        <f>ROUND(C14/C$6*100,1)</f>
        <v>106.3</v>
      </c>
      <c r="D17" s="39"/>
      <c r="E17" s="35">
        <f>ROUND(E14/E$6*100,1)</f>
        <v>108.2</v>
      </c>
      <c r="F17" s="39"/>
    </row>
    <row r="18" spans="1:6" s="21" customFormat="1" ht="15.75" customHeight="1">
      <c r="A18" s="16" t="s">
        <v>5</v>
      </c>
      <c r="B18" s="40"/>
      <c r="C18" s="16">
        <v>6</v>
      </c>
      <c r="D18" s="40"/>
      <c r="E18" s="16">
        <v>6</v>
      </c>
      <c r="F18" s="40"/>
    </row>
    <row r="19" spans="1:6" s="21" customFormat="1" ht="15.75" customHeight="1">
      <c r="A19" s="72"/>
      <c r="B19" s="72"/>
      <c r="C19" s="72"/>
      <c r="D19" s="72"/>
    </row>
    <row r="20" spans="1:6" s="21" customFormat="1" ht="15.75" customHeight="1"/>
    <row r="21" spans="1:6" s="21" customFormat="1" ht="15.75" customHeight="1">
      <c r="C21" s="95"/>
    </row>
    <row r="22" spans="1:6" s="21" customFormat="1" ht="15.75" customHeight="1">
      <c r="C22" s="95"/>
    </row>
    <row r="23" spans="1:6" s="21" customFormat="1" ht="15.75" customHeight="1">
      <c r="C23" s="95"/>
    </row>
    <row r="24" spans="1:6" s="21" customFormat="1" ht="15.75" customHeight="1">
      <c r="C24" s="95"/>
    </row>
    <row r="25" spans="1:6" s="21" customFormat="1" ht="15.75" customHeight="1">
      <c r="C25" s="95"/>
    </row>
    <row r="26" spans="1:6" s="21" customFormat="1" ht="15.75" customHeight="1">
      <c r="C26" s="95"/>
    </row>
    <row r="27" spans="1:6" s="21" customFormat="1" ht="15.75" customHeight="1">
      <c r="C27" s="95"/>
    </row>
    <row r="28" spans="1:6" s="21" customFormat="1" ht="15.75" customHeight="1">
      <c r="C28" s="95"/>
    </row>
    <row r="29" spans="1:6" s="21" customFormat="1" ht="15.75" customHeight="1">
      <c r="C29" s="95"/>
    </row>
    <row r="30" spans="1:6" s="21" customFormat="1" ht="15.75" customHeight="1">
      <c r="C30" s="95"/>
    </row>
    <row r="31" spans="1:6" s="21" customFormat="1" ht="15.75" customHeight="1">
      <c r="C31" s="95"/>
    </row>
    <row r="32" spans="1:6" s="21" customFormat="1" ht="15.75" customHeight="1">
      <c r="C32" s="95"/>
    </row>
    <row r="33" spans="3:3" s="21" customFormat="1" ht="15.75" customHeight="1">
      <c r="C33" s="95"/>
    </row>
    <row r="34" spans="3:3" s="21" customFormat="1" ht="15.75" customHeight="1">
      <c r="C34" s="95"/>
    </row>
    <row r="35" spans="3:3" s="21" customFormat="1" ht="15.75" customHeight="1">
      <c r="C35" s="95"/>
    </row>
    <row r="36" spans="3:3" s="21" customFormat="1" ht="15.75" customHeight="1">
      <c r="C36" s="95"/>
    </row>
    <row r="37" spans="3:3" s="21" customFormat="1" ht="15.75" customHeight="1">
      <c r="C37" s="95"/>
    </row>
    <row r="38" spans="3:3" s="21" customFormat="1" ht="15.75" customHeight="1">
      <c r="C38" s="95"/>
    </row>
    <row r="45" spans="3:3" s="21" customFormat="1" ht="15.75" customHeight="1"/>
    <row r="46" spans="3:3" s="21" customFormat="1" ht="15.75" customHeight="1"/>
    <row r="62" s="21" customFormat="1" ht="15.75" customHeight="1"/>
    <row r="63" s="21" customFormat="1" ht="15.75" customHeight="1"/>
  </sheetData>
  <mergeCells count="10">
    <mergeCell ref="B14:B18"/>
    <mergeCell ref="D14:D18"/>
    <mergeCell ref="F14:F18"/>
    <mergeCell ref="A19:D19"/>
    <mergeCell ref="A5:A7"/>
    <mergeCell ref="B5:B7"/>
    <mergeCell ref="D5:D7"/>
    <mergeCell ref="F5:F7"/>
    <mergeCell ref="A8:A13"/>
    <mergeCell ref="B8:B13"/>
  </mergeCells>
  <phoneticPr fontId="5" type="noConversion"/>
  <printOptions headings="1" gridLines="1"/>
  <pageMargins left="0.70866141732283472" right="0.70866141732283472" top="0.74803149606299213" bottom="0.74803149606299213" header="0.31496062992125984" footer="0.31496062992125984"/>
  <pageSetup scale="63" orientation="portrait" r:id="rId1"/>
  <headerFooter>
    <oddHeader>&amp;C 1632MV7生物分析方法学验证数据</oddHeader>
    <oddFooter>&amp;C第&amp;P页，共&amp;N页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G64"/>
  <sheetViews>
    <sheetView zoomScaleNormal="100" zoomScaleSheetLayoutView="100" workbookViewId="0">
      <selection activeCell="K23" sqref="K23"/>
    </sheetView>
  </sheetViews>
  <sheetFormatPr defaultColWidth="8.77734375" defaultRowHeight="13.8"/>
  <cols>
    <col min="1" max="228" width="12.5546875" style="21" customWidth="1"/>
    <col min="229" max="16384" width="8.77734375" style="21"/>
  </cols>
  <sheetData>
    <row r="2" spans="1:7" s="21" customFormat="1" ht="15.75" customHeight="1">
      <c r="A2" s="21" t="s">
        <v>98</v>
      </c>
    </row>
    <row r="3" spans="1:7" s="21" customFormat="1" ht="15.75" customHeight="1">
      <c r="B3" s="73"/>
      <c r="C3" s="73"/>
      <c r="D3" s="73"/>
      <c r="E3" s="73"/>
      <c r="F3" s="73"/>
    </row>
    <row r="4" spans="1:7" s="21" customFormat="1" ht="15.75" customHeight="1">
      <c r="A4" s="41" t="s">
        <v>172</v>
      </c>
      <c r="B4" s="12"/>
      <c r="C4" s="12"/>
      <c r="D4" s="12"/>
      <c r="E4" s="12"/>
      <c r="F4" s="12"/>
      <c r="G4" s="12"/>
    </row>
    <row r="5" spans="1:7" s="21" customFormat="1" ht="15.75" customHeight="1">
      <c r="A5" s="42" t="s">
        <v>26</v>
      </c>
      <c r="B5" s="42" t="s">
        <v>9</v>
      </c>
      <c r="C5" s="42" t="s">
        <v>21</v>
      </c>
      <c r="D5" s="74" t="s">
        <v>24</v>
      </c>
      <c r="E5" s="75"/>
      <c r="F5" s="75"/>
      <c r="G5" s="76"/>
    </row>
    <row r="6" spans="1:7" s="21" customFormat="1" ht="15.75" customHeight="1">
      <c r="A6" s="45"/>
      <c r="B6" s="45"/>
      <c r="C6" s="45"/>
      <c r="D6" s="77">
        <v>0.3</v>
      </c>
      <c r="E6" s="78" t="s">
        <v>19</v>
      </c>
      <c r="F6" s="77">
        <v>37.5</v>
      </c>
      <c r="G6" s="79" t="s">
        <v>19</v>
      </c>
    </row>
    <row r="7" spans="1:7" s="21" customFormat="1" ht="15.75" customHeight="1">
      <c r="A7" s="45"/>
      <c r="B7" s="45"/>
      <c r="C7" s="45"/>
      <c r="D7" s="80" t="s">
        <v>25</v>
      </c>
      <c r="E7" s="81"/>
      <c r="F7" s="80" t="s">
        <v>25</v>
      </c>
      <c r="G7" s="81"/>
    </row>
    <row r="8" spans="1:7" s="21" customFormat="1" ht="15.75" customHeight="1">
      <c r="A8" s="48"/>
      <c r="B8" s="48"/>
      <c r="C8" s="48"/>
      <c r="D8" s="9" t="s">
        <v>173</v>
      </c>
      <c r="E8" s="9" t="s">
        <v>22</v>
      </c>
      <c r="F8" s="9" t="s">
        <v>173</v>
      </c>
      <c r="G8" s="9" t="s">
        <v>22</v>
      </c>
    </row>
    <row r="9" spans="1:7" s="21" customFormat="1" ht="15.75" customHeight="1">
      <c r="A9" s="70">
        <v>45905</v>
      </c>
      <c r="B9" s="42">
        <v>4</v>
      </c>
      <c r="C9" s="9">
        <v>1</v>
      </c>
      <c r="D9" s="82">
        <v>0.17467299999999999</v>
      </c>
      <c r="E9" s="82">
        <v>0.17833399999999999</v>
      </c>
      <c r="F9" s="82">
        <v>21.923202</v>
      </c>
      <c r="G9" s="82">
        <v>21.739913000000001</v>
      </c>
    </row>
    <row r="10" spans="1:7" s="21" customFormat="1" ht="15.75" customHeight="1">
      <c r="A10" s="70"/>
      <c r="B10" s="45"/>
      <c r="C10" s="9">
        <v>2</v>
      </c>
      <c r="D10" s="82">
        <v>0.18298300000000001</v>
      </c>
      <c r="E10" s="82">
        <v>0.18505199999999999</v>
      </c>
      <c r="F10" s="9">
        <v>22.078759000000002</v>
      </c>
      <c r="G10" s="82">
        <v>22.538153000000001</v>
      </c>
    </row>
    <row r="11" spans="1:7" s="21" customFormat="1" ht="15.75" customHeight="1">
      <c r="A11" s="70"/>
      <c r="B11" s="45"/>
      <c r="C11" s="9">
        <v>3</v>
      </c>
      <c r="D11" s="82">
        <v>0.18007200000000001</v>
      </c>
      <c r="E11" s="82">
        <v>0.20128399999999999</v>
      </c>
      <c r="F11" s="9">
        <v>22.035816000000001</v>
      </c>
      <c r="G11" s="82">
        <v>22.172477000000001</v>
      </c>
    </row>
    <row r="12" spans="1:7" s="21" customFormat="1" ht="15.75" customHeight="1">
      <c r="A12" s="70"/>
      <c r="B12" s="45"/>
      <c r="C12" s="9">
        <v>4</v>
      </c>
      <c r="D12" s="82">
        <v>0.17419200000000001</v>
      </c>
      <c r="E12" s="82">
        <v>0.19589400000000001</v>
      </c>
      <c r="F12" s="9">
        <v>22.592939000000001</v>
      </c>
      <c r="G12" s="82">
        <v>23.843318</v>
      </c>
    </row>
    <row r="13" spans="1:7" s="21" customFormat="1" ht="15.75" customHeight="1">
      <c r="A13" s="70"/>
      <c r="B13" s="45"/>
      <c r="C13" s="9">
        <v>5</v>
      </c>
      <c r="D13" s="82">
        <v>0.17361799999999999</v>
      </c>
      <c r="E13" s="82">
        <v>0.18088299999999999</v>
      </c>
      <c r="F13" s="9">
        <v>21.366783999999999</v>
      </c>
      <c r="G13" s="82">
        <v>22.218854</v>
      </c>
    </row>
    <row r="14" spans="1:7" s="21" customFormat="1" ht="15.75" customHeight="1">
      <c r="A14" s="70"/>
      <c r="B14" s="48"/>
      <c r="C14" s="83">
        <v>6</v>
      </c>
      <c r="D14" s="82">
        <v>0.19104099999999999</v>
      </c>
      <c r="E14" s="82">
        <v>0.19206899999999999</v>
      </c>
      <c r="F14" s="9">
        <v>21.852737000000001</v>
      </c>
      <c r="G14" s="82">
        <v>23.411000999999999</v>
      </c>
    </row>
    <row r="15" spans="1:7" s="21" customFormat="1" ht="15.75" customHeight="1">
      <c r="A15" s="9" t="s">
        <v>16</v>
      </c>
      <c r="B15" s="84"/>
      <c r="C15" s="85"/>
      <c r="D15" s="82">
        <f>ROUND(AVERAGE(D9:D14),6)</f>
        <v>0.17943000000000001</v>
      </c>
      <c r="E15" s="82">
        <f>ROUND(AVERAGE(E9:E14),6)</f>
        <v>0.188919</v>
      </c>
      <c r="F15" s="82">
        <f>ROUND(AVERAGE(F9:F14),6)</f>
        <v>21.97504</v>
      </c>
      <c r="G15" s="82">
        <f>ROUND(AVERAGE(G9:G14),6)</f>
        <v>22.653953000000001</v>
      </c>
    </row>
    <row r="16" spans="1:7" s="21" customFormat="1" ht="15.75" customHeight="1">
      <c r="A16" s="9" t="s">
        <v>4</v>
      </c>
      <c r="B16" s="86"/>
      <c r="C16" s="87"/>
      <c r="D16" s="82">
        <f>ROUND(STDEV(D9:D14),6)</f>
        <v>6.8069999999999997E-3</v>
      </c>
      <c r="E16" s="82">
        <f>ROUND(STDEV(E9:E14),6)</f>
        <v>8.9779999999999999E-3</v>
      </c>
      <c r="F16" s="82">
        <f>ROUND(STDEV(F9:F14),6)</f>
        <v>0.39594699999999999</v>
      </c>
      <c r="G16" s="82">
        <f>ROUND(STDEV(G9:G14),6)</f>
        <v>0.80718299999999998</v>
      </c>
    </row>
    <row r="17" spans="1:7" s="21" customFormat="1" ht="15.75" customHeight="1">
      <c r="A17" s="9" t="s">
        <v>36</v>
      </c>
      <c r="B17" s="86"/>
      <c r="C17" s="87"/>
      <c r="D17" s="71">
        <f t="shared" ref="D17:G17" si="0">ROUND(D16/D15*100,1)</f>
        <v>3.8</v>
      </c>
      <c r="E17" s="71">
        <f t="shared" si="0"/>
        <v>4.8</v>
      </c>
      <c r="F17" s="71">
        <f t="shared" si="0"/>
        <v>1.8</v>
      </c>
      <c r="G17" s="71">
        <f t="shared" si="0"/>
        <v>3.6</v>
      </c>
    </row>
    <row r="18" spans="1:7" s="21" customFormat="1" ht="15.75" customHeight="1">
      <c r="A18" s="9" t="s">
        <v>37</v>
      </c>
      <c r="B18" s="88"/>
      <c r="C18" s="89"/>
      <c r="D18" s="90">
        <f>ROUND((D15-E15)/E15*100,1)</f>
        <v>-5</v>
      </c>
      <c r="E18" s="91"/>
      <c r="F18" s="90">
        <f>ROUND((F15-G15)/G15*100,1)</f>
        <v>-3</v>
      </c>
      <c r="G18" s="91"/>
    </row>
    <row r="19" spans="1:7" s="21" customFormat="1" ht="15.75" customHeight="1"/>
    <row r="20" spans="1:7" s="21" customFormat="1" ht="15.75" customHeight="1"/>
    <row r="21" spans="1:7" s="21" customFormat="1" ht="15.75" customHeight="1"/>
    <row r="22" spans="1:7" s="21" customFormat="1" ht="15.75" customHeight="1"/>
    <row r="23" spans="1:7" s="21" customFormat="1" ht="15.75" customHeight="1"/>
    <row r="24" spans="1:7" s="21" customFormat="1" ht="15.75" customHeight="1"/>
    <row r="25" spans="1:7" s="21" customFormat="1" ht="15.75" customHeight="1"/>
    <row r="26" spans="1:7" s="21" customFormat="1" ht="15.75" customHeight="1"/>
    <row r="27" spans="1:7" s="21" customFormat="1" ht="15.75" customHeight="1"/>
    <row r="28" spans="1:7" s="21" customFormat="1" ht="15.75" customHeight="1"/>
    <row r="29" spans="1:7" s="21" customFormat="1" ht="15.75" customHeight="1"/>
    <row r="30" spans="1:7" s="21" customFormat="1" ht="15.75" customHeight="1"/>
    <row r="31" spans="1:7" s="21" customFormat="1" ht="15.75" customHeight="1"/>
    <row r="32" spans="1:7" s="21" customFormat="1" ht="15.75" customHeight="1"/>
    <row r="33" s="21" customFormat="1" ht="15.75" customHeight="1"/>
    <row r="34" s="21" customFormat="1" ht="15.75" customHeight="1"/>
    <row r="35" s="21" customFormat="1" ht="15.75" customHeight="1"/>
    <row r="36" s="21" customFormat="1" ht="15.75" customHeight="1"/>
    <row r="37" s="21" customFormat="1" ht="15.75" customHeight="1"/>
    <row r="63" s="21" customFormat="1" ht="15.75" customHeight="1"/>
    <row r="64" s="21" customFormat="1" ht="15.75" customHeight="1"/>
  </sheetData>
  <mergeCells count="11">
    <mergeCell ref="B15:C18"/>
    <mergeCell ref="D18:E18"/>
    <mergeCell ref="F18:G18"/>
    <mergeCell ref="A5:A8"/>
    <mergeCell ref="B5:B8"/>
    <mergeCell ref="C5:C8"/>
    <mergeCell ref="D5:G5"/>
    <mergeCell ref="D7:E7"/>
    <mergeCell ref="F7:G7"/>
    <mergeCell ref="A9:A14"/>
    <mergeCell ref="B9:B14"/>
  </mergeCells>
  <phoneticPr fontId="5" type="noConversion"/>
  <printOptions headings="1" gridLines="1"/>
  <pageMargins left="0.70866141732283472" right="0.70866141732283472" top="0.74803149606299213" bottom="0.74803149606299213" header="0.31496062992125984" footer="0.31496062992125984"/>
  <pageSetup scale="96" orientation="portrait" r:id="rId1"/>
  <headerFooter>
    <oddHeader>&amp;C 1632MV7生物分析方法学验证数据</oddHeader>
    <oddFooter>&amp;C第&amp;P页，共&amp;N页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F18"/>
  <sheetViews>
    <sheetView zoomScaleNormal="100" zoomScaleSheetLayoutView="100" workbookViewId="0">
      <selection activeCell="J26" sqref="J26"/>
    </sheetView>
  </sheetViews>
  <sheetFormatPr defaultColWidth="8.77734375" defaultRowHeight="13.8"/>
  <cols>
    <col min="1" max="1" width="20.44140625" style="26" customWidth="1"/>
    <col min="2" max="243" width="12.5546875" style="26" customWidth="1"/>
    <col min="244" max="16384" width="8.77734375" style="26"/>
  </cols>
  <sheetData>
    <row r="2" spans="1:6" s="26" customFormat="1" ht="14.4">
      <c r="A2" s="65" t="s">
        <v>99</v>
      </c>
      <c r="B2" s="25"/>
      <c r="C2" s="25"/>
    </row>
    <row r="3" spans="1:6" s="26" customFormat="1">
      <c r="A3" s="66"/>
    </row>
    <row r="4" spans="1:6" s="26" customFormat="1" ht="15.75" customHeight="1">
      <c r="A4" s="42" t="s">
        <v>27</v>
      </c>
      <c r="B4" s="42" t="s">
        <v>9</v>
      </c>
      <c r="C4" s="9" t="s">
        <v>7</v>
      </c>
      <c r="D4" s="42" t="s">
        <v>52</v>
      </c>
      <c r="E4" s="67" t="s">
        <v>1</v>
      </c>
      <c r="F4" s="42" t="s">
        <v>52</v>
      </c>
    </row>
    <row r="5" spans="1:6" s="26" customFormat="1" ht="13.5" customHeight="1">
      <c r="A5" s="45"/>
      <c r="B5" s="45"/>
      <c r="C5" s="68">
        <v>0.3</v>
      </c>
      <c r="D5" s="45"/>
      <c r="E5" s="68">
        <v>37.5</v>
      </c>
      <c r="F5" s="45"/>
    </row>
    <row r="6" spans="1:6" s="26" customFormat="1">
      <c r="A6" s="48"/>
      <c r="B6" s="48"/>
      <c r="C6" s="49" t="s">
        <v>6</v>
      </c>
      <c r="D6" s="48"/>
      <c r="E6" s="69" t="s">
        <v>6</v>
      </c>
      <c r="F6" s="48"/>
    </row>
    <row r="7" spans="1:6" s="26" customFormat="1">
      <c r="A7" s="70">
        <v>45905</v>
      </c>
      <c r="B7" s="42">
        <v>3</v>
      </c>
      <c r="C7" s="11">
        <v>0.34499999999999997</v>
      </c>
      <c r="D7" s="71">
        <f t="shared" ref="D7:D9" si="0">ROUND((C7-C$5)/C$5*100,1)</f>
        <v>15</v>
      </c>
      <c r="E7" s="11">
        <v>41.143000000000001</v>
      </c>
      <c r="F7" s="71">
        <f t="shared" ref="F7:F9" si="1">ROUND((E7-E$5)/E$5*100,1)</f>
        <v>9.6999999999999993</v>
      </c>
    </row>
    <row r="8" spans="1:6" s="26" customFormat="1">
      <c r="A8" s="70"/>
      <c r="B8" s="45"/>
      <c r="C8" s="56">
        <v>0.314</v>
      </c>
      <c r="D8" s="71">
        <f t="shared" si="0"/>
        <v>4.7</v>
      </c>
      <c r="E8" s="11">
        <v>38.469000000000001</v>
      </c>
      <c r="F8" s="71">
        <f t="shared" si="1"/>
        <v>2.6</v>
      </c>
    </row>
    <row r="9" spans="1:6" s="26" customFormat="1">
      <c r="A9" s="70"/>
      <c r="B9" s="45"/>
      <c r="C9" s="11">
        <v>0.36299999999999999</v>
      </c>
      <c r="D9" s="71">
        <f t="shared" si="0"/>
        <v>21</v>
      </c>
      <c r="E9" s="11">
        <v>42.963000000000001</v>
      </c>
      <c r="F9" s="71">
        <f t="shared" si="1"/>
        <v>14.6</v>
      </c>
    </row>
    <row r="10" spans="1:6" s="26" customFormat="1" ht="14.4">
      <c r="A10" s="16" t="s">
        <v>18</v>
      </c>
      <c r="B10" s="37"/>
      <c r="C10" s="38">
        <f>ROUND(AVERAGE(C7:C9),3)</f>
        <v>0.34100000000000003</v>
      </c>
      <c r="D10" s="37"/>
      <c r="E10" s="38">
        <f>ROUND(AVERAGE(E7:E9),3)</f>
        <v>40.857999999999997</v>
      </c>
      <c r="F10" s="37"/>
    </row>
    <row r="11" spans="1:6" s="26" customFormat="1">
      <c r="A11" s="16" t="s">
        <v>4</v>
      </c>
      <c r="B11" s="39"/>
      <c r="C11" s="38">
        <f>ROUND(STDEV(C7:C9),3)</f>
        <v>2.5000000000000001E-2</v>
      </c>
      <c r="D11" s="39"/>
      <c r="E11" s="38">
        <f>ROUND(STDEV(E7:E9),3)</f>
        <v>2.2599999999999998</v>
      </c>
      <c r="F11" s="39"/>
    </row>
    <row r="12" spans="1:6" s="26" customFormat="1">
      <c r="A12" s="9" t="s">
        <v>36</v>
      </c>
      <c r="B12" s="39"/>
      <c r="C12" s="35">
        <f>ROUND(C11/C10*100,1)</f>
        <v>7.3</v>
      </c>
      <c r="D12" s="39"/>
      <c r="E12" s="35">
        <f>ROUND(E11/E10*100,1)</f>
        <v>5.5</v>
      </c>
      <c r="F12" s="39"/>
    </row>
    <row r="13" spans="1:6" s="26" customFormat="1">
      <c r="A13" s="9" t="s">
        <v>182</v>
      </c>
      <c r="B13" s="39"/>
      <c r="C13" s="35">
        <f>ROUND(C10/C$5*100,1)</f>
        <v>113.7</v>
      </c>
      <c r="D13" s="39"/>
      <c r="E13" s="35">
        <f>ROUND(E10/E$5*100,1)</f>
        <v>109</v>
      </c>
      <c r="F13" s="39"/>
    </row>
    <row r="14" spans="1:6" s="26" customFormat="1">
      <c r="A14" s="16" t="s">
        <v>5</v>
      </c>
      <c r="B14" s="40"/>
      <c r="C14" s="16">
        <v>3</v>
      </c>
      <c r="D14" s="40"/>
      <c r="E14" s="16">
        <v>3</v>
      </c>
      <c r="F14" s="40"/>
    </row>
    <row r="15" spans="1:6" s="26" customFormat="1">
      <c r="A15" s="72"/>
      <c r="B15" s="72"/>
      <c r="C15" s="72"/>
      <c r="D15" s="72"/>
    </row>
    <row r="17" s="26" customFormat="1" ht="15.75" customHeight="1"/>
    <row r="18" s="26" customFormat="1" ht="13.5" customHeight="1"/>
  </sheetData>
  <mergeCells count="11">
    <mergeCell ref="A15:D15"/>
    <mergeCell ref="A7:A9"/>
    <mergeCell ref="B7:B9"/>
    <mergeCell ref="B10:B14"/>
    <mergeCell ref="D10:D14"/>
    <mergeCell ref="F10:F14"/>
    <mergeCell ref="A2:C2"/>
    <mergeCell ref="A4:A6"/>
    <mergeCell ref="B4:B6"/>
    <mergeCell ref="D4:D6"/>
    <mergeCell ref="F4:F6"/>
  </mergeCells>
  <phoneticPr fontId="5" type="noConversion"/>
  <printOptions headings="1" gridLines="1"/>
  <pageMargins left="0.70866141732283472" right="0.70866141732283472" top="0.74803149606299213" bottom="0.74803149606299213" header="0.31496062992125984" footer="0.31496062992125984"/>
  <pageSetup orientation="portrait" r:id="rId1"/>
  <headerFooter>
    <oddHeader>&amp;C 1632MV7生物分析方法学验证数据</oddHeader>
    <oddFooter>&amp;C第&amp;P页，共&amp;N页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D9917-9EC8-4D98-9484-419B54A70521}">
  <dimension ref="A2:AE20"/>
  <sheetViews>
    <sheetView zoomScale="85" zoomScaleNormal="85" zoomScaleSheetLayoutView="100" workbookViewId="0">
      <selection activeCell="K27" sqref="K27"/>
    </sheetView>
  </sheetViews>
  <sheetFormatPr defaultColWidth="8.77734375" defaultRowHeight="15.75" customHeight="1"/>
  <cols>
    <col min="1" max="1" width="17.77734375" style="21" customWidth="1"/>
    <col min="2" max="2" width="11.44140625" style="21" customWidth="1"/>
    <col min="3" max="3" width="12.5546875" style="21" customWidth="1"/>
    <col min="4" max="4" width="9.77734375" style="21" customWidth="1"/>
    <col min="5" max="5" width="12.5546875" style="21" customWidth="1"/>
    <col min="6" max="6" width="9.33203125" style="21" customWidth="1"/>
    <col min="7" max="7" width="12.5546875" style="21" customWidth="1"/>
    <col min="8" max="8" width="10.44140625" style="21" customWidth="1"/>
    <col min="9" max="9" width="12.5546875" style="21" customWidth="1"/>
    <col min="10" max="10" width="9.44140625" style="21" customWidth="1"/>
    <col min="11" max="11" width="20.44140625" style="21" customWidth="1"/>
    <col min="12" max="12" width="14.21875" style="21" bestFit="1" customWidth="1"/>
    <col min="13" max="13" width="27.77734375" style="21" customWidth="1"/>
    <col min="14" max="256" width="12.5546875" style="21" customWidth="1"/>
    <col min="257" max="16384" width="8.77734375" style="21"/>
  </cols>
  <sheetData>
    <row r="2" spans="1:31" s="21" customFormat="1" ht="15.75" customHeight="1">
      <c r="A2" s="20" t="s">
        <v>136</v>
      </c>
    </row>
    <row r="4" spans="1:31" s="21" customFormat="1" ht="15.75" customHeight="1">
      <c r="A4" s="41" t="s">
        <v>174</v>
      </c>
      <c r="B4" s="12"/>
      <c r="C4" s="12"/>
      <c r="D4" s="12"/>
      <c r="E4" s="12"/>
      <c r="F4" s="12"/>
      <c r="G4" s="12"/>
      <c r="H4" s="12"/>
      <c r="I4" s="12"/>
      <c r="J4" s="12"/>
    </row>
    <row r="5" spans="1:31" s="6" customFormat="1" ht="15.75" customHeight="1">
      <c r="A5" s="42" t="s">
        <v>27</v>
      </c>
      <c r="B5" s="42" t="s">
        <v>77</v>
      </c>
      <c r="C5" s="9" t="s">
        <v>3</v>
      </c>
      <c r="D5" s="42" t="s">
        <v>52</v>
      </c>
      <c r="E5" s="9" t="s">
        <v>51</v>
      </c>
      <c r="F5" s="42" t="s">
        <v>52</v>
      </c>
      <c r="G5" s="9" t="s">
        <v>2</v>
      </c>
      <c r="H5" s="42" t="s">
        <v>52</v>
      </c>
      <c r="I5" s="9" t="s">
        <v>1</v>
      </c>
      <c r="J5" s="42" t="s">
        <v>52</v>
      </c>
      <c r="K5" s="21"/>
      <c r="L5" s="43" t="s">
        <v>137</v>
      </c>
      <c r="M5" s="44">
        <v>45903.781238425923</v>
      </c>
    </row>
    <row r="6" spans="1:31" s="6" customFormat="1" ht="15.75" customHeight="1">
      <c r="A6" s="45"/>
      <c r="B6" s="45"/>
      <c r="C6" s="46">
        <v>0.3</v>
      </c>
      <c r="D6" s="45"/>
      <c r="E6" s="46">
        <v>2.2000000000000002</v>
      </c>
      <c r="F6" s="45"/>
      <c r="G6" s="46">
        <v>15</v>
      </c>
      <c r="H6" s="45"/>
      <c r="I6" s="46">
        <v>37.5</v>
      </c>
      <c r="J6" s="45"/>
      <c r="K6" s="21"/>
      <c r="L6" s="43" t="s">
        <v>138</v>
      </c>
      <c r="M6" s="44">
        <v>45906.504664351851</v>
      </c>
      <c r="N6" s="47"/>
    </row>
    <row r="7" spans="1:31" s="6" customFormat="1" ht="15.75" customHeight="1">
      <c r="A7" s="48"/>
      <c r="B7" s="48"/>
      <c r="C7" s="49" t="s">
        <v>6</v>
      </c>
      <c r="D7" s="48"/>
      <c r="E7" s="49" t="s">
        <v>6</v>
      </c>
      <c r="F7" s="48"/>
      <c r="G7" s="49" t="s">
        <v>6</v>
      </c>
      <c r="H7" s="48"/>
      <c r="I7" s="49" t="s">
        <v>6</v>
      </c>
      <c r="J7" s="48"/>
      <c r="K7" s="21"/>
      <c r="L7" s="43" t="s">
        <v>139</v>
      </c>
      <c r="M7" s="50">
        <f>(M6-M5)*24</f>
        <v>65.362222222262062</v>
      </c>
    </row>
    <row r="8" spans="1:31" s="6" customFormat="1" ht="15.75" customHeight="1">
      <c r="A8" s="51">
        <v>45906</v>
      </c>
      <c r="B8" s="52">
        <v>6</v>
      </c>
      <c r="C8" s="11">
        <v>0.30299999999999999</v>
      </c>
      <c r="D8" s="53">
        <v>1</v>
      </c>
      <c r="E8" s="11">
        <v>2.1469999999999998</v>
      </c>
      <c r="F8" s="11">
        <v>-2.4</v>
      </c>
      <c r="G8" s="11">
        <v>14.941000000000001</v>
      </c>
      <c r="H8" s="11">
        <v>-0.4</v>
      </c>
      <c r="I8" s="11">
        <v>38.704999999999998</v>
      </c>
      <c r="J8" s="11">
        <v>3.2</v>
      </c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</row>
    <row r="9" spans="1:31" s="6" customFormat="1" ht="15.75" customHeight="1">
      <c r="A9" s="54"/>
      <c r="B9" s="55"/>
      <c r="C9" s="11">
        <v>0.318</v>
      </c>
      <c r="D9" s="53">
        <v>6</v>
      </c>
      <c r="E9" s="11">
        <v>2.165</v>
      </c>
      <c r="F9" s="11">
        <v>-1.6</v>
      </c>
      <c r="G9" s="56">
        <v>15.57</v>
      </c>
      <c r="H9" s="11">
        <v>3.8</v>
      </c>
      <c r="I9" s="11">
        <v>39.201999999999998</v>
      </c>
      <c r="J9" s="11">
        <v>4.5</v>
      </c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</row>
    <row r="10" spans="1:31" s="6" customFormat="1" ht="15.75" customHeight="1">
      <c r="A10" s="54"/>
      <c r="B10" s="55"/>
      <c r="C10" s="11">
        <v>0.29499999999999998</v>
      </c>
      <c r="D10" s="11">
        <v>-1.7</v>
      </c>
      <c r="E10" s="11">
        <v>2.2490000000000001</v>
      </c>
      <c r="F10" s="11">
        <v>2.2000000000000002</v>
      </c>
      <c r="G10" s="11">
        <v>14.752000000000001</v>
      </c>
      <c r="H10" s="11">
        <v>-1.7</v>
      </c>
      <c r="I10" s="11">
        <v>41.603999999999999</v>
      </c>
      <c r="J10" s="11">
        <v>10.9</v>
      </c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</row>
    <row r="11" spans="1:31" s="6" customFormat="1" ht="15.75" customHeight="1">
      <c r="A11" s="54"/>
      <c r="B11" s="55"/>
      <c r="C11" s="11">
        <v>0.32400000000000001</v>
      </c>
      <c r="D11" s="53">
        <v>8</v>
      </c>
      <c r="E11" s="11">
        <v>2.2789999999999999</v>
      </c>
      <c r="F11" s="11">
        <v>3.6</v>
      </c>
      <c r="G11" s="11">
        <v>14.656000000000001</v>
      </c>
      <c r="H11" s="11">
        <v>-2.2999999999999998</v>
      </c>
      <c r="I11" s="11">
        <v>40.911000000000001</v>
      </c>
      <c r="J11" s="11">
        <v>9.1</v>
      </c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</row>
    <row r="12" spans="1:31" s="6" customFormat="1" ht="15.75" customHeight="1">
      <c r="A12" s="54"/>
      <c r="B12" s="55"/>
      <c r="C12" s="11">
        <v>0.316</v>
      </c>
      <c r="D12" s="11">
        <v>5.3</v>
      </c>
      <c r="E12" s="56">
        <v>2.2000000000000002</v>
      </c>
      <c r="F12" s="53">
        <v>0</v>
      </c>
      <c r="G12" s="56">
        <v>15.66</v>
      </c>
      <c r="H12" s="11">
        <v>4.4000000000000004</v>
      </c>
      <c r="I12" s="11">
        <v>39.662999999999997</v>
      </c>
      <c r="J12" s="11">
        <v>5.8</v>
      </c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</row>
    <row r="13" spans="1:31" s="6" customFormat="1" ht="15.75" customHeight="1">
      <c r="A13" s="57"/>
      <c r="B13" s="58"/>
      <c r="C13" s="11">
        <v>0.32200000000000001</v>
      </c>
      <c r="D13" s="11">
        <v>7.3</v>
      </c>
      <c r="E13" s="11">
        <v>2.2719999999999998</v>
      </c>
      <c r="F13" s="11">
        <v>3.3</v>
      </c>
      <c r="G13" s="11">
        <v>15.378</v>
      </c>
      <c r="H13" s="11">
        <v>2.5</v>
      </c>
      <c r="I13" s="11">
        <v>41.021999999999998</v>
      </c>
      <c r="J13" s="11">
        <v>9.4</v>
      </c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</row>
    <row r="14" spans="1:31" s="6" customFormat="1" ht="15.75" customHeight="1">
      <c r="A14" s="10" t="s">
        <v>140</v>
      </c>
      <c r="B14" s="59"/>
      <c r="C14" s="11">
        <v>0.313</v>
      </c>
      <c r="D14" s="60"/>
      <c r="E14" s="11">
        <v>2.2189999999999999</v>
      </c>
      <c r="F14" s="60"/>
      <c r="G14" s="56">
        <v>15.16</v>
      </c>
      <c r="H14" s="60"/>
      <c r="I14" s="11">
        <v>40.185000000000002</v>
      </c>
      <c r="J14" s="60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</row>
    <row r="15" spans="1:31" s="6" customFormat="1" ht="15.75" customHeight="1">
      <c r="A15" s="9" t="s">
        <v>141</v>
      </c>
      <c r="B15" s="59"/>
      <c r="C15" s="11">
        <v>1.0999999999999999E-2</v>
      </c>
      <c r="D15" s="61"/>
      <c r="E15" s="11">
        <v>5.6000000000000001E-2</v>
      </c>
      <c r="F15" s="61"/>
      <c r="G15" s="11">
        <v>0.432</v>
      </c>
      <c r="H15" s="61"/>
      <c r="I15" s="11">
        <v>1.155</v>
      </c>
      <c r="J15" s="6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</row>
    <row r="16" spans="1:31" s="6" customFormat="1" ht="15.75" customHeight="1">
      <c r="A16" s="9" t="s">
        <v>36</v>
      </c>
      <c r="B16" s="59"/>
      <c r="C16" s="11">
        <v>3.5</v>
      </c>
      <c r="D16" s="61"/>
      <c r="E16" s="11">
        <v>2.5</v>
      </c>
      <c r="F16" s="61"/>
      <c r="G16" s="11">
        <v>2.8</v>
      </c>
      <c r="H16" s="61"/>
      <c r="I16" s="11">
        <v>2.9</v>
      </c>
      <c r="J16" s="6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</row>
    <row r="17" spans="1:31" s="6" customFormat="1" ht="15.75" customHeight="1">
      <c r="A17" s="9" t="s">
        <v>182</v>
      </c>
      <c r="B17" s="59"/>
      <c r="C17" s="11">
        <v>104.3</v>
      </c>
      <c r="D17" s="61"/>
      <c r="E17" s="11">
        <v>100.9</v>
      </c>
      <c r="F17" s="61"/>
      <c r="G17" s="11">
        <v>101.1</v>
      </c>
      <c r="H17" s="61"/>
      <c r="I17" s="11">
        <v>107.2</v>
      </c>
      <c r="J17" s="6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</row>
    <row r="18" spans="1:31" s="6" customFormat="1" ht="15.75" customHeight="1">
      <c r="A18" s="9" t="s">
        <v>5</v>
      </c>
      <c r="B18" s="59"/>
      <c r="C18" s="62">
        <v>6</v>
      </c>
      <c r="D18" s="63"/>
      <c r="E18" s="62">
        <v>6</v>
      </c>
      <c r="F18" s="63"/>
      <c r="G18" s="62">
        <v>6</v>
      </c>
      <c r="H18" s="63"/>
      <c r="I18" s="62">
        <v>6</v>
      </c>
      <c r="J18" s="63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</row>
    <row r="19" spans="1:31" s="21" customFormat="1" ht="15.75" customHeight="1">
      <c r="C19" s="64"/>
    </row>
    <row r="20" spans="1:31" s="21" customFormat="1" ht="15.75" customHeight="1"/>
  </sheetData>
  <mergeCells count="13">
    <mergeCell ref="J14:J18"/>
    <mergeCell ref="A8:A13"/>
    <mergeCell ref="B8:B13"/>
    <mergeCell ref="B14:B18"/>
    <mergeCell ref="D14:D18"/>
    <mergeCell ref="F14:F18"/>
    <mergeCell ref="H14:H18"/>
    <mergeCell ref="J5:J7"/>
    <mergeCell ref="A5:A7"/>
    <mergeCell ref="B5:B7"/>
    <mergeCell ref="D5:D7"/>
    <mergeCell ref="F5:F7"/>
    <mergeCell ref="H5:H7"/>
  </mergeCells>
  <phoneticPr fontId="20" type="noConversion"/>
  <printOptions headings="1" gridLines="1"/>
  <pageMargins left="0.70866141732283472" right="0.70866141732283472" top="0.74803149606299213" bottom="0.74803149606299213" header="0.31496062992125984" footer="0.31496062992125984"/>
  <pageSetup scale="62" orientation="landscape" r:id="rId1"/>
  <headerFooter>
    <oddHeader>&amp;C18903MV01验证数据汇总</oddHeader>
    <oddFooter>&amp;C第&amp;P页，共&amp;N页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15</vt:i4>
      </vt:variant>
      <vt:variant>
        <vt:lpstr>命名范围</vt:lpstr>
      </vt:variant>
      <vt:variant>
        <vt:i4>4</vt:i4>
      </vt:variant>
    </vt:vector>
  </HeadingPairs>
  <TitlesOfParts>
    <vt:vector size="19" baseType="lpstr">
      <vt:lpstr>表1_schedule</vt:lpstr>
      <vt:lpstr>表2_系统适用性</vt:lpstr>
      <vt:lpstr>表3_批量样品检测过程的残留</vt:lpstr>
      <vt:lpstr>表4_Selectivity</vt:lpstr>
      <vt:lpstr>表5_特异性</vt:lpstr>
      <vt:lpstr>表6_ME</vt:lpstr>
      <vt:lpstr>表9_Inter QC</vt:lpstr>
      <vt:lpstr>表11_Recovery</vt:lpstr>
      <vt:lpstr>表13_Dilution</vt:lpstr>
      <vt:lpstr>表18_ST</vt:lpstr>
      <vt:lpstr>表19_FT</vt:lpstr>
      <vt:lpstr>表20_PSS</vt:lpstr>
      <vt:lpstr>表22_Blood</vt:lpstr>
      <vt:lpstr>表23_溶血效应</vt:lpstr>
      <vt:lpstr>表24_处理后样品再进样重现性</vt:lpstr>
      <vt:lpstr>表11_Recovery!Print_Area</vt:lpstr>
      <vt:lpstr>表19_FT!Print_Area</vt:lpstr>
      <vt:lpstr>表24_处理后样品再进样重现性!Print_Area</vt:lpstr>
      <vt:lpstr>表6_ME!Print_Area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lgu</dc:creator>
  <cp:lastModifiedBy>lguo</cp:lastModifiedBy>
  <cp:lastPrinted>2019-09-17T03:14:27Z</cp:lastPrinted>
  <dcterms:created xsi:type="dcterms:W3CDTF">2016-03-17T02:40:20Z</dcterms:created>
  <dcterms:modified xsi:type="dcterms:W3CDTF">2025-09-16T06:34:10Z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[DocID]=E3F42394-16F6-46B4-B257-E4A8262C4353</vt:lpwstr>
  </op:property>
</op:Properties>
</file>