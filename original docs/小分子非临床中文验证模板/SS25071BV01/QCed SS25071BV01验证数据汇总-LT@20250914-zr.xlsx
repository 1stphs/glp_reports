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rzhang-2\Desktop\SMBA-ZR\SS25071BV01\"/>
    </mc:Choice>
  </mc:AlternateContent>
  <xr:revisionPtr revIDLastSave="0" documentId="13_ncr:1_{6D1E54AB-80C9-4966-96B6-0DBF68E84164}" xr6:coauthVersionLast="47" xr6:coauthVersionMax="47" xr10:uidLastSave="{00000000-0000-0000-0000-000000000000}"/>
  <bookViews>
    <workbookView xWindow="-120" yWindow="-120" windowWidth="29040" windowHeight="15840" tabRatio="852" xr2:uid="{00000000-000D-0000-FFFF-FFFF00000000}"/>
  </bookViews>
  <sheets>
    <sheet name="1.1" sheetId="33" r:id="rId1"/>
    <sheet name="2.1标准品" sheetId="35" r:id="rId2"/>
    <sheet name="2.2内标" sheetId="40" r:id="rId3"/>
    <sheet name="2.5试剂" sheetId="41" r:id="rId4"/>
    <sheet name="2.6 空白基质" sheetId="51" r:id="rId5"/>
    <sheet name="2.9标准曲线质控样品配制" sheetId="50" r:id="rId6"/>
    <sheet name="表1_schedule" sheetId="7" r:id="rId7"/>
    <sheet name="表2_SST" sheetId="8" r:id="rId8"/>
    <sheet name="表3_CO" sheetId="10" r:id="rId9"/>
    <sheet name="表7_Regression" sheetId="13" r:id="rId10"/>
    <sheet name="表8_curve" sheetId="14" r:id="rId11"/>
    <sheet name="表10 QC (除准确度精密度分析批）" sheetId="42" r:id="rId12"/>
    <sheet name="表14_stock ST" sheetId="27" r:id="rId13"/>
    <sheet name="表15_spike ST" sheetId="20" r:id="rId14"/>
    <sheet name="表16_stock LT" sheetId="21" r:id="rId15"/>
    <sheet name="表17_spike LT" sheetId="22" r:id="rId16"/>
    <sheet name="表21_LTS" sheetId="39" r:id="rId17"/>
    <sheet name="分析天平" sheetId="46" r:id="rId18"/>
    <sheet name="（选择性图谱）空白基质图谱" sheetId="43" r:id="rId19"/>
    <sheet name="（选择性图谱）最低定量限图谱" sheetId="44" r:id="rId20"/>
    <sheet name="标准曲线" sheetId="45" r:id="rId21"/>
  </sheets>
  <definedNames>
    <definedName name="_xlnm.Print_Area" localSheetId="14">'表16_stock LT'!$A$1:$N$55</definedName>
    <definedName name="_xlnm.Print_Area" localSheetId="7">表2_SST!$A$1:$F$12</definedName>
    <definedName name="_xlnm.Print_Area" localSheetId="9">表7_Regression!$A$1:$G$34</definedName>
  </definedNames>
  <calcPr calcId="191029"/>
</workbook>
</file>

<file path=xl/calcChain.xml><?xml version="1.0" encoding="utf-8"?>
<calcChain xmlns="http://schemas.openxmlformats.org/spreadsheetml/2006/main">
  <c r="E74" i="39" l="1"/>
  <c r="E75" i="39" s="1"/>
  <c r="E73" i="39"/>
  <c r="E76" i="39" s="1"/>
  <c r="C74" i="39"/>
  <c r="C75" i="39" s="1"/>
  <c r="C73" i="39"/>
  <c r="C76" i="39" s="1"/>
  <c r="E56" i="39"/>
  <c r="E55" i="39"/>
  <c r="E58" i="39" s="1"/>
  <c r="C56" i="39"/>
  <c r="C57" i="39" s="1"/>
  <c r="C55" i="39"/>
  <c r="C58" i="39" s="1"/>
  <c r="C36" i="39"/>
  <c r="C37" i="39" s="1"/>
  <c r="C35" i="39"/>
  <c r="C38" i="39" s="1"/>
  <c r="E36" i="39"/>
  <c r="E37" i="39" s="1"/>
  <c r="E35" i="39"/>
  <c r="E38" i="39" s="1"/>
  <c r="G36" i="39"/>
  <c r="G37" i="39" s="1"/>
  <c r="G35" i="39"/>
  <c r="G38" i="39" s="1"/>
  <c r="G18" i="39"/>
  <c r="G19" i="39" s="1"/>
  <c r="G17" i="39"/>
  <c r="G20" i="39" s="1"/>
  <c r="E18" i="39"/>
  <c r="E19" i="39" s="1"/>
  <c r="E17" i="39"/>
  <c r="E20" i="39" s="1"/>
  <c r="F72" i="39"/>
  <c r="F71" i="39"/>
  <c r="F70" i="39"/>
  <c r="F69" i="39"/>
  <c r="F68" i="39"/>
  <c r="F67" i="39"/>
  <c r="D72" i="39"/>
  <c r="D71" i="39"/>
  <c r="D70" i="39"/>
  <c r="D69" i="39"/>
  <c r="D68" i="39"/>
  <c r="D67" i="39"/>
  <c r="D54" i="39"/>
  <c r="D53" i="39"/>
  <c r="D52" i="39"/>
  <c r="D51" i="39"/>
  <c r="D50" i="39"/>
  <c r="D49" i="39"/>
  <c r="F54" i="39"/>
  <c r="F53" i="39"/>
  <c r="F52" i="39"/>
  <c r="F51" i="39"/>
  <c r="F50" i="39"/>
  <c r="F49" i="39"/>
  <c r="H34" i="39"/>
  <c r="H33" i="39"/>
  <c r="H32" i="39"/>
  <c r="H31" i="39"/>
  <c r="H30" i="39"/>
  <c r="H29" i="39"/>
  <c r="F34" i="39"/>
  <c r="F33" i="39"/>
  <c r="F32" i="39"/>
  <c r="F31" i="39"/>
  <c r="F30" i="39"/>
  <c r="F29" i="39"/>
  <c r="D34" i="39"/>
  <c r="D33" i="39"/>
  <c r="D32" i="39"/>
  <c r="D31" i="39"/>
  <c r="D30" i="39"/>
  <c r="D29" i="39"/>
  <c r="D16" i="39"/>
  <c r="D15" i="39"/>
  <c r="D14" i="39"/>
  <c r="D13" i="39"/>
  <c r="D12" i="39"/>
  <c r="D11" i="39"/>
  <c r="F16" i="39"/>
  <c r="F15" i="39"/>
  <c r="F14" i="39"/>
  <c r="F13" i="39"/>
  <c r="F12" i="39"/>
  <c r="F11" i="39"/>
  <c r="H11" i="39"/>
  <c r="C20" i="39"/>
  <c r="H16" i="39"/>
  <c r="H15" i="39"/>
  <c r="H14" i="39"/>
  <c r="H13" i="39"/>
  <c r="H12" i="39"/>
  <c r="E25" i="21"/>
  <c r="E57" i="39" l="1"/>
  <c r="L28" i="39"/>
  <c r="C18" i="39"/>
  <c r="C17" i="39"/>
  <c r="L9" i="39"/>
  <c r="J41" i="22"/>
  <c r="J8" i="22"/>
  <c r="E40" i="20"/>
  <c r="H6" i="20"/>
  <c r="J40" i="21"/>
  <c r="C19" i="39" l="1"/>
  <c r="H38" i="10" l="1"/>
  <c r="H37" i="10"/>
  <c r="G37" i="10"/>
  <c r="I37" i="10" s="1"/>
  <c r="F37" i="10"/>
  <c r="I35" i="10"/>
  <c r="G35" i="10"/>
  <c r="I36" i="10" s="1"/>
  <c r="F35" i="10"/>
  <c r="H36" i="10" s="1"/>
  <c r="G33" i="10"/>
  <c r="I33" i="10" s="1"/>
  <c r="F33" i="10"/>
  <c r="H34" i="10" s="1"/>
  <c r="H32" i="10"/>
  <c r="G31" i="10"/>
  <c r="I32" i="10" s="1"/>
  <c r="F31" i="10"/>
  <c r="H31" i="10" s="1"/>
  <c r="H30" i="10"/>
  <c r="H29" i="10"/>
  <c r="G29" i="10"/>
  <c r="I29" i="10" s="1"/>
  <c r="F29" i="10"/>
  <c r="I27" i="10"/>
  <c r="G27" i="10"/>
  <c r="I28" i="10" s="1"/>
  <c r="F27" i="10"/>
  <c r="H28" i="10" s="1"/>
  <c r="G25" i="10"/>
  <c r="I25" i="10" s="1"/>
  <c r="F25" i="10"/>
  <c r="H26" i="10" s="1"/>
  <c r="F6" i="10"/>
  <c r="H7" i="10" s="1"/>
  <c r="F12" i="10"/>
  <c r="H12" i="10" s="1"/>
  <c r="F10" i="10"/>
  <c r="H11" i="10" s="1"/>
  <c r="G18" i="10"/>
  <c r="I19" i="10" s="1"/>
  <c r="F18" i="10"/>
  <c r="H19" i="10" s="1"/>
  <c r="G16" i="10"/>
  <c r="I16" i="10" s="1"/>
  <c r="F16" i="10"/>
  <c r="H17" i="10" s="1"/>
  <c r="G14" i="10"/>
  <c r="I14" i="10" s="1"/>
  <c r="F14" i="10"/>
  <c r="H15" i="10" s="1"/>
  <c r="G12" i="10"/>
  <c r="I13" i="10" s="1"/>
  <c r="G10" i="10"/>
  <c r="I11" i="10" s="1"/>
  <c r="G8" i="10"/>
  <c r="I8" i="10" s="1"/>
  <c r="F8" i="10"/>
  <c r="H8" i="10" s="1"/>
  <c r="I7" i="10"/>
  <c r="G6" i="10"/>
  <c r="I6" i="10" s="1"/>
  <c r="I34" i="10" l="1"/>
  <c r="H27" i="10"/>
  <c r="I31" i="10"/>
  <c r="H35" i="10"/>
  <c r="I26" i="10"/>
  <c r="I30" i="10"/>
  <c r="H25" i="10"/>
  <c r="H33" i="10"/>
  <c r="I38" i="10"/>
  <c r="H9" i="10"/>
  <c r="H16" i="10"/>
  <c r="I12" i="10"/>
  <c r="I15" i="10"/>
  <c r="H13" i="10"/>
  <c r="H6" i="10"/>
  <c r="H14" i="10"/>
  <c r="I9" i="10"/>
  <c r="I17" i="10"/>
  <c r="H10" i="10"/>
  <c r="H18" i="10"/>
  <c r="I10" i="10"/>
  <c r="I18" i="10"/>
  <c r="E19" i="27" l="1"/>
  <c r="D19" i="27"/>
  <c r="C19" i="27"/>
  <c r="B19" i="27"/>
  <c r="E18" i="27"/>
  <c r="D18" i="27"/>
  <c r="C18" i="27"/>
  <c r="B18" i="27"/>
  <c r="I6" i="27"/>
  <c r="E19" i="20"/>
  <c r="D19" i="20"/>
  <c r="C19" i="20"/>
  <c r="B19" i="20"/>
  <c r="E18" i="20"/>
  <c r="D21" i="20" s="1"/>
  <c r="D18" i="20"/>
  <c r="C18" i="20"/>
  <c r="B18" i="20"/>
  <c r="E19" i="21"/>
  <c r="D19" i="21"/>
  <c r="C19" i="21"/>
  <c r="B19" i="21"/>
  <c r="E18" i="21"/>
  <c r="D18" i="21"/>
  <c r="C18" i="21"/>
  <c r="B18" i="21"/>
  <c r="E19" i="22"/>
  <c r="D19" i="22"/>
  <c r="C19" i="22"/>
  <c r="B19" i="22"/>
  <c r="E18" i="22"/>
  <c r="D18" i="22"/>
  <c r="C18" i="22"/>
  <c r="B18" i="22"/>
  <c r="C52" i="27"/>
  <c r="B52" i="27"/>
  <c r="C51" i="27"/>
  <c r="B51" i="27"/>
  <c r="C52" i="20"/>
  <c r="B52" i="20"/>
  <c r="C51" i="20"/>
  <c r="B51" i="20"/>
  <c r="C53" i="21"/>
  <c r="B53" i="21"/>
  <c r="C52" i="21"/>
  <c r="B52" i="21"/>
  <c r="C53" i="22"/>
  <c r="B53" i="22"/>
  <c r="C52" i="22"/>
  <c r="B52" i="22"/>
  <c r="I39" i="27" l="1"/>
  <c r="E24" i="20" l="1"/>
  <c r="E25" i="20"/>
  <c r="E26" i="20"/>
  <c r="E27" i="20"/>
  <c r="E28" i="20"/>
  <c r="E29" i="20"/>
  <c r="E24" i="27"/>
  <c r="E35" i="27" l="1"/>
  <c r="E34" i="27"/>
  <c r="E33" i="27"/>
  <c r="E32" i="27"/>
  <c r="E31" i="27"/>
  <c r="E30" i="27"/>
  <c r="E29" i="27"/>
  <c r="E28" i="27"/>
  <c r="E27" i="27"/>
  <c r="E26" i="27"/>
  <c r="E25" i="27"/>
  <c r="E35" i="20"/>
  <c r="E34" i="20"/>
  <c r="E33" i="20"/>
  <c r="E32" i="20"/>
  <c r="E31" i="20"/>
  <c r="E30" i="20"/>
  <c r="D21" i="21" l="1"/>
  <c r="E35" i="22" l="1"/>
  <c r="E34" i="22"/>
  <c r="E33" i="22"/>
  <c r="E32" i="22"/>
  <c r="E31" i="22"/>
  <c r="E30" i="22"/>
  <c r="E29" i="22"/>
  <c r="E28" i="22"/>
  <c r="E27" i="22"/>
  <c r="E26" i="22"/>
  <c r="E25" i="22"/>
  <c r="E24" i="22"/>
  <c r="E36" i="21"/>
  <c r="E35" i="21"/>
  <c r="E34" i="21"/>
  <c r="E33" i="21"/>
  <c r="E32" i="21"/>
  <c r="E31" i="21"/>
  <c r="E30" i="21"/>
  <c r="E29" i="21"/>
  <c r="E28" i="21"/>
  <c r="E27" i="21"/>
  <c r="E26" i="21"/>
  <c r="M65" i="39" l="1"/>
  <c r="B21" i="22" l="1"/>
  <c r="J6" i="21"/>
  <c r="B21" i="20" l="1"/>
  <c r="B53" i="20"/>
  <c r="B54" i="20"/>
  <c r="C53" i="20"/>
  <c r="B53" i="27"/>
  <c r="B54" i="27"/>
  <c r="C53" i="27"/>
  <c r="M47" i="39"/>
  <c r="B21" i="27" l="1"/>
  <c r="B20" i="27"/>
  <c r="B55" i="22" l="1"/>
  <c r="B55" i="21"/>
  <c r="B54" i="22"/>
  <c r="C54" i="22"/>
  <c r="C54" i="21"/>
  <c r="B54" i="21"/>
  <c r="D20" i="20" l="1"/>
  <c r="D21" i="27"/>
  <c r="D21" i="22"/>
  <c r="D20" i="22"/>
  <c r="E20" i="22"/>
  <c r="D20" i="21"/>
  <c r="E20" i="21"/>
  <c r="E20" i="20"/>
  <c r="E20" i="27"/>
  <c r="D20" i="27"/>
  <c r="B21" i="21" l="1"/>
  <c r="C20" i="27"/>
  <c r="B20" i="22"/>
  <c r="C20" i="22"/>
  <c r="C20" i="21"/>
  <c r="B20" i="21"/>
  <c r="B20" i="20"/>
  <c r="C20" i="20"/>
</calcChain>
</file>

<file path=xl/sharedStrings.xml><?xml version="1.0" encoding="utf-8"?>
<sst xmlns="http://schemas.openxmlformats.org/spreadsheetml/2006/main" count="775" uniqueCount="377">
  <si>
    <t>内标</t>
  </si>
  <si>
    <t>待测物</t>
  </si>
  <si>
    <t>LLOQ</t>
  </si>
  <si>
    <t>HQC</t>
  </si>
  <si>
    <t>LQC</t>
  </si>
  <si>
    <t>SD</t>
  </si>
  <si>
    <t>n</t>
  </si>
  <si>
    <t>STD1</t>
  </si>
  <si>
    <t>分析方法</t>
  </si>
  <si>
    <t>设备名称</t>
  </si>
  <si>
    <t>制造商</t>
  </si>
  <si>
    <t>型号</t>
  </si>
  <si>
    <t>离子源</t>
  </si>
  <si>
    <t>检测器-串联质谱</t>
  </si>
  <si>
    <t>离子化方式</t>
  </si>
  <si>
    <t>扫描方式</t>
  </si>
  <si>
    <t>流动相及流速</t>
  </si>
  <si>
    <t>柱温</t>
  </si>
  <si>
    <t>样品的生物基质</t>
  </si>
  <si>
    <t>抗凝剂</t>
  </si>
  <si>
    <t>生物基质来源</t>
  </si>
  <si>
    <t>样品预处理方法</t>
  </si>
  <si>
    <t>进样量</t>
  </si>
  <si>
    <t>定量指标</t>
  </si>
  <si>
    <t>回归方程</t>
  </si>
  <si>
    <t>权重系数</t>
  </si>
  <si>
    <t>线性范围</t>
  </si>
  <si>
    <t>最低定量限（LLOQ）</t>
  </si>
  <si>
    <t>最低质控浓度（LLOQ QC）</t>
  </si>
  <si>
    <t>y = ax + b</t>
  </si>
  <si>
    <t>STD2</t>
  </si>
  <si>
    <t>STD3</t>
  </si>
  <si>
    <t>STD4</t>
  </si>
  <si>
    <t>STD5</t>
  </si>
  <si>
    <t>STD6</t>
  </si>
  <si>
    <t>STD7</t>
  </si>
  <si>
    <t>ng/mL</t>
  </si>
  <si>
    <t>STD8</t>
  </si>
  <si>
    <t>多反应监测</t>
  </si>
  <si>
    <t xml:space="preserve">AB Sciex </t>
  </si>
  <si>
    <t>Turbo-V电喷雾离子源</t>
  </si>
  <si>
    <t>高效液相色谱</t>
  </si>
  <si>
    <t>最大分析批进样针数</t>
  </si>
  <si>
    <r>
      <t xml:space="preserve">1.1 </t>
    </r>
    <r>
      <rPr>
        <sz val="10.5"/>
        <rFont val="宋体"/>
        <family val="3"/>
        <charset val="134"/>
      </rPr>
      <t>检测方法概述</t>
    </r>
  </si>
  <si>
    <r>
      <rPr>
        <sz val="10.5"/>
        <rFont val="宋体"/>
        <family val="3"/>
        <charset val="134"/>
      </rPr>
      <t>样品体积</t>
    </r>
  </si>
  <si>
    <r>
      <rPr>
        <sz val="10.5"/>
        <rFont val="宋体"/>
        <family val="3"/>
        <charset val="134"/>
      </rPr>
      <t>内标</t>
    </r>
  </si>
  <si>
    <r>
      <rPr>
        <sz val="10.5"/>
        <rFont val="宋体"/>
        <family val="3"/>
        <charset val="134"/>
      </rPr>
      <t>检测批次编号</t>
    </r>
  </si>
  <si>
    <r>
      <rPr>
        <sz val="10.5"/>
        <rFont val="宋体"/>
        <family val="3"/>
        <charset val="134"/>
      </rPr>
      <t>检测内容</t>
    </r>
  </si>
  <si>
    <r>
      <rPr>
        <sz val="10.5"/>
        <rFont val="宋体"/>
        <family val="3"/>
        <charset val="134"/>
      </rPr>
      <t>检测日期</t>
    </r>
  </si>
  <si>
    <r>
      <rPr>
        <sz val="10.5"/>
        <rFont val="宋体"/>
        <family val="3"/>
        <charset val="134"/>
      </rPr>
      <t>内标保留时间</t>
    </r>
  </si>
  <si>
    <r>
      <rPr>
        <sz val="10.5"/>
        <rFont val="宋体"/>
        <family val="3"/>
        <charset val="134"/>
      </rPr>
      <t>平均值</t>
    </r>
  </si>
  <si>
    <r>
      <rPr>
        <sz val="10.5"/>
        <color theme="1"/>
        <rFont val="宋体"/>
        <family val="3"/>
        <charset val="134"/>
      </rPr>
      <t>检测日期</t>
    </r>
  </si>
  <si>
    <r>
      <rPr>
        <sz val="10.5"/>
        <color theme="1"/>
        <rFont val="宋体"/>
        <family val="3"/>
        <charset val="134"/>
      </rPr>
      <t>检测批次编号</t>
    </r>
  </si>
  <si>
    <r>
      <rPr>
        <sz val="10.5"/>
        <color theme="1"/>
        <rFont val="宋体"/>
        <family val="3"/>
        <charset val="134"/>
      </rPr>
      <t>平均值</t>
    </r>
  </si>
  <si>
    <t>ng/mL</t>
    <phoneticPr fontId="4" type="noConversion"/>
  </si>
  <si>
    <r>
      <rPr>
        <sz val="10.5"/>
        <rFont val="宋体"/>
        <family val="3"/>
        <charset val="134"/>
      </rPr>
      <t>待测物</t>
    </r>
  </si>
  <si>
    <r>
      <rPr>
        <sz val="10.5"/>
        <rFont val="宋体"/>
        <family val="3"/>
        <charset val="134"/>
      </rPr>
      <t>理论浓度（单位）</t>
    </r>
  </si>
  <si>
    <r>
      <rPr>
        <sz val="10.5"/>
        <rFont val="宋体"/>
        <family val="3"/>
        <charset val="134"/>
      </rPr>
      <t>检测峰面积比</t>
    </r>
  </si>
  <si>
    <r>
      <rPr>
        <sz val="10.5"/>
        <rFont val="宋体"/>
        <family val="3"/>
        <charset val="134"/>
      </rPr>
      <t>稳定性考察样品</t>
    </r>
  </si>
  <si>
    <r>
      <t xml:space="preserve">2.1 </t>
    </r>
    <r>
      <rPr>
        <sz val="10.5"/>
        <rFont val="宋体"/>
        <family val="3"/>
        <charset val="134"/>
      </rPr>
      <t>标准品</t>
    </r>
    <phoneticPr fontId="4" type="noConversion"/>
  </si>
  <si>
    <r>
      <t xml:space="preserve">2.2 </t>
    </r>
    <r>
      <rPr>
        <sz val="10.5"/>
        <rFont val="宋体"/>
        <family val="3"/>
        <charset val="134"/>
      </rPr>
      <t>内标</t>
    </r>
    <phoneticPr fontId="4" type="noConversion"/>
  </si>
  <si>
    <r>
      <t xml:space="preserve">2.5 </t>
    </r>
    <r>
      <rPr>
        <sz val="10.5"/>
        <color theme="1"/>
        <rFont val="DengXian"/>
        <family val="2"/>
      </rPr>
      <t>试剂</t>
    </r>
    <phoneticPr fontId="20" type="noConversion"/>
  </si>
  <si>
    <r>
      <rPr>
        <sz val="10.5"/>
        <rFont val="宋体"/>
        <family val="3"/>
        <charset val="134"/>
      </rPr>
      <t>内标残留</t>
    </r>
    <r>
      <rPr>
        <sz val="10.5"/>
        <rFont val="Times New Roman"/>
        <family val="1"/>
      </rPr>
      <t/>
    </r>
    <phoneticPr fontId="4" type="noConversion"/>
  </si>
  <si>
    <r>
      <rPr>
        <sz val="10.5"/>
        <rFont val="宋体"/>
        <family val="3"/>
        <charset val="134"/>
      </rPr>
      <t>内标回收率</t>
    </r>
    <r>
      <rPr>
        <sz val="10.5"/>
        <rFont val="Times New Roman"/>
        <family val="1"/>
      </rPr>
      <t/>
    </r>
    <phoneticPr fontId="4" type="noConversion"/>
  </si>
  <si>
    <r>
      <rPr>
        <sz val="10.5"/>
        <rFont val="宋体"/>
        <family val="3"/>
        <charset val="134"/>
      </rPr>
      <t>储备液短期稳定性</t>
    </r>
    <r>
      <rPr>
        <sz val="10.5"/>
        <rFont val="Times New Roman"/>
        <family val="1"/>
      </rPr>
      <t/>
    </r>
    <phoneticPr fontId="4" type="noConversion"/>
  </si>
  <si>
    <r>
      <rPr>
        <sz val="10.5"/>
        <rFont val="宋体"/>
        <family val="3"/>
        <charset val="134"/>
      </rPr>
      <t>工作液短期稳定性</t>
    </r>
    <r>
      <rPr>
        <sz val="10.5"/>
        <rFont val="Times New Roman"/>
        <family val="1"/>
      </rPr>
      <t/>
    </r>
    <phoneticPr fontId="4" type="noConversion"/>
  </si>
  <si>
    <r>
      <rPr>
        <sz val="10.5"/>
        <rFont val="宋体"/>
        <family val="3"/>
        <charset val="134"/>
      </rPr>
      <t>工作液长期稳定性</t>
    </r>
    <r>
      <rPr>
        <sz val="10.5"/>
        <rFont val="Times New Roman"/>
        <family val="1"/>
      </rPr>
      <t/>
    </r>
    <phoneticPr fontId="4" type="noConversion"/>
  </si>
  <si>
    <r>
      <rPr>
        <sz val="10.5"/>
        <rFont val="宋体"/>
        <family val="3"/>
        <charset val="134"/>
      </rPr>
      <t>冻融稳定性</t>
    </r>
    <r>
      <rPr>
        <sz val="10.5"/>
        <rFont val="Times New Roman"/>
        <family val="1"/>
      </rPr>
      <t/>
    </r>
    <phoneticPr fontId="4" type="noConversion"/>
  </si>
  <si>
    <r>
      <rPr>
        <sz val="10.5"/>
        <rFont val="宋体"/>
        <family val="3"/>
        <charset val="134"/>
      </rPr>
      <t>待测物残留</t>
    </r>
    <phoneticPr fontId="4" type="noConversion"/>
  </si>
  <si>
    <r>
      <rPr>
        <sz val="10.5"/>
        <rFont val="宋体"/>
        <family val="3"/>
        <charset val="134"/>
      </rPr>
      <t>选择性</t>
    </r>
    <phoneticPr fontId="4" type="noConversion"/>
  </si>
  <si>
    <r>
      <rPr>
        <sz val="10.5"/>
        <rFont val="宋体"/>
        <family val="3"/>
        <charset val="134"/>
      </rPr>
      <t>稀释倍数</t>
    </r>
    <phoneticPr fontId="4" type="noConversion"/>
  </si>
  <si>
    <r>
      <rPr>
        <sz val="10.5"/>
        <rFont val="宋体"/>
        <family val="3"/>
        <charset val="134"/>
      </rPr>
      <t>储备液长期稳定性</t>
    </r>
    <phoneticPr fontId="4" type="noConversion"/>
  </si>
  <si>
    <r>
      <rPr>
        <sz val="10.5"/>
        <rFont val="宋体"/>
        <family val="3"/>
        <charset val="134"/>
      </rPr>
      <t>生物样品前处理过程中的短期稳定性</t>
    </r>
    <phoneticPr fontId="4" type="noConversion"/>
  </si>
  <si>
    <r>
      <rPr>
        <sz val="10.5"/>
        <rFont val="宋体"/>
        <family val="3"/>
        <charset val="134"/>
      </rPr>
      <t>处理后样品的稳定性</t>
    </r>
    <r>
      <rPr>
        <sz val="10.5"/>
        <rFont val="Times New Roman"/>
        <family val="1"/>
      </rPr>
      <t xml:space="preserve"> </t>
    </r>
    <r>
      <rPr>
        <sz val="10.5"/>
        <rFont val="宋体"/>
        <family val="3"/>
        <charset val="134"/>
      </rPr>
      <t/>
    </r>
    <phoneticPr fontId="4" type="noConversion"/>
  </si>
  <si>
    <r>
      <rPr>
        <sz val="10.5"/>
        <rFont val="宋体"/>
        <family val="3"/>
        <charset val="134"/>
      </rPr>
      <t>生物基质中待测物的长期稳定性</t>
    </r>
    <phoneticPr fontId="4" type="noConversion"/>
  </si>
  <si>
    <r>
      <rPr>
        <sz val="10.5"/>
        <rFont val="宋体"/>
        <family val="3"/>
        <charset val="134"/>
      </rPr>
      <t>全血稳定性</t>
    </r>
    <r>
      <rPr>
        <sz val="10.5"/>
        <rFont val="Times New Roman"/>
        <family val="1"/>
      </rPr>
      <t/>
    </r>
    <phoneticPr fontId="4" type="noConversion"/>
  </si>
  <si>
    <r>
      <rPr>
        <sz val="10.5"/>
        <rFont val="宋体"/>
        <family val="3"/>
        <charset val="134"/>
      </rPr>
      <t>溶血效应</t>
    </r>
    <r>
      <rPr>
        <sz val="10.5"/>
        <rFont val="Times New Roman"/>
        <family val="1"/>
      </rPr>
      <t/>
    </r>
    <phoneticPr fontId="4" type="noConversion"/>
  </si>
  <si>
    <r>
      <t>Carryover</t>
    </r>
    <r>
      <rPr>
        <sz val="10.5"/>
        <rFont val="宋体"/>
        <family val="3"/>
        <charset val="134"/>
      </rPr>
      <t>样品中待测物残留峰面积</t>
    </r>
    <phoneticPr fontId="4" type="noConversion"/>
  </si>
  <si>
    <r>
      <t>Carryover</t>
    </r>
    <r>
      <rPr>
        <sz val="10.5"/>
        <rFont val="宋体"/>
        <family val="3"/>
        <charset val="134"/>
      </rPr>
      <t>样品中内标残留峰面积</t>
    </r>
    <phoneticPr fontId="4" type="noConversion"/>
  </si>
  <si>
    <t>mg/mL</t>
    <phoneticPr fontId="4" type="noConversion"/>
  </si>
  <si>
    <r>
      <rPr>
        <sz val="10.5"/>
        <rFont val="宋体"/>
        <family val="3"/>
        <charset val="134"/>
      </rPr>
      <t>参比样品</t>
    </r>
    <phoneticPr fontId="4" type="noConversion"/>
  </si>
  <si>
    <r>
      <rPr>
        <sz val="10.5"/>
        <rFont val="宋体"/>
        <family val="3"/>
        <charset val="134"/>
      </rPr>
      <t>理论浓度（单位）</t>
    </r>
    <phoneticPr fontId="4" type="noConversion"/>
  </si>
  <si>
    <r>
      <rPr>
        <sz val="10.5"/>
        <rFont val="宋体"/>
        <family val="3"/>
        <charset val="134"/>
      </rPr>
      <t>检测日期</t>
    </r>
    <phoneticPr fontId="4" type="noConversion"/>
  </si>
  <si>
    <r>
      <rPr>
        <sz val="10.5"/>
        <rFont val="宋体"/>
        <family val="3"/>
        <charset val="134"/>
      </rPr>
      <t>待测物回收率</t>
    </r>
    <r>
      <rPr>
        <sz val="10.5"/>
        <rFont val="Times New Roman"/>
        <family val="1"/>
      </rPr>
      <t/>
    </r>
    <phoneticPr fontId="4" type="noConversion"/>
  </si>
  <si>
    <t>表3 ：批量样品检测过程的残留</t>
  </si>
  <si>
    <t>表21：生物基质中待测物的长期稳定性</t>
  </si>
  <si>
    <t>长期稳定性样品处理日期：</t>
  </si>
  <si>
    <t>长期稳定性样品放置时间（天）：</t>
  </si>
  <si>
    <t>表16 ：储备液长期稳定性</t>
  </si>
  <si>
    <t>表14：储备液短期稳定性</t>
  </si>
  <si>
    <t>表10：质控样品浓度数据汇总（除准确度精密度分析批外）</t>
  </si>
  <si>
    <t>表8：标准曲线的回算浓度</t>
  </si>
  <si>
    <t>表7：标准曲线参数汇总</t>
  </si>
  <si>
    <t>拟合方程：峰面积比= 斜率 ×浓度 + 截距， 权重：1/（浓度×浓度）</t>
  </si>
  <si>
    <t>表2 ：系统适用性</t>
  </si>
  <si>
    <t>表1：批量样品检测情况列表</t>
  </si>
  <si>
    <t>CV (%)</t>
  </si>
  <si>
    <t>准确度 (%)</t>
  </si>
  <si>
    <t>准确度偏差 (%)</t>
  </si>
  <si>
    <t>差异 (%)</t>
  </si>
  <si>
    <t>CV（%)</t>
  </si>
  <si>
    <t>1/（x*x）</t>
  </si>
  <si>
    <t>质控浓度（QC）</t>
  </si>
  <si>
    <t>CV（%）</t>
  </si>
  <si>
    <t>准确度（%）</t>
  </si>
  <si>
    <t>理论浓度（单位）</t>
  </si>
  <si>
    <t>准确度偏差（%）</t>
  </si>
  <si>
    <t>LLOQ（ng/mL）</t>
  </si>
  <si>
    <t>ULOQ
(ng/mL）</t>
  </si>
  <si>
    <t>待测物残留率（%）</t>
  </si>
  <si>
    <t>内标残留率（%）</t>
  </si>
  <si>
    <r>
      <rPr>
        <sz val="10.5"/>
        <rFont val="宋体"/>
        <family val="3"/>
        <charset val="134"/>
      </rPr>
      <t>色谱柱型号及所用序列号</t>
    </r>
    <phoneticPr fontId="4" type="noConversion"/>
  </si>
  <si>
    <r>
      <rPr>
        <sz val="10.5"/>
        <rFont val="宋体"/>
        <family val="3"/>
        <charset val="134"/>
      </rPr>
      <t>系统适用性</t>
    </r>
    <phoneticPr fontId="4" type="noConversion"/>
  </si>
  <si>
    <r>
      <rPr>
        <sz val="10.5"/>
        <rFont val="宋体"/>
        <family val="3"/>
        <charset val="134"/>
      </rPr>
      <t>特异性</t>
    </r>
    <phoneticPr fontId="4" type="noConversion"/>
  </si>
  <si>
    <r>
      <rPr>
        <sz val="11"/>
        <color theme="1"/>
        <rFont val="DengXian"/>
        <family val="2"/>
      </rPr>
      <t>分析天平编号：</t>
    </r>
  </si>
  <si>
    <r>
      <rPr>
        <sz val="11"/>
        <color theme="1"/>
        <rFont val="DengXian"/>
        <family val="2"/>
      </rPr>
      <t>分析天平精密度：</t>
    </r>
  </si>
  <si>
    <r>
      <rPr>
        <sz val="10.5"/>
        <rFont val="宋体"/>
        <family val="3"/>
        <charset val="134"/>
      </rPr>
      <t>放置时间：</t>
    </r>
  </si>
  <si>
    <r>
      <rPr>
        <sz val="10.5"/>
        <rFont val="宋体"/>
        <family val="3"/>
        <charset val="134"/>
      </rPr>
      <t>长期稳定性样品配置日期：</t>
    </r>
  </si>
  <si>
    <r>
      <rPr>
        <sz val="10.5"/>
        <rFont val="宋体"/>
        <family val="3"/>
        <charset val="134"/>
      </rPr>
      <t>长期稳定性样品处理日期：</t>
    </r>
  </si>
  <si>
    <r>
      <rPr>
        <sz val="10.5"/>
        <rFont val="宋体"/>
        <family val="3"/>
        <charset val="134"/>
      </rPr>
      <t>长期稳定性样品放置时间（天）：</t>
    </r>
  </si>
  <si>
    <r>
      <rPr>
        <sz val="10.5"/>
        <color theme="1"/>
        <rFont val="宋体"/>
        <family val="3"/>
        <charset val="134"/>
      </rPr>
      <t>样品名称</t>
    </r>
    <phoneticPr fontId="4" type="noConversion"/>
  </si>
  <si>
    <r>
      <rPr>
        <sz val="10.5"/>
        <color theme="1"/>
        <rFont val="宋体"/>
        <family val="3"/>
        <charset val="134"/>
      </rPr>
      <t>待测物峰面积</t>
    </r>
    <phoneticPr fontId="4" type="noConversion"/>
  </si>
  <si>
    <r>
      <rPr>
        <sz val="10.5"/>
        <color theme="1"/>
        <rFont val="宋体"/>
        <family val="3"/>
        <charset val="134"/>
      </rPr>
      <t>内标峰面积</t>
    </r>
    <phoneticPr fontId="4" type="noConversion"/>
  </si>
  <si>
    <r>
      <rPr>
        <sz val="10.5"/>
        <color theme="1"/>
        <rFont val="宋体"/>
        <family val="3"/>
        <charset val="134"/>
      </rPr>
      <t>内标峰面积</t>
    </r>
    <r>
      <rPr>
        <sz val="10.5"/>
        <color theme="1"/>
        <rFont val="Times New Roman"/>
        <family val="1"/>
      </rPr>
      <t>/</t>
    </r>
    <r>
      <rPr>
        <sz val="10.5"/>
        <color theme="1"/>
        <rFont val="宋体"/>
        <family val="3"/>
        <charset val="134"/>
      </rPr>
      <t>待测物峰面积</t>
    </r>
    <phoneticPr fontId="4" type="noConversion"/>
  </si>
  <si>
    <r>
      <rPr>
        <sz val="10.5"/>
        <rFont val="宋体"/>
        <family val="3"/>
        <charset val="134"/>
      </rPr>
      <t>工作液开始放置时间：</t>
    </r>
  </si>
  <si>
    <r>
      <rPr>
        <sz val="10.5"/>
        <rFont val="宋体"/>
        <family val="3"/>
        <charset val="134"/>
      </rPr>
      <t>工作液放置结束时间：</t>
    </r>
  </si>
  <si>
    <r>
      <rPr>
        <sz val="10.5"/>
        <rFont val="宋体"/>
        <family val="3"/>
        <charset val="134"/>
      </rPr>
      <t>储备液开始放置时间：</t>
    </r>
  </si>
  <si>
    <r>
      <rPr>
        <sz val="10.5"/>
        <rFont val="宋体"/>
        <family val="3"/>
        <charset val="134"/>
      </rPr>
      <t>储备液放置结束时间：</t>
    </r>
  </si>
  <si>
    <r>
      <rPr>
        <sz val="10.5"/>
        <rFont val="宋体"/>
        <family val="3"/>
        <charset val="134"/>
      </rPr>
      <t>内标</t>
    </r>
    <phoneticPr fontId="4" type="noConversion"/>
  </si>
  <si>
    <r>
      <rPr>
        <sz val="10.5"/>
        <rFont val="宋体"/>
        <family val="3"/>
        <charset val="134"/>
      </rPr>
      <t>储备液配置完成时间：</t>
    </r>
  </si>
  <si>
    <r>
      <rPr>
        <sz val="10.5"/>
        <rFont val="宋体"/>
        <family val="3"/>
        <charset val="134"/>
      </rPr>
      <t>储备液处理时间：</t>
    </r>
  </si>
  <si>
    <r>
      <rPr>
        <sz val="10.5"/>
        <rFont val="宋体"/>
        <family val="3"/>
        <charset val="134"/>
      </rPr>
      <t>检测批次编号</t>
    </r>
    <phoneticPr fontId="4" type="noConversion"/>
  </si>
  <si>
    <r>
      <rPr>
        <sz val="10.5"/>
        <rFont val="宋体"/>
        <family val="3"/>
        <charset val="134"/>
      </rPr>
      <t>检测批次编号</t>
    </r>
    <phoneticPr fontId="4" type="noConversion"/>
  </si>
  <si>
    <r>
      <rPr>
        <sz val="10.5"/>
        <rFont val="宋体"/>
        <family val="3"/>
        <charset val="134"/>
      </rPr>
      <t>待测物保留时间</t>
    </r>
    <phoneticPr fontId="4" type="noConversion"/>
  </si>
  <si>
    <r>
      <rPr>
        <sz val="10.5"/>
        <rFont val="宋体"/>
        <family val="3"/>
        <charset val="134"/>
      </rPr>
      <t>提取日期</t>
    </r>
    <phoneticPr fontId="4" type="noConversion"/>
  </si>
  <si>
    <r>
      <rPr>
        <sz val="10.5"/>
        <rFont val="宋体"/>
        <family val="3"/>
        <charset val="134"/>
      </rPr>
      <t>设备编号</t>
    </r>
    <phoneticPr fontId="4" type="noConversion"/>
  </si>
  <si>
    <r>
      <rPr>
        <sz val="10.5"/>
        <rFont val="宋体"/>
        <family val="3"/>
        <charset val="134"/>
      </rPr>
      <t>备注：</t>
    </r>
  </si>
  <si>
    <r>
      <rPr>
        <sz val="10.5"/>
        <rFont val="宋体"/>
        <family val="3"/>
        <charset val="134"/>
      </rPr>
      <t>化合物名称</t>
    </r>
    <r>
      <rPr>
        <sz val="10.5"/>
        <rFont val="Times New Roman"/>
        <family val="1"/>
      </rPr>
      <t> </t>
    </r>
  </si>
  <si>
    <r>
      <rPr>
        <sz val="10.5"/>
        <rFont val="宋体"/>
        <family val="3"/>
        <charset val="134"/>
      </rPr>
      <t>化合物代码</t>
    </r>
  </si>
  <si>
    <r>
      <rPr>
        <sz val="10.5"/>
        <rFont val="宋体"/>
        <family val="3"/>
        <charset val="134"/>
      </rPr>
      <t>标准品登记号</t>
    </r>
  </si>
  <si>
    <r>
      <rPr>
        <sz val="10.5"/>
        <rFont val="宋体"/>
        <family val="3"/>
        <charset val="134"/>
      </rPr>
      <t>批号</t>
    </r>
  </si>
  <si>
    <r>
      <rPr>
        <sz val="10.5"/>
        <rFont val="宋体"/>
        <family val="3"/>
        <charset val="134"/>
      </rPr>
      <t>含量</t>
    </r>
  </si>
  <si>
    <r>
      <rPr>
        <sz val="10.5"/>
        <rFont val="宋体"/>
        <family val="3"/>
        <charset val="134"/>
      </rPr>
      <t>来源</t>
    </r>
  </si>
  <si>
    <t>EQ202003</t>
    <phoneticPr fontId="20" type="noConversion"/>
  </si>
  <si>
    <t>EQ2018B23</t>
    <phoneticPr fontId="20" type="noConversion"/>
  </si>
  <si>
    <t>EQ201590</t>
    <phoneticPr fontId="20" type="noConversion"/>
  </si>
  <si>
    <r>
      <rPr>
        <sz val="10.5"/>
        <rFont val="宋体"/>
        <family val="3"/>
        <charset val="134"/>
      </rPr>
      <t>精密度最大值（</t>
    </r>
    <r>
      <rPr>
        <sz val="10.5"/>
        <rFont val="Times New Roman"/>
        <family val="1"/>
      </rPr>
      <t>%CV</t>
    </r>
    <r>
      <rPr>
        <sz val="10.5"/>
        <rFont val="宋体"/>
        <family val="3"/>
        <charset val="134"/>
      </rPr>
      <t>）</t>
    </r>
    <phoneticPr fontId="4" type="noConversion"/>
  </si>
  <si>
    <r>
      <rPr>
        <sz val="10.5"/>
        <rFont val="宋体"/>
        <family val="3"/>
        <charset val="134"/>
      </rPr>
      <t>准确度（与理论浓度的偏差）（</t>
    </r>
    <r>
      <rPr>
        <sz val="10.5"/>
        <rFont val="Times New Roman"/>
        <family val="1"/>
      </rPr>
      <t>%</t>
    </r>
    <r>
      <rPr>
        <sz val="10.5"/>
        <rFont val="宋体"/>
        <family val="3"/>
        <charset val="134"/>
      </rPr>
      <t>）范围</t>
    </r>
    <phoneticPr fontId="4" type="noConversion"/>
  </si>
  <si>
    <r>
      <rPr>
        <sz val="10.5"/>
        <color theme="1"/>
        <rFont val="宋体"/>
        <family val="3"/>
        <charset val="134"/>
      </rPr>
      <t>批间准确度和精密度（除</t>
    </r>
    <r>
      <rPr>
        <sz val="10.5"/>
        <color theme="1"/>
        <rFont val="Times New Roman"/>
        <family val="1"/>
      </rPr>
      <t>LLOQ QC</t>
    </r>
    <r>
      <rPr>
        <sz val="10.5"/>
        <color theme="1"/>
        <rFont val="宋体"/>
        <family val="3"/>
        <charset val="134"/>
      </rPr>
      <t>以外的所有浓度质控）</t>
    </r>
    <phoneticPr fontId="4" type="noConversion"/>
  </si>
  <si>
    <r>
      <rPr>
        <sz val="10.5"/>
        <color theme="1"/>
        <rFont val="宋体"/>
        <family val="3"/>
        <charset val="134"/>
      </rPr>
      <t>批间准确度和精密度（</t>
    </r>
    <r>
      <rPr>
        <sz val="10.5"/>
        <color theme="1"/>
        <rFont val="Times New Roman"/>
        <family val="1"/>
      </rPr>
      <t>LLOQ QC</t>
    </r>
    <r>
      <rPr>
        <sz val="10.5"/>
        <color theme="1"/>
        <rFont val="宋体"/>
        <family val="3"/>
        <charset val="134"/>
      </rPr>
      <t>）</t>
    </r>
    <phoneticPr fontId="4" type="noConversion"/>
  </si>
  <si>
    <r>
      <rPr>
        <sz val="10.5"/>
        <color theme="1"/>
        <rFont val="宋体"/>
        <family val="3"/>
        <charset val="134"/>
      </rPr>
      <t>批内准确度和精密度（除</t>
    </r>
    <r>
      <rPr>
        <sz val="10.5"/>
        <color theme="1"/>
        <rFont val="Times New Roman"/>
        <family val="1"/>
      </rPr>
      <t>LLOQ QC</t>
    </r>
    <r>
      <rPr>
        <sz val="10.5"/>
        <color theme="1"/>
        <rFont val="宋体"/>
        <family val="3"/>
        <charset val="134"/>
      </rPr>
      <t>以外的所有浓度质控）</t>
    </r>
    <phoneticPr fontId="4" type="noConversion"/>
  </si>
  <si>
    <r>
      <rPr>
        <sz val="10.5"/>
        <color theme="1"/>
        <rFont val="宋体"/>
        <family val="3"/>
        <charset val="134"/>
      </rPr>
      <t>批内准确度和精密度（</t>
    </r>
    <r>
      <rPr>
        <sz val="10.5"/>
        <color theme="1"/>
        <rFont val="Times New Roman"/>
        <family val="1"/>
      </rPr>
      <t>LLOQ QC</t>
    </r>
    <r>
      <rPr>
        <sz val="10.5"/>
        <color theme="1"/>
        <rFont val="宋体"/>
        <family val="3"/>
        <charset val="134"/>
      </rPr>
      <t>）</t>
    </r>
    <phoneticPr fontId="4" type="noConversion"/>
  </si>
  <si>
    <r>
      <rPr>
        <sz val="10.5"/>
        <color theme="1"/>
        <rFont val="宋体"/>
        <family val="3"/>
        <charset val="134"/>
      </rPr>
      <t>峰面积比</t>
    </r>
    <phoneticPr fontId="4" type="noConversion"/>
  </si>
  <si>
    <r>
      <rPr>
        <sz val="10.5"/>
        <color rgb="FF000000"/>
        <rFont val="DengXian"/>
        <family val="2"/>
      </rPr>
      <t>试剂</t>
    </r>
  </si>
  <si>
    <r>
      <rPr>
        <sz val="10.5"/>
        <color rgb="FF000000"/>
        <rFont val="DengXian"/>
        <family val="2"/>
      </rPr>
      <t>供应商</t>
    </r>
  </si>
  <si>
    <r>
      <rPr>
        <sz val="10.5"/>
        <color theme="1"/>
        <rFont val="DengXian"/>
        <family val="2"/>
      </rPr>
      <t>级别</t>
    </r>
    <phoneticPr fontId="20" type="noConversion"/>
  </si>
  <si>
    <t>上海益诺思生物技术股份有限公司</t>
  </si>
  <si>
    <t>类型</t>
  </si>
  <si>
    <t>配制日期</t>
    <phoneticPr fontId="20" type="noConversion"/>
  </si>
  <si>
    <t>储存条件</t>
  </si>
  <si>
    <t>标准曲线样品</t>
    <phoneticPr fontId="20" type="noConversion"/>
  </si>
  <si>
    <t>质量控制样品</t>
  </si>
  <si>
    <r>
      <t xml:space="preserve">2.6 </t>
    </r>
    <r>
      <rPr>
        <sz val="11"/>
        <color theme="1"/>
        <rFont val="宋体"/>
        <family val="3"/>
        <charset val="134"/>
      </rPr>
      <t>空白基质</t>
    </r>
    <phoneticPr fontId="20" type="noConversion"/>
  </si>
  <si>
    <t>2.9 标准曲线/质控样品的配制</t>
    <phoneticPr fontId="20" type="noConversion"/>
  </si>
  <si>
    <r>
      <t xml:space="preserve">LLOQ </t>
    </r>
    <r>
      <rPr>
        <sz val="10.5"/>
        <rFont val="宋体"/>
        <family val="3"/>
        <charset val="134"/>
      </rPr>
      <t>标曲样品待测物峰面积</t>
    </r>
    <phoneticPr fontId="4" type="noConversion"/>
  </si>
  <si>
    <r>
      <t>LLOQ</t>
    </r>
    <r>
      <rPr>
        <sz val="10.5"/>
        <rFont val="宋体"/>
        <family val="3"/>
        <charset val="134"/>
      </rPr>
      <t>标曲样品内标峰面积</t>
    </r>
    <phoneticPr fontId="4" type="noConversion"/>
  </si>
  <si>
    <r>
      <rPr>
        <sz val="10.5"/>
        <rFont val="宋体"/>
        <family val="3"/>
        <charset val="134"/>
      </rPr>
      <t>符合接受标准的</t>
    </r>
    <r>
      <rPr>
        <sz val="10.5"/>
        <rFont val="Times New Roman"/>
        <family val="1"/>
      </rPr>
      <t xml:space="preserve">LLOQ </t>
    </r>
    <r>
      <rPr>
        <sz val="10.5"/>
        <rFont val="宋体"/>
        <family val="3"/>
        <charset val="134"/>
      </rPr>
      <t>标曲样品待测物峰面积均值</t>
    </r>
    <phoneticPr fontId="4" type="noConversion"/>
  </si>
  <si>
    <r>
      <t xml:space="preserve">LLOQ </t>
    </r>
    <r>
      <rPr>
        <sz val="10.5"/>
        <rFont val="宋体"/>
        <family val="3"/>
        <charset val="134"/>
      </rPr>
      <t>标曲样品待测物峰面积</t>
    </r>
    <phoneticPr fontId="4" type="noConversion"/>
  </si>
  <si>
    <r>
      <t>LLOQ</t>
    </r>
    <r>
      <rPr>
        <sz val="10.5"/>
        <rFont val="宋体"/>
        <family val="3"/>
        <charset val="134"/>
      </rPr>
      <t>标曲样品内标峰面积</t>
    </r>
    <phoneticPr fontId="4" type="noConversion"/>
  </si>
  <si>
    <r>
      <rPr>
        <sz val="10.5"/>
        <rFont val="宋体"/>
        <family val="3"/>
        <charset val="134"/>
      </rPr>
      <t>符合接受标准的</t>
    </r>
    <r>
      <rPr>
        <sz val="10.5"/>
        <rFont val="Times New Roman"/>
        <family val="1"/>
      </rPr>
      <t xml:space="preserve">LLOQ </t>
    </r>
    <r>
      <rPr>
        <sz val="10.5"/>
        <rFont val="宋体"/>
        <family val="3"/>
        <charset val="134"/>
      </rPr>
      <t>标曲样品待测物峰面积均值</t>
    </r>
    <phoneticPr fontId="4" type="noConversion"/>
  </si>
  <si>
    <t>RESS25071-AS</t>
    <phoneticPr fontId="4" type="noConversion"/>
  </si>
  <si>
    <t>RESS25071-SS</t>
    <phoneticPr fontId="4" type="noConversion"/>
  </si>
  <si>
    <t>6435*</t>
  </si>
  <si>
    <t>1754540*</t>
  </si>
  <si>
    <r>
      <rPr>
        <sz val="10.5"/>
        <rFont val="宋体"/>
        <family val="3"/>
        <charset val="134"/>
      </rPr>
      <t>符合接受标准的</t>
    </r>
    <r>
      <rPr>
        <sz val="10.5"/>
        <rFont val="Times New Roman"/>
        <family val="1"/>
      </rPr>
      <t xml:space="preserve">LLOQ </t>
    </r>
    <r>
      <rPr>
        <sz val="10.5"/>
        <rFont val="宋体"/>
        <family val="3"/>
        <charset val="134"/>
      </rPr>
      <t>标曲样品内标峰面积均值</t>
    </r>
    <phoneticPr fontId="4" type="noConversion"/>
  </si>
  <si>
    <r>
      <t>9</t>
    </r>
    <r>
      <rPr>
        <vertAlign val="superscript"/>
        <sz val="10.5"/>
        <rFont val="Times New Roman"/>
        <family val="1"/>
      </rPr>
      <t>&amp;</t>
    </r>
    <phoneticPr fontId="4" type="noConversion"/>
  </si>
  <si>
    <r>
      <t>10</t>
    </r>
    <r>
      <rPr>
        <vertAlign val="superscript"/>
        <sz val="10.5"/>
        <rFont val="Times New Roman"/>
        <family val="1"/>
      </rPr>
      <t>&amp;</t>
    </r>
    <phoneticPr fontId="4" type="noConversion"/>
  </si>
  <si>
    <r>
      <t>*</t>
    </r>
    <r>
      <rPr>
        <sz val="10.5"/>
        <rFont val="宋体"/>
        <family val="1"/>
        <charset val="134"/>
      </rPr>
      <t>不满足接受标准，不参与统计计算。</t>
    </r>
    <phoneticPr fontId="4" type="noConversion"/>
  </si>
  <si>
    <t>106*</t>
  </si>
  <si>
    <r>
      <rPr>
        <sz val="10.5"/>
        <rFont val="DengXian"/>
        <family val="2"/>
      </rPr>
      <t>乙腈</t>
    </r>
  </si>
  <si>
    <t>上海安谱实验科技股份有限公司</t>
  </si>
  <si>
    <r>
      <rPr>
        <sz val="10.5"/>
        <rFont val="DengXian"/>
        <family val="2"/>
      </rPr>
      <t>甲醇</t>
    </r>
  </si>
  <si>
    <r>
      <rPr>
        <sz val="10.5"/>
        <rFont val="DengXian"/>
        <family val="2"/>
      </rPr>
      <t>异丙醇</t>
    </r>
    <r>
      <rPr>
        <sz val="10.5"/>
        <rFont val="Times New Roman"/>
        <family val="1"/>
      </rPr>
      <t xml:space="preserve"> </t>
    </r>
  </si>
  <si>
    <r>
      <rPr>
        <sz val="10.5"/>
        <rFont val="DengXian"/>
        <family val="2"/>
      </rPr>
      <t>甲酸</t>
    </r>
    <r>
      <rPr>
        <sz val="10.5"/>
        <rFont val="Times New Roman"/>
        <family val="1"/>
      </rPr>
      <t xml:space="preserve"> </t>
    </r>
  </si>
  <si>
    <r>
      <rPr>
        <sz val="10.5"/>
        <rFont val="DengXian"/>
        <family val="2"/>
      </rPr>
      <t>二甲基亚砜</t>
    </r>
    <r>
      <rPr>
        <sz val="10.5"/>
        <rFont val="Times New Roman"/>
        <family val="1"/>
      </rPr>
      <t xml:space="preserve">  </t>
    </r>
  </si>
  <si>
    <t>苏州昊帆生物股份有限公司</t>
  </si>
  <si>
    <t>三乙胺（TEA）</t>
  </si>
  <si>
    <t>N，N-二异丙基乙胺（DIEA）</t>
  </si>
  <si>
    <t>苯酚</t>
  </si>
  <si>
    <t>乙二胺四乙酸（EDTA）</t>
  </si>
  <si>
    <t>上海麦克林生化科技股份有限公司</t>
  </si>
  <si>
    <t>三（2-羧乙基）膦（TCEP）</t>
  </si>
  <si>
    <r>
      <t>&amp;</t>
    </r>
    <r>
      <rPr>
        <sz val="10.5"/>
        <rFont val="宋体"/>
        <family val="1"/>
        <charset val="134"/>
      </rPr>
      <t>残留不满足接受标准，对残留不满足接受标准批次的每一个样品受到上一个样品残留的影响进行评价，影响率不高于</t>
    </r>
    <r>
      <rPr>
        <sz val="10.5"/>
        <rFont val="Times New Roman"/>
        <family val="1"/>
      </rPr>
      <t>5.0%</t>
    </r>
    <r>
      <rPr>
        <sz val="10.5"/>
        <rFont val="宋体"/>
        <family val="1"/>
        <charset val="134"/>
      </rPr>
      <t>，无样品受到残留的影响；</t>
    </r>
    <phoneticPr fontId="4" type="noConversion"/>
  </si>
  <si>
    <t>FB7013</t>
  </si>
  <si>
    <t>-15 ~ -25 ºC，遮光，密封</t>
  </si>
  <si>
    <r>
      <rPr>
        <sz val="10.5"/>
        <rFont val="宋体"/>
        <family val="3"/>
        <charset val="134"/>
      </rPr>
      <t>有效期至</t>
    </r>
  </si>
  <si>
    <t>前沿生物药业（南京）股份有限公司</t>
  </si>
  <si>
    <t>HBV263</t>
  </si>
  <si>
    <t>GenScript</t>
  </si>
  <si>
    <t>*主成分含量 = 纯度 × 游离型分子量 / 盐分子量= 92.7% × 13800.06 / 14766.06= 86.6%</t>
  </si>
  <si>
    <r>
      <rPr>
        <sz val="10.5"/>
        <rFont val="宋体"/>
        <family val="3"/>
        <charset val="134"/>
      </rPr>
      <t>分析批是否接受</t>
    </r>
    <r>
      <rPr>
        <sz val="10.5"/>
        <rFont val="Times New Roman"/>
        <family val="1"/>
      </rPr>
      <t>RESS25071-AS</t>
    </r>
    <phoneticPr fontId="4" type="noConversion"/>
  </si>
  <si>
    <r>
      <rPr>
        <sz val="10.5"/>
        <rFont val="宋体"/>
        <family val="3"/>
        <charset val="134"/>
      </rPr>
      <t>分析批是否接受</t>
    </r>
    <r>
      <rPr>
        <sz val="10.5"/>
        <rFont val="Times New Roman"/>
        <family val="1"/>
      </rPr>
      <t>RESS25071-SS</t>
    </r>
    <phoneticPr fontId="4" type="noConversion"/>
  </si>
  <si>
    <r>
      <rPr>
        <sz val="10.5"/>
        <rFont val="宋体"/>
        <family val="3"/>
        <charset val="134"/>
      </rPr>
      <t>系统适用性，标准曲线及范围，第一批批内准确度和精密度，稳定性</t>
    </r>
    <r>
      <rPr>
        <sz val="10.5"/>
        <rFont val="Times New Roman"/>
        <family val="1"/>
      </rPr>
      <t>T0</t>
    </r>
    <r>
      <rPr>
        <sz val="10.5"/>
        <rFont val="宋体"/>
        <family val="3"/>
        <charset val="134"/>
      </rPr>
      <t>样品，特异性，稀释可靠性，残留评价</t>
    </r>
    <phoneticPr fontId="4" type="noConversion"/>
  </si>
  <si>
    <r>
      <rPr>
        <sz val="10.5"/>
        <rFont val="宋体"/>
        <family val="3"/>
        <charset val="134"/>
      </rPr>
      <t>是</t>
    </r>
    <r>
      <rPr>
        <vertAlign val="superscript"/>
        <sz val="10.5"/>
        <rFont val="Times New Roman"/>
        <family val="1"/>
      </rPr>
      <t>1</t>
    </r>
    <phoneticPr fontId="4" type="noConversion"/>
  </si>
  <si>
    <t>EQ2019F2</t>
    <phoneticPr fontId="4" type="noConversion"/>
  </si>
  <si>
    <t>系统适用性，全血稳定性</t>
    <phoneticPr fontId="4" type="noConversion"/>
  </si>
  <si>
    <r>
      <rPr>
        <sz val="10.5"/>
        <rFont val="宋体"/>
        <family val="3"/>
        <charset val="134"/>
      </rPr>
      <t>不适用</t>
    </r>
    <r>
      <rPr>
        <vertAlign val="superscript"/>
        <sz val="10.5"/>
        <rFont val="Times New Roman"/>
        <family val="1"/>
      </rPr>
      <t>2</t>
    </r>
    <phoneticPr fontId="4" type="noConversion"/>
  </si>
  <si>
    <r>
      <rPr>
        <sz val="10.5"/>
        <rFont val="宋体"/>
        <family val="3"/>
        <charset val="134"/>
      </rPr>
      <t>系统适用性，标准曲线及范围，第二批批内准确度和精密度，选择性，稳定性</t>
    </r>
    <r>
      <rPr>
        <sz val="10.5"/>
        <rFont val="Times New Roman"/>
        <family val="1"/>
      </rPr>
      <t>T0</t>
    </r>
    <r>
      <rPr>
        <sz val="10.5"/>
        <rFont val="宋体"/>
        <family val="3"/>
        <charset val="134"/>
      </rPr>
      <t>样品，特异性，基质效应，溶血效应，最大进样针数（</t>
    </r>
    <r>
      <rPr>
        <sz val="10.5"/>
        <rFont val="Times New Roman"/>
        <family val="1"/>
      </rPr>
      <t>126</t>
    </r>
    <r>
      <rPr>
        <sz val="10.5"/>
        <rFont val="宋体"/>
        <family val="3"/>
        <charset val="134"/>
      </rPr>
      <t>针），残留评价</t>
    </r>
    <phoneticPr fontId="4" type="noConversion"/>
  </si>
  <si>
    <r>
      <rPr>
        <sz val="10.5"/>
        <rFont val="宋体"/>
        <family val="3"/>
        <charset val="134"/>
      </rPr>
      <t>是</t>
    </r>
    <phoneticPr fontId="4" type="noConversion"/>
  </si>
  <si>
    <r>
      <rPr>
        <sz val="10.5"/>
        <rFont val="宋体"/>
        <family val="3"/>
        <charset val="134"/>
      </rPr>
      <t>是</t>
    </r>
    <r>
      <rPr>
        <vertAlign val="superscript"/>
        <sz val="10.5"/>
        <rFont val="Times New Roman"/>
        <family val="1"/>
      </rPr>
      <t>3</t>
    </r>
    <phoneticPr fontId="4" type="noConversion"/>
  </si>
  <si>
    <r>
      <rPr>
        <sz val="10.5"/>
        <rFont val="宋体"/>
        <family val="3"/>
        <charset val="134"/>
      </rPr>
      <t>不适用</t>
    </r>
    <r>
      <rPr>
        <vertAlign val="superscript"/>
        <sz val="10.5"/>
        <rFont val="Times New Roman"/>
        <family val="1"/>
      </rPr>
      <t>4</t>
    </r>
    <phoneticPr fontId="4" type="noConversion"/>
  </si>
  <si>
    <t>系统适用性，标准曲线及范围，第三批批内准确度和精密度，样品短期稳定性，回收率，样品冻融稳定性，残留评价</t>
    <phoneticPr fontId="4" type="noConversion"/>
  </si>
  <si>
    <r>
      <rPr>
        <sz val="10.5"/>
        <rFont val="宋体"/>
        <family val="3"/>
        <charset val="134"/>
      </rPr>
      <t>是</t>
    </r>
  </si>
  <si>
    <r>
      <rPr>
        <sz val="10.5"/>
        <rFont val="宋体"/>
        <family val="3"/>
        <charset val="134"/>
      </rPr>
      <t>是</t>
    </r>
    <r>
      <rPr>
        <vertAlign val="superscript"/>
        <sz val="10.5"/>
        <rFont val="Times New Roman"/>
        <family val="1"/>
      </rPr>
      <t>5</t>
    </r>
    <phoneticPr fontId="4" type="noConversion"/>
  </si>
  <si>
    <r>
      <rPr>
        <sz val="10.5"/>
        <rFont val="宋体"/>
        <family val="3"/>
        <charset val="134"/>
      </rPr>
      <t>系统适用性，标准曲线及范围，处理后样品稳定性</t>
    </r>
    <r>
      <rPr>
        <vertAlign val="superscript"/>
        <sz val="10.5"/>
        <rFont val="Times New Roman"/>
        <family val="1"/>
      </rPr>
      <t>6</t>
    </r>
    <r>
      <rPr>
        <sz val="10.5"/>
        <rFont val="宋体"/>
        <family val="3"/>
        <charset val="134"/>
      </rPr>
      <t>，溶血效应（仅考察</t>
    </r>
    <r>
      <rPr>
        <sz val="10.5"/>
        <rFont val="Times New Roman"/>
        <family val="1"/>
      </rPr>
      <t>RESS25071-SS</t>
    </r>
    <r>
      <rPr>
        <sz val="10.5"/>
        <rFont val="宋体"/>
        <family val="3"/>
        <charset val="134"/>
      </rPr>
      <t>），残留评价</t>
    </r>
    <phoneticPr fontId="4" type="noConversion"/>
  </si>
  <si>
    <r>
      <rPr>
        <sz val="10.5"/>
        <rFont val="宋体"/>
        <family val="3"/>
        <charset val="134"/>
      </rPr>
      <t>系统适用性，标准曲线及范围，待测物回收率（仅考察</t>
    </r>
    <r>
      <rPr>
        <sz val="10.5"/>
        <rFont val="Times New Roman"/>
        <family val="1"/>
      </rPr>
      <t>RESS25071-SS</t>
    </r>
    <r>
      <rPr>
        <sz val="10.5"/>
        <rFont val="宋体"/>
        <family val="3"/>
        <charset val="134"/>
      </rPr>
      <t>），残留评价</t>
    </r>
    <phoneticPr fontId="4" type="noConversion"/>
  </si>
  <si>
    <r>
      <rPr>
        <sz val="10.5"/>
        <rFont val="宋体"/>
        <family val="3"/>
        <charset val="134"/>
      </rPr>
      <t>注</t>
    </r>
    <r>
      <rPr>
        <sz val="10.5"/>
        <rFont val="Times New Roman"/>
        <family val="1"/>
      </rPr>
      <t>1</t>
    </r>
    <r>
      <rPr>
        <sz val="10.5"/>
        <rFont val="宋体"/>
        <family val="3"/>
        <charset val="134"/>
      </rPr>
      <t>：进样过程中稳定性</t>
    </r>
    <r>
      <rPr>
        <sz val="10.5"/>
        <rFont val="Times New Roman"/>
        <family val="1"/>
      </rPr>
      <t>T0</t>
    </r>
    <r>
      <rPr>
        <sz val="10.5"/>
        <rFont val="宋体"/>
        <family val="3"/>
        <charset val="134"/>
      </rPr>
      <t>样品和特异性样品未提取到峰面积，在</t>
    </r>
    <r>
      <rPr>
        <sz val="10.5"/>
        <rFont val="Times New Roman"/>
        <family val="1"/>
      </rPr>
      <t>Run3</t>
    </r>
    <r>
      <rPr>
        <sz val="10.5"/>
        <rFont val="宋体"/>
        <family val="3"/>
        <charset val="134"/>
      </rPr>
      <t>重新考察。</t>
    </r>
    <phoneticPr fontId="4" type="noConversion"/>
  </si>
  <si>
    <r>
      <rPr>
        <sz val="10.5"/>
        <rFont val="宋体"/>
        <family val="3"/>
        <charset val="134"/>
      </rPr>
      <t>注</t>
    </r>
    <r>
      <rPr>
        <sz val="10.5"/>
        <rFont val="Times New Roman"/>
        <family val="1"/>
      </rPr>
      <t>3</t>
    </r>
    <r>
      <rPr>
        <sz val="10.5"/>
        <rFont val="宋体"/>
        <family val="3"/>
        <charset val="134"/>
      </rPr>
      <t>：</t>
    </r>
    <r>
      <rPr>
        <sz val="10.5"/>
        <rFont val="Times New Roman"/>
        <family val="1"/>
      </rPr>
      <t>RESS25071-SS</t>
    </r>
    <r>
      <rPr>
        <sz val="10.5"/>
        <rFont val="宋体"/>
        <family val="3"/>
        <charset val="134"/>
      </rPr>
      <t>的低浓度溶血效应样品准确度小于</t>
    </r>
    <r>
      <rPr>
        <sz val="10.5"/>
        <rFont val="Times New Roman"/>
        <family val="1"/>
      </rPr>
      <t>85%</t>
    </r>
    <r>
      <rPr>
        <sz val="10.5"/>
        <rFont val="宋体"/>
        <family val="3"/>
        <charset val="134"/>
      </rPr>
      <t>，溶血效应考察失败，于</t>
    </r>
    <r>
      <rPr>
        <sz val="10.5"/>
        <rFont val="Times New Roman"/>
        <family val="1"/>
      </rPr>
      <t>Run6</t>
    </r>
    <r>
      <rPr>
        <sz val="10.5"/>
        <rFont val="宋体"/>
        <family val="3"/>
        <charset val="134"/>
      </rPr>
      <t>重新考察。</t>
    </r>
    <phoneticPr fontId="4" type="noConversion"/>
  </si>
  <si>
    <r>
      <rPr>
        <sz val="10.5"/>
        <rFont val="宋体"/>
        <family val="3"/>
        <charset val="134"/>
      </rPr>
      <t>注</t>
    </r>
    <r>
      <rPr>
        <sz val="10.5"/>
        <rFont val="Times New Roman"/>
        <family val="1"/>
      </rPr>
      <t>4</t>
    </r>
    <r>
      <rPr>
        <sz val="10.5"/>
        <rFont val="宋体"/>
        <family val="3"/>
        <charset val="134"/>
      </rPr>
      <t>：本分析批无标曲质控样品</t>
    </r>
    <phoneticPr fontId="4" type="noConversion"/>
  </si>
  <si>
    <r>
      <rPr>
        <sz val="10.5"/>
        <rFont val="宋体"/>
        <family val="3"/>
        <charset val="134"/>
      </rPr>
      <t>注</t>
    </r>
    <r>
      <rPr>
        <sz val="10.5"/>
        <rFont val="Times New Roman"/>
        <family val="1"/>
      </rPr>
      <t>5</t>
    </r>
    <r>
      <rPr>
        <sz val="10.5"/>
        <rFont val="宋体"/>
        <family val="3"/>
        <charset val="134"/>
      </rPr>
      <t>：</t>
    </r>
    <r>
      <rPr>
        <sz val="10.5"/>
        <rFont val="Times New Roman"/>
        <family val="3"/>
      </rPr>
      <t>RESS25071-SS</t>
    </r>
    <r>
      <rPr>
        <sz val="10.5"/>
        <rFont val="宋体"/>
        <family val="3"/>
        <charset val="134"/>
      </rPr>
      <t>低浓度水平质控样品回收率的变异系数（</t>
    </r>
    <r>
      <rPr>
        <sz val="10.5"/>
        <rFont val="Times New Roman"/>
        <family val="1"/>
      </rPr>
      <t>%CV</t>
    </r>
    <r>
      <rPr>
        <sz val="10.5"/>
        <rFont val="宋体"/>
        <family val="3"/>
        <charset val="134"/>
      </rPr>
      <t>）大于</t>
    </r>
    <r>
      <rPr>
        <sz val="10.5"/>
        <rFont val="Times New Roman"/>
        <family val="1"/>
      </rPr>
      <t>15.0 %</t>
    </r>
    <r>
      <rPr>
        <sz val="10.5"/>
        <rFont val="宋体"/>
        <family val="3"/>
        <charset val="134"/>
      </rPr>
      <t>，回收率考察失败，于</t>
    </r>
    <r>
      <rPr>
        <sz val="10.5"/>
        <rFont val="Times New Roman"/>
        <family val="3"/>
      </rPr>
      <t>Run</t>
    </r>
    <r>
      <rPr>
        <sz val="10.5"/>
        <rFont val="Times New Roman"/>
        <family val="1"/>
      </rPr>
      <t>7</t>
    </r>
    <r>
      <rPr>
        <sz val="10.5"/>
        <rFont val="宋体"/>
        <family val="3"/>
        <charset val="134"/>
      </rPr>
      <t>重新考察。</t>
    </r>
    <phoneticPr fontId="4" type="noConversion"/>
  </si>
  <si>
    <r>
      <rPr>
        <sz val="10.5"/>
        <rFont val="宋体"/>
        <family val="3"/>
        <charset val="134"/>
      </rPr>
      <t>注</t>
    </r>
    <r>
      <rPr>
        <sz val="10.5"/>
        <rFont val="Times New Roman"/>
        <family val="1"/>
      </rPr>
      <t>6</t>
    </r>
    <r>
      <rPr>
        <sz val="10.5"/>
        <rFont val="宋体"/>
        <family val="3"/>
        <charset val="134"/>
      </rPr>
      <t>：处理后样品稳定性实验，所使用的样品于</t>
    </r>
    <r>
      <rPr>
        <sz val="10.5"/>
        <rFont val="Times New Roman"/>
        <family val="1"/>
      </rPr>
      <t>2025</t>
    </r>
    <r>
      <rPr>
        <sz val="10.5"/>
        <rFont val="宋体"/>
        <family val="3"/>
        <charset val="134"/>
      </rPr>
      <t>年</t>
    </r>
    <r>
      <rPr>
        <sz val="10.5"/>
        <rFont val="Times New Roman"/>
        <family val="1"/>
      </rPr>
      <t>05</t>
    </r>
    <r>
      <rPr>
        <sz val="10.5"/>
        <rFont val="宋体"/>
        <family val="3"/>
        <charset val="134"/>
      </rPr>
      <t>月</t>
    </r>
    <r>
      <rPr>
        <sz val="10.5"/>
        <rFont val="Times New Roman"/>
        <family val="1"/>
      </rPr>
      <t>28</t>
    </r>
    <r>
      <rPr>
        <sz val="10.5"/>
        <rFont val="宋体"/>
        <family val="3"/>
        <charset val="134"/>
      </rPr>
      <t>日第</t>
    </r>
    <r>
      <rPr>
        <sz val="10.5"/>
        <rFont val="Times New Roman"/>
        <family val="1"/>
      </rPr>
      <t>5</t>
    </r>
    <r>
      <rPr>
        <sz val="10.5"/>
        <rFont val="宋体"/>
        <family val="3"/>
        <charset val="134"/>
      </rPr>
      <t>个分析批中制备。</t>
    </r>
    <phoneticPr fontId="4" type="noConversion"/>
  </si>
  <si>
    <t>系统适用性，溶液稳定性</t>
    <phoneticPr fontId="4" type="noConversion"/>
  </si>
  <si>
    <t>系统适用性，标准曲线及范围，样品长期稳定性，残留评价</t>
    <phoneticPr fontId="4" type="noConversion"/>
  </si>
  <si>
    <r>
      <rPr>
        <sz val="10.5"/>
        <rFont val="宋体"/>
        <family val="3"/>
        <charset val="134"/>
      </rPr>
      <t>系统适用性，标准曲线及范围，样品长期稳定性</t>
    </r>
    <r>
      <rPr>
        <vertAlign val="superscript"/>
        <sz val="10.5"/>
        <rFont val="Times New Roman"/>
        <family val="1"/>
      </rPr>
      <t>7</t>
    </r>
    <r>
      <rPr>
        <sz val="10.5"/>
        <rFont val="宋体"/>
        <family val="3"/>
        <charset val="134"/>
      </rPr>
      <t>，残留评价</t>
    </r>
    <phoneticPr fontId="4" type="noConversion"/>
  </si>
  <si>
    <r>
      <rPr>
        <sz val="10.5"/>
        <rFont val="宋体"/>
        <family val="3"/>
        <charset val="134"/>
      </rPr>
      <t>斜率</t>
    </r>
  </si>
  <si>
    <r>
      <rPr>
        <sz val="10.5"/>
        <rFont val="宋体"/>
        <family val="3"/>
        <charset val="134"/>
      </rPr>
      <t>截距</t>
    </r>
  </si>
  <si>
    <r>
      <t>R</t>
    </r>
    <r>
      <rPr>
        <vertAlign val="superscript"/>
        <sz val="10.5"/>
        <rFont val="Times New Roman"/>
        <family val="1"/>
      </rPr>
      <t>2</t>
    </r>
  </si>
  <si>
    <r>
      <rPr>
        <sz val="10.5"/>
        <rFont val="宋体"/>
        <family val="3"/>
        <charset val="134"/>
      </rPr>
      <t>平均值</t>
    </r>
    <phoneticPr fontId="4" type="noConversion"/>
  </si>
  <si>
    <t>*23.565</t>
  </si>
  <si>
    <t>*17.320</t>
    <phoneticPr fontId="4" type="noConversion"/>
  </si>
  <si>
    <t>*15.849</t>
  </si>
  <si>
    <t>*16.636</t>
  </si>
  <si>
    <t>*66.445</t>
    <phoneticPr fontId="4" type="noConversion"/>
  </si>
  <si>
    <t>*1.479</t>
    <phoneticPr fontId="4" type="noConversion"/>
  </si>
  <si>
    <t>#353.578</t>
  </si>
  <si>
    <t>LQC</t>
    <phoneticPr fontId="20" type="noConversion"/>
  </si>
  <si>
    <t>GMQC</t>
    <phoneticPr fontId="20" type="noConversion"/>
  </si>
  <si>
    <t>MQC</t>
    <phoneticPr fontId="20" type="noConversion"/>
  </si>
  <si>
    <t>HQC</t>
    <phoneticPr fontId="20" type="noConversion"/>
  </si>
  <si>
    <t>DQC</t>
    <phoneticPr fontId="20" type="noConversion"/>
  </si>
  <si>
    <t>RESS25071-AS</t>
    <phoneticPr fontId="20" type="noConversion"/>
  </si>
  <si>
    <t>RESS25071-SS</t>
    <phoneticPr fontId="20" type="noConversion"/>
  </si>
  <si>
    <t>#3933.138</t>
  </si>
  <si>
    <r>
      <t>#</t>
    </r>
    <r>
      <rPr>
        <sz val="10.5"/>
        <color theme="1"/>
        <rFont val="宋体"/>
        <family val="1"/>
        <charset val="134"/>
      </rPr>
      <t>不满足接受标准，仍参与计算。</t>
    </r>
    <phoneticPr fontId="20" type="noConversion"/>
  </si>
  <si>
    <r>
      <rPr>
        <sz val="10.5"/>
        <rFont val="宋体"/>
        <family val="3"/>
        <charset val="134"/>
      </rPr>
      <t>检测批次编号：</t>
    </r>
    <r>
      <rPr>
        <sz val="10.5"/>
        <rFont val="Times New Roman"/>
        <family val="1"/>
      </rPr>
      <t>8</t>
    </r>
    <phoneticPr fontId="4" type="noConversion"/>
  </si>
  <si>
    <t>SS25071BV01 ISS Fresh 1</t>
  </si>
  <si>
    <t>SS25071BV01 ISS Fresh 2</t>
  </si>
  <si>
    <t>SS25071BV01 ISS Fresh 3</t>
  </si>
  <si>
    <t>SS25071BV01 ISS Fresh 4</t>
  </si>
  <si>
    <t>SS25071BV01 ISS Fresh 5</t>
  </si>
  <si>
    <t>SS25071BV01 ISS Fresh 6</t>
  </si>
  <si>
    <t>SS25071BV01 ISS ST 1</t>
  </si>
  <si>
    <t>SS25071BV01 ISS ST 2</t>
  </si>
  <si>
    <t>SS25071BV01 ISS ST 3</t>
  </si>
  <si>
    <t>SS25071BV01 ISS ST 4</t>
  </si>
  <si>
    <t>SS25071BV01 ISS ST 5</t>
  </si>
  <si>
    <t>SS25071BV01 ISS ST 6</t>
  </si>
  <si>
    <r>
      <t>检测批次编号：</t>
    </r>
    <r>
      <rPr>
        <sz val="10.5"/>
        <rFont val="Times New Roman"/>
        <family val="3"/>
        <charset val="134"/>
      </rPr>
      <t>8</t>
    </r>
  </si>
  <si>
    <r>
      <rPr>
        <sz val="10.5"/>
        <rFont val="宋体"/>
        <family val="3"/>
        <charset val="134"/>
      </rPr>
      <t>储存条件：室温白光</t>
    </r>
    <r>
      <rPr>
        <sz val="10.5"/>
        <rFont val="Times New Roman"/>
        <family val="1"/>
      </rPr>
      <t>22</t>
    </r>
    <r>
      <rPr>
        <sz val="10.5"/>
        <rFont val="宋体"/>
        <family val="3"/>
        <charset val="134"/>
      </rPr>
      <t>小时</t>
    </r>
    <phoneticPr fontId="4" type="noConversion"/>
  </si>
  <si>
    <r>
      <rPr>
        <sz val="10.5"/>
        <rFont val="宋体"/>
        <family val="3"/>
        <charset val="134"/>
      </rPr>
      <t>储存条件：</t>
    </r>
    <r>
      <rPr>
        <sz val="10.5"/>
        <rFont val="Times New Roman"/>
        <family val="1"/>
      </rPr>
      <t>-70~-90°C</t>
    </r>
    <r>
      <rPr>
        <sz val="10.5"/>
        <rFont val="宋体"/>
        <family val="3"/>
        <charset val="134"/>
      </rPr>
      <t>下</t>
    </r>
    <r>
      <rPr>
        <sz val="10.5"/>
        <rFont val="Times New Roman"/>
        <family val="1"/>
      </rPr>
      <t>103</t>
    </r>
    <r>
      <rPr>
        <sz val="10.5"/>
        <rFont val="宋体"/>
        <family val="3"/>
        <charset val="134"/>
      </rPr>
      <t>天</t>
    </r>
    <phoneticPr fontId="4" type="noConversion"/>
  </si>
  <si>
    <t>SS25071BV01 ISS LT 1</t>
  </si>
  <si>
    <t>SS25071BV01 ISS LT 2</t>
  </si>
  <si>
    <t>SS25071BV01 ISS LT 3</t>
  </si>
  <si>
    <t>SS25071BV01 ISS LT 4</t>
  </si>
  <si>
    <t>SS25071BV01 ISS LT 5</t>
  </si>
  <si>
    <t>SS25071BV01 ISS LT 6</t>
  </si>
  <si>
    <t>SS25071BV01 WS IS Fresh 1</t>
  </si>
  <si>
    <t>SS25071BV01 WS IS Fresh 2</t>
  </si>
  <si>
    <t>SS25071BV01 WS IS Fresh 3</t>
  </si>
  <si>
    <t>SS25071BV01 WS IS Fresh 4</t>
  </si>
  <si>
    <t>SS25071BV01 WS IS Fresh 5</t>
  </si>
  <si>
    <t>SS25071BV01 WS IS Fresh 6</t>
  </si>
  <si>
    <t>SS25071BV01 WS IS ST 1</t>
  </si>
  <si>
    <t>SS25071BV01 WS IS ST 2</t>
  </si>
  <si>
    <t>SS25071BV01 WS IS ST 3</t>
  </si>
  <si>
    <t>SS25071BV01 WS IS ST 4</t>
  </si>
  <si>
    <t>SS25071BV01 WS IS ST 5</t>
  </si>
  <si>
    <t>SS25071BV01 WS IS ST 6</t>
  </si>
  <si>
    <r>
      <rPr>
        <sz val="10.5"/>
        <rFont val="宋体"/>
        <family val="3"/>
        <charset val="134"/>
      </rPr>
      <t>表</t>
    </r>
    <r>
      <rPr>
        <sz val="10.5"/>
        <rFont val="Times New Roman"/>
        <family val="1"/>
      </rPr>
      <t xml:space="preserve">17 </t>
    </r>
    <r>
      <rPr>
        <sz val="10.5"/>
        <rFont val="宋体"/>
        <family val="3"/>
        <charset val="134"/>
      </rPr>
      <t>：工作液长期稳定性（</t>
    </r>
    <r>
      <rPr>
        <sz val="10.5"/>
        <rFont val="Times New Roman"/>
        <family val="1"/>
      </rPr>
      <t>LLOQ</t>
    </r>
    <r>
      <rPr>
        <sz val="10.5"/>
        <rFont val="宋体"/>
        <family val="3"/>
        <charset val="134"/>
      </rPr>
      <t>和内标工作液稳定性）</t>
    </r>
    <phoneticPr fontId="4" type="noConversion"/>
  </si>
  <si>
    <r>
      <rPr>
        <sz val="10.5"/>
        <rFont val="宋体"/>
        <family val="3"/>
        <charset val="134"/>
      </rPr>
      <t>表</t>
    </r>
    <r>
      <rPr>
        <sz val="10.5"/>
        <rFont val="Times New Roman"/>
        <family val="1"/>
      </rPr>
      <t>15</t>
    </r>
    <r>
      <rPr>
        <sz val="10.5"/>
        <rFont val="宋体"/>
        <family val="3"/>
        <charset val="134"/>
      </rPr>
      <t>：工作液短期稳定性（</t>
    </r>
    <r>
      <rPr>
        <sz val="10.5"/>
        <rFont val="Times New Roman"/>
        <family val="1"/>
      </rPr>
      <t>LLOQ</t>
    </r>
    <r>
      <rPr>
        <sz val="10.5"/>
        <rFont val="宋体"/>
        <family val="3"/>
        <charset val="134"/>
      </rPr>
      <t>和内标工作液稳定性）</t>
    </r>
    <phoneticPr fontId="4" type="noConversion"/>
  </si>
  <si>
    <t>SS25071BV01 WS IS LT 1</t>
  </si>
  <si>
    <t>SS25071BV01 WS IS LT 2</t>
  </si>
  <si>
    <t>SS25071BV01 WS IS LT 3</t>
  </si>
  <si>
    <t>SS25071BV01 WS IS LT 4</t>
  </si>
  <si>
    <t>SS25071BV01 WS IS LT 5</t>
  </si>
  <si>
    <t>SS25071BV01 WS IS LT 6</t>
  </si>
  <si>
    <t>DQC</t>
    <phoneticPr fontId="4" type="noConversion"/>
  </si>
  <si>
    <r>
      <rPr>
        <sz val="10.5"/>
        <rFont val="宋体"/>
        <family val="3"/>
        <charset val="134"/>
      </rPr>
      <t>试验条件：</t>
    </r>
    <r>
      <rPr>
        <sz val="10.5"/>
        <rFont val="Times New Roman"/>
        <family val="1"/>
      </rPr>
      <t>-70~-90°C</t>
    </r>
    <r>
      <rPr>
        <sz val="10.5"/>
        <rFont val="宋体"/>
        <family val="3"/>
        <charset val="134"/>
      </rPr>
      <t>条件下</t>
    </r>
    <r>
      <rPr>
        <sz val="10.5"/>
        <rFont val="Times New Roman"/>
        <family val="1"/>
      </rPr>
      <t>105</t>
    </r>
    <r>
      <rPr>
        <sz val="10.5"/>
        <rFont val="宋体"/>
        <family val="3"/>
        <charset val="134"/>
      </rPr>
      <t>天</t>
    </r>
    <phoneticPr fontId="4" type="noConversion"/>
  </si>
  <si>
    <t>现配现用</t>
    <phoneticPr fontId="20" type="noConversion"/>
  </si>
  <si>
    <t>KN-BM-25-205</t>
    <phoneticPr fontId="20" type="noConversion"/>
  </si>
  <si>
    <t>KN-BM-25-230</t>
    <phoneticPr fontId="20" type="noConversion"/>
  </si>
  <si>
    <t>KN-BM-25-255</t>
    <phoneticPr fontId="20" type="noConversion"/>
  </si>
  <si>
    <r>
      <rPr>
        <sz val="10"/>
        <rFont val="宋体"/>
        <family val="3"/>
        <charset val="134"/>
      </rPr>
      <t>基质</t>
    </r>
  </si>
  <si>
    <r>
      <rPr>
        <sz val="10"/>
        <rFont val="宋体"/>
        <family val="3"/>
        <charset val="134"/>
      </rPr>
      <t>供应商</t>
    </r>
  </si>
  <si>
    <r>
      <rPr>
        <sz val="10"/>
        <rFont val="宋体"/>
        <family val="3"/>
        <charset val="134"/>
      </rPr>
      <t>益诺思登记号</t>
    </r>
  </si>
  <si>
    <r>
      <rPr>
        <sz val="10"/>
        <rFont val="宋体"/>
        <family val="3"/>
        <charset val="134"/>
      </rPr>
      <t>接收日期</t>
    </r>
  </si>
  <si>
    <r>
      <t>SD</t>
    </r>
    <r>
      <rPr>
        <sz val="10"/>
        <rFont val="宋体"/>
        <family val="3"/>
        <charset val="134"/>
      </rPr>
      <t>大鼠</t>
    </r>
    <r>
      <rPr>
        <sz val="10"/>
        <rFont val="Times New Roman"/>
        <family val="1"/>
      </rPr>
      <t>EDTA-K</t>
    </r>
    <r>
      <rPr>
        <vertAlign val="subscript"/>
        <sz val="10"/>
        <rFont val="Times New Roman"/>
        <family val="1"/>
      </rPr>
      <t>2</t>
    </r>
    <r>
      <rPr>
        <sz val="10"/>
        <rFont val="宋体"/>
        <family val="3"/>
        <charset val="134"/>
      </rPr>
      <t>血浆</t>
    </r>
    <phoneticPr fontId="20" type="noConversion"/>
  </si>
  <si>
    <r>
      <rPr>
        <sz val="10"/>
        <rFont val="宋体"/>
        <family val="3"/>
        <charset val="134"/>
      </rPr>
      <t>上海益诺思生物技术股份有限公司</t>
    </r>
  </si>
  <si>
    <r>
      <t>SD</t>
    </r>
    <r>
      <rPr>
        <sz val="10"/>
        <rFont val="宋体"/>
        <family val="3"/>
        <charset val="134"/>
      </rPr>
      <t>大鼠</t>
    </r>
    <r>
      <rPr>
        <sz val="10"/>
        <rFont val="Times New Roman"/>
        <family val="1"/>
      </rPr>
      <t>EDTA-K</t>
    </r>
    <r>
      <rPr>
        <vertAlign val="subscript"/>
        <sz val="10"/>
        <rFont val="Times New Roman"/>
        <family val="1"/>
      </rPr>
      <t>2</t>
    </r>
    <r>
      <rPr>
        <sz val="10"/>
        <rFont val="宋体"/>
        <family val="3"/>
        <charset val="134"/>
      </rPr>
      <t>全血</t>
    </r>
    <phoneticPr fontId="20" type="noConversion"/>
  </si>
  <si>
    <t>ISSS25071</t>
    <phoneticPr fontId="4" type="noConversion"/>
  </si>
  <si>
    <r>
      <t>RESS25071-AS</t>
    </r>
    <r>
      <rPr>
        <sz val="10.5"/>
        <rFont val="宋体"/>
        <family val="3"/>
        <charset val="134"/>
      </rPr>
      <t>；</t>
    </r>
    <r>
      <rPr>
        <sz val="10.5"/>
        <rFont val="Times New Roman"/>
        <family val="1"/>
      </rPr>
      <t>RESS25071-SS</t>
    </r>
    <phoneticPr fontId="4" type="noConversion"/>
  </si>
  <si>
    <r>
      <t>SS25071-BA-001</t>
    </r>
    <r>
      <rPr>
        <sz val="10.5"/>
        <rFont val="宋体"/>
        <family val="3"/>
        <charset val="134"/>
      </rPr>
      <t>：</t>
    </r>
    <r>
      <rPr>
        <sz val="10.5"/>
        <rFont val="Times New Roman"/>
        <family val="1"/>
      </rPr>
      <t>LC-MS/MS</t>
    </r>
    <r>
      <rPr>
        <sz val="10.5"/>
        <rFont val="宋体"/>
        <family val="1"/>
        <charset val="134"/>
      </rPr>
      <t>方法测定</t>
    </r>
    <r>
      <rPr>
        <sz val="10.5"/>
        <rFont val="Times New Roman"/>
        <family val="1"/>
      </rPr>
      <t>SD</t>
    </r>
    <r>
      <rPr>
        <sz val="10.5"/>
        <rFont val="宋体"/>
        <family val="1"/>
        <charset val="134"/>
      </rPr>
      <t>大鼠</t>
    </r>
    <r>
      <rPr>
        <sz val="10.5"/>
        <rFont val="Times New Roman"/>
        <family val="1"/>
      </rPr>
      <t>EDTA-K2</t>
    </r>
    <r>
      <rPr>
        <sz val="10.5"/>
        <rFont val="宋体"/>
        <family val="1"/>
        <charset val="134"/>
      </rPr>
      <t>血浆样品中</t>
    </r>
    <r>
      <rPr>
        <sz val="10.5"/>
        <rFont val="Times New Roman"/>
        <family val="1"/>
      </rPr>
      <t>FB7013(</t>
    </r>
    <r>
      <rPr>
        <sz val="10.5"/>
        <rFont val="宋体"/>
        <family val="1"/>
        <charset val="134"/>
      </rPr>
      <t>游离型</t>
    </r>
    <r>
      <rPr>
        <sz val="10.5"/>
        <rFont val="Times New Roman"/>
        <family val="1"/>
      </rPr>
      <t>)(RESS25071)</t>
    </r>
    <r>
      <rPr>
        <sz val="10.5"/>
        <rFont val="宋体"/>
        <family val="1"/>
        <charset val="134"/>
      </rPr>
      <t>反义链和正义链的浓度</t>
    </r>
    <phoneticPr fontId="4" type="noConversion"/>
  </si>
  <si>
    <t>Shimadzu</t>
  </si>
  <si>
    <t>LC-30AD</t>
  </si>
  <si>
    <r>
      <t>TRIPLE QUAD</t>
    </r>
    <r>
      <rPr>
        <vertAlign val="superscript"/>
        <sz val="10.5"/>
        <rFont val="Times New Roman"/>
        <family val="1"/>
      </rPr>
      <t>TM</t>
    </r>
    <r>
      <rPr>
        <sz val="10.5"/>
        <rFont val="Times New Roman"/>
        <family val="1"/>
      </rPr>
      <t>6500</t>
    </r>
    <r>
      <rPr>
        <vertAlign val="superscript"/>
        <sz val="10.5"/>
        <rFont val="Times New Roman"/>
        <family val="1"/>
      </rPr>
      <t>+</t>
    </r>
    <phoneticPr fontId="4" type="noConversion"/>
  </si>
  <si>
    <r>
      <rPr>
        <sz val="10.5"/>
        <rFont val="宋体"/>
        <family val="3"/>
        <charset val="134"/>
      </rPr>
      <t>流速：</t>
    </r>
    <r>
      <rPr>
        <sz val="10.5"/>
        <rFont val="Times New Roman"/>
        <family val="1"/>
      </rPr>
      <t>0.600 mL/min</t>
    </r>
    <phoneticPr fontId="4" type="noConversion"/>
  </si>
  <si>
    <r>
      <rPr>
        <sz val="10.5"/>
        <rFont val="宋体"/>
        <family val="3"/>
        <charset val="134"/>
      </rPr>
      <t>流动相</t>
    </r>
    <r>
      <rPr>
        <sz val="10.5"/>
        <rFont val="Times New Roman"/>
        <family val="1"/>
      </rPr>
      <t>B</t>
    </r>
    <r>
      <rPr>
        <sz val="10.5"/>
        <rFont val="宋体"/>
        <family val="3"/>
        <charset val="134"/>
      </rPr>
      <t>：</t>
    </r>
    <r>
      <rPr>
        <sz val="10.5"/>
        <rFont val="Times New Roman"/>
        <family val="1"/>
      </rPr>
      <t>ACN:MeOH:H</t>
    </r>
    <r>
      <rPr>
        <vertAlign val="subscript"/>
        <sz val="10.5"/>
        <rFont val="Times New Roman"/>
        <family val="1"/>
      </rPr>
      <t>2</t>
    </r>
    <r>
      <rPr>
        <sz val="10.5"/>
        <rFont val="Times New Roman"/>
        <family val="1"/>
      </rPr>
      <t>O=50:30:20</t>
    </r>
    <r>
      <rPr>
        <sz val="10.5"/>
        <rFont val="宋体"/>
        <family val="1"/>
        <charset val="134"/>
      </rPr>
      <t>，</t>
    </r>
    <r>
      <rPr>
        <sz val="10.5"/>
        <rFont val="Times New Roman"/>
        <family val="1"/>
      </rPr>
      <t>v/v/v</t>
    </r>
    <phoneticPr fontId="4" type="noConversion"/>
  </si>
  <si>
    <t>30 μL</t>
    <phoneticPr fontId="4" type="noConversion"/>
  </si>
  <si>
    <r>
      <t xml:space="preserve">60.0 </t>
    </r>
    <r>
      <rPr>
        <sz val="10.5"/>
        <rFont val="Segoe UI Symbol"/>
        <family val="1"/>
      </rPr>
      <t>℃</t>
    </r>
    <phoneticPr fontId="4" type="noConversion"/>
  </si>
  <si>
    <r>
      <t>SD</t>
    </r>
    <r>
      <rPr>
        <sz val="10.5"/>
        <rFont val="宋体"/>
        <family val="3"/>
        <charset val="134"/>
      </rPr>
      <t>大鼠血浆</t>
    </r>
    <phoneticPr fontId="4" type="noConversion"/>
  </si>
  <si>
    <r>
      <t>EDTA-K</t>
    </r>
    <r>
      <rPr>
        <vertAlign val="subscript"/>
        <sz val="10.5"/>
        <rFont val="Times New Roman"/>
        <family val="1"/>
      </rPr>
      <t>2</t>
    </r>
    <phoneticPr fontId="4" type="noConversion"/>
  </si>
  <si>
    <t>2 μL</t>
    <phoneticPr fontId="4" type="noConversion"/>
  </si>
  <si>
    <r>
      <t>RESS25071-AS</t>
    </r>
    <r>
      <rPr>
        <sz val="10.5"/>
        <rFont val="宋体"/>
        <family val="3"/>
        <charset val="134"/>
      </rPr>
      <t>：</t>
    </r>
    <r>
      <rPr>
        <sz val="10.5"/>
        <rFont val="Times New Roman"/>
        <family val="1"/>
      </rPr>
      <t>10.000-10000.000 ng/mL</t>
    </r>
    <r>
      <rPr>
        <sz val="10.5"/>
        <rFont val="宋体"/>
        <family val="3"/>
        <charset val="134"/>
      </rPr>
      <t>；</t>
    </r>
    <r>
      <rPr>
        <sz val="10.5"/>
        <rFont val="Times New Roman"/>
        <family val="1"/>
      </rPr>
      <t>RESS25071-SS</t>
    </r>
    <r>
      <rPr>
        <sz val="10.5"/>
        <rFont val="宋体"/>
        <family val="3"/>
        <charset val="134"/>
      </rPr>
      <t>：</t>
    </r>
    <r>
      <rPr>
        <sz val="10.5"/>
        <rFont val="Times New Roman"/>
        <family val="1"/>
      </rPr>
      <t>10.000-10000.000 ng/mL</t>
    </r>
    <r>
      <rPr>
        <sz val="10.5"/>
        <rFont val="宋体"/>
        <family val="1"/>
        <charset val="134"/>
      </rPr>
      <t>；</t>
    </r>
    <phoneticPr fontId="4" type="noConversion"/>
  </si>
  <si>
    <r>
      <t>RESS25071-AS</t>
    </r>
    <r>
      <rPr>
        <sz val="10.5"/>
        <rFont val="宋体"/>
        <family val="3"/>
        <charset val="134"/>
      </rPr>
      <t>：</t>
    </r>
    <r>
      <rPr>
        <sz val="10.5"/>
        <rFont val="Times New Roman"/>
        <family val="1"/>
      </rPr>
      <t>10.000 ng/mL</t>
    </r>
    <r>
      <rPr>
        <sz val="10.5"/>
        <rFont val="宋体"/>
        <family val="3"/>
        <charset val="134"/>
      </rPr>
      <t>；</t>
    </r>
    <r>
      <rPr>
        <sz val="10.5"/>
        <rFont val="Times New Roman"/>
        <family val="1"/>
      </rPr>
      <t>RESS25071-SS</t>
    </r>
    <r>
      <rPr>
        <sz val="10.5"/>
        <rFont val="宋体"/>
        <family val="3"/>
        <charset val="134"/>
      </rPr>
      <t>：</t>
    </r>
    <r>
      <rPr>
        <sz val="10.5"/>
        <rFont val="Times New Roman"/>
        <family val="1"/>
      </rPr>
      <t>10.000 ng/mL</t>
    </r>
    <phoneticPr fontId="4" type="noConversion"/>
  </si>
  <si>
    <r>
      <t>RESS25071-AS</t>
    </r>
    <r>
      <rPr>
        <sz val="10.5"/>
        <rFont val="宋体"/>
        <family val="3"/>
        <charset val="134"/>
      </rPr>
      <t>：</t>
    </r>
    <r>
      <rPr>
        <sz val="10.5"/>
        <rFont val="Times New Roman"/>
        <family val="1"/>
      </rPr>
      <t>30.000 ng/mL</t>
    </r>
    <r>
      <rPr>
        <sz val="10.5"/>
        <rFont val="宋体"/>
        <family val="3"/>
        <charset val="134"/>
      </rPr>
      <t>，</t>
    </r>
    <r>
      <rPr>
        <sz val="10.5"/>
        <rFont val="Times New Roman"/>
        <family val="1"/>
      </rPr>
      <t>300.000 ng/mL</t>
    </r>
    <r>
      <rPr>
        <sz val="10.5"/>
        <rFont val="宋体"/>
        <family val="3"/>
        <charset val="134"/>
      </rPr>
      <t>，</t>
    </r>
    <r>
      <rPr>
        <sz val="10.5"/>
        <rFont val="Times New Roman"/>
        <family val="1"/>
      </rPr>
      <t>3000.000 ng/mL</t>
    </r>
    <r>
      <rPr>
        <sz val="10.5"/>
        <rFont val="宋体"/>
        <family val="1"/>
        <charset val="134"/>
      </rPr>
      <t>，</t>
    </r>
    <r>
      <rPr>
        <sz val="10.5"/>
        <rFont val="Times New Roman"/>
        <family val="1"/>
      </rPr>
      <t>7500.000 ng/mL</t>
    </r>
    <r>
      <rPr>
        <sz val="10.5"/>
        <rFont val="宋体"/>
        <family val="3"/>
        <charset val="134"/>
      </rPr>
      <t xml:space="preserve">；
</t>
    </r>
    <r>
      <rPr>
        <sz val="10.5"/>
        <rFont val="Times New Roman"/>
        <family val="1"/>
      </rPr>
      <t>RESS25071-SS</t>
    </r>
    <r>
      <rPr>
        <sz val="10.5"/>
        <rFont val="宋体"/>
        <family val="3"/>
        <charset val="134"/>
      </rPr>
      <t>：</t>
    </r>
    <r>
      <rPr>
        <sz val="10.5"/>
        <rFont val="Times New Roman"/>
        <family val="1"/>
      </rPr>
      <t>30.000 ng/mL</t>
    </r>
    <r>
      <rPr>
        <sz val="10.5"/>
        <rFont val="宋体"/>
        <family val="1"/>
        <charset val="134"/>
      </rPr>
      <t>，</t>
    </r>
    <r>
      <rPr>
        <sz val="10.5"/>
        <rFont val="Times New Roman"/>
        <family val="1"/>
      </rPr>
      <t>300.000 ng/mL</t>
    </r>
    <r>
      <rPr>
        <sz val="10.5"/>
        <rFont val="宋体"/>
        <family val="1"/>
        <charset val="134"/>
      </rPr>
      <t>，</t>
    </r>
    <r>
      <rPr>
        <sz val="10.5"/>
        <rFont val="Times New Roman"/>
        <family val="1"/>
      </rPr>
      <t>3000.000 ng/mL</t>
    </r>
    <r>
      <rPr>
        <sz val="10.5"/>
        <rFont val="宋体"/>
        <family val="1"/>
        <charset val="134"/>
      </rPr>
      <t>，</t>
    </r>
    <r>
      <rPr>
        <sz val="10.5"/>
        <rFont val="Times New Roman"/>
        <family val="1"/>
      </rPr>
      <t>7500.000 ng/mL</t>
    </r>
    <r>
      <rPr>
        <sz val="10.5"/>
        <rFont val="宋体"/>
        <family val="1"/>
        <charset val="134"/>
      </rPr>
      <t>；</t>
    </r>
    <phoneticPr fontId="4" type="noConversion"/>
  </si>
  <si>
    <r>
      <rPr>
        <sz val="10.5"/>
        <rFont val="宋体"/>
        <family val="3"/>
        <charset val="134"/>
      </rPr>
      <t>基质效应</t>
    </r>
    <phoneticPr fontId="4" type="noConversion"/>
  </si>
  <si>
    <r>
      <t>RESS25071-AS/RESS25071-SS</t>
    </r>
    <r>
      <rPr>
        <sz val="10.5"/>
        <rFont val="宋体"/>
        <family val="3"/>
        <charset val="134"/>
      </rPr>
      <t>：室温白光条件下放置可稳定至少</t>
    </r>
    <r>
      <rPr>
        <sz val="10.5"/>
        <rFont val="Times New Roman"/>
        <family val="1"/>
      </rPr>
      <t>22</t>
    </r>
    <r>
      <rPr>
        <sz val="10.5"/>
        <rFont val="宋体"/>
        <family val="3"/>
        <charset val="134"/>
      </rPr>
      <t xml:space="preserve">小时；
</t>
    </r>
    <r>
      <rPr>
        <sz val="10.5"/>
        <rFont val="Times New Roman"/>
        <family val="1"/>
      </rPr>
      <t>ISSS25071</t>
    </r>
    <r>
      <rPr>
        <sz val="10.5"/>
        <rFont val="宋体"/>
        <family val="3"/>
        <charset val="134"/>
      </rPr>
      <t>：室温白光条件下放置可稳定至少</t>
    </r>
    <r>
      <rPr>
        <sz val="10.5"/>
        <rFont val="Times New Roman"/>
        <family val="1"/>
      </rPr>
      <t>22</t>
    </r>
    <r>
      <rPr>
        <sz val="10.5"/>
        <rFont val="宋体"/>
        <family val="3"/>
        <charset val="134"/>
      </rPr>
      <t>小时</t>
    </r>
    <phoneticPr fontId="4" type="noConversion"/>
  </si>
  <si>
    <r>
      <t>RESS25071-AS/RESS25071-SS</t>
    </r>
    <r>
      <rPr>
        <sz val="10.5"/>
        <rFont val="宋体"/>
        <family val="3"/>
        <charset val="134"/>
      </rPr>
      <t>：</t>
    </r>
    <r>
      <rPr>
        <sz val="10.5"/>
        <rFont val="Times New Roman"/>
        <family val="1"/>
      </rPr>
      <t>-70~-90°C</t>
    </r>
    <r>
      <rPr>
        <sz val="10.5"/>
        <rFont val="宋体"/>
        <family val="3"/>
        <charset val="134"/>
      </rPr>
      <t>下放置可稳定至少</t>
    </r>
    <r>
      <rPr>
        <sz val="10.5"/>
        <rFont val="Times New Roman"/>
        <family val="1"/>
      </rPr>
      <t>103</t>
    </r>
    <r>
      <rPr>
        <sz val="10.5"/>
        <rFont val="宋体"/>
        <family val="3"/>
        <charset val="134"/>
      </rPr>
      <t xml:space="preserve">天；
</t>
    </r>
    <r>
      <rPr>
        <sz val="10.5"/>
        <rFont val="Times New Roman"/>
        <family val="1"/>
      </rPr>
      <t>ISSS25071</t>
    </r>
    <r>
      <rPr>
        <sz val="10.5"/>
        <rFont val="宋体"/>
        <family val="3"/>
        <charset val="134"/>
      </rPr>
      <t>：</t>
    </r>
    <r>
      <rPr>
        <sz val="10.5"/>
        <rFont val="Times New Roman"/>
        <family val="1"/>
      </rPr>
      <t>-70~-90°C</t>
    </r>
    <r>
      <rPr>
        <sz val="10.5"/>
        <rFont val="宋体"/>
        <family val="3"/>
        <charset val="134"/>
      </rPr>
      <t>下放置可稳定至少</t>
    </r>
    <r>
      <rPr>
        <sz val="10.5"/>
        <rFont val="Times New Roman"/>
        <family val="1"/>
      </rPr>
      <t>103</t>
    </r>
    <r>
      <rPr>
        <sz val="10.5"/>
        <rFont val="宋体"/>
        <family val="3"/>
        <charset val="134"/>
      </rPr>
      <t>天</t>
    </r>
    <phoneticPr fontId="4" type="noConversion"/>
  </si>
  <si>
    <r>
      <rPr>
        <sz val="10.5"/>
        <rFont val="宋体"/>
        <family val="3"/>
        <charset val="134"/>
      </rPr>
      <t>至少</t>
    </r>
    <r>
      <rPr>
        <sz val="10.5"/>
        <rFont val="Times New Roman"/>
        <family val="1"/>
      </rPr>
      <t>126</t>
    </r>
    <r>
      <rPr>
        <sz val="10.5"/>
        <rFont val="宋体"/>
        <family val="3"/>
        <charset val="134"/>
      </rPr>
      <t>针</t>
    </r>
    <phoneticPr fontId="4" type="noConversion"/>
  </si>
  <si>
    <r>
      <t>RESS25071-AS</t>
    </r>
    <r>
      <rPr>
        <sz val="10.5"/>
        <rFont val="宋体"/>
        <family val="1"/>
        <charset val="134"/>
      </rPr>
      <t>：</t>
    </r>
    <r>
      <rPr>
        <sz val="10.5"/>
        <rFont val="Times New Roman"/>
        <family val="1"/>
      </rPr>
      <t>-4.0~5.4</t>
    </r>
    <r>
      <rPr>
        <sz val="10.5"/>
        <rFont val="宋体"/>
        <family val="1"/>
        <charset val="134"/>
      </rPr>
      <t xml:space="preserve">；
</t>
    </r>
    <r>
      <rPr>
        <sz val="10.5"/>
        <rFont val="Times New Roman"/>
        <family val="1"/>
      </rPr>
      <t>RESS25071-SS</t>
    </r>
    <r>
      <rPr>
        <sz val="10.5"/>
        <rFont val="宋体"/>
        <family val="1"/>
        <charset val="134"/>
      </rPr>
      <t>：</t>
    </r>
    <r>
      <rPr>
        <sz val="10.5"/>
        <rFont val="Times New Roman"/>
        <family val="1"/>
      </rPr>
      <t>-5.8~5.7</t>
    </r>
    <phoneticPr fontId="4" type="noConversion"/>
  </si>
  <si>
    <r>
      <t>RESS25071-AS</t>
    </r>
    <r>
      <rPr>
        <sz val="10.5"/>
        <rFont val="宋体"/>
        <family val="1"/>
        <charset val="134"/>
      </rPr>
      <t>：</t>
    </r>
    <r>
      <rPr>
        <sz val="10.5"/>
        <rFont val="Times New Roman"/>
        <family val="1"/>
      </rPr>
      <t>9.9</t>
    </r>
    <r>
      <rPr>
        <sz val="10.5"/>
        <rFont val="宋体"/>
        <family val="1"/>
        <charset val="134"/>
      </rPr>
      <t xml:space="preserve">；
</t>
    </r>
    <r>
      <rPr>
        <sz val="10.5"/>
        <rFont val="Times New Roman"/>
        <family val="1"/>
      </rPr>
      <t>RESS25071-SS</t>
    </r>
    <r>
      <rPr>
        <sz val="10.5"/>
        <rFont val="宋体"/>
        <family val="1"/>
        <charset val="134"/>
      </rPr>
      <t>：</t>
    </r>
    <r>
      <rPr>
        <sz val="10.5"/>
        <rFont val="Times New Roman"/>
        <family val="1"/>
      </rPr>
      <t>9.6</t>
    </r>
    <phoneticPr fontId="4" type="noConversion"/>
  </si>
  <si>
    <r>
      <t>RESS25071-AS</t>
    </r>
    <r>
      <rPr>
        <sz val="10.5"/>
        <rFont val="宋体"/>
        <family val="1"/>
        <charset val="134"/>
      </rPr>
      <t>：</t>
    </r>
    <r>
      <rPr>
        <sz val="10.5"/>
        <rFont val="Times New Roman"/>
        <family val="1"/>
      </rPr>
      <t>1.3~9.0</t>
    </r>
    <r>
      <rPr>
        <sz val="10.5"/>
        <rFont val="宋体"/>
        <family val="1"/>
        <charset val="134"/>
      </rPr>
      <t xml:space="preserve">；
</t>
    </r>
    <r>
      <rPr>
        <sz val="10.5"/>
        <rFont val="Times New Roman"/>
        <family val="1"/>
      </rPr>
      <t>RESS25071-SS</t>
    </r>
    <r>
      <rPr>
        <sz val="10.5"/>
        <rFont val="宋体"/>
        <family val="1"/>
        <charset val="134"/>
      </rPr>
      <t>：</t>
    </r>
    <r>
      <rPr>
        <sz val="10.5"/>
        <rFont val="Times New Roman"/>
        <family val="1"/>
      </rPr>
      <t>-4.4~5.6</t>
    </r>
    <phoneticPr fontId="4" type="noConversion"/>
  </si>
  <si>
    <r>
      <t>RESS25071-AS</t>
    </r>
    <r>
      <rPr>
        <sz val="10.5"/>
        <rFont val="宋体"/>
        <family val="1"/>
        <charset val="134"/>
      </rPr>
      <t>：</t>
    </r>
    <r>
      <rPr>
        <sz val="10.5"/>
        <rFont val="Times New Roman"/>
        <family val="1"/>
      </rPr>
      <t>18.2</t>
    </r>
    <r>
      <rPr>
        <sz val="10.5"/>
        <rFont val="宋体"/>
        <family val="1"/>
        <charset val="134"/>
      </rPr>
      <t xml:space="preserve">；
</t>
    </r>
    <r>
      <rPr>
        <sz val="10.5"/>
        <rFont val="Times New Roman"/>
        <family val="1"/>
      </rPr>
      <t>RESS25071-SS</t>
    </r>
    <r>
      <rPr>
        <sz val="10.5"/>
        <rFont val="宋体"/>
        <family val="1"/>
        <charset val="134"/>
      </rPr>
      <t>：</t>
    </r>
    <r>
      <rPr>
        <sz val="10.5"/>
        <rFont val="Times New Roman"/>
        <family val="1"/>
      </rPr>
      <t>14.6</t>
    </r>
    <phoneticPr fontId="4" type="noConversion"/>
  </si>
  <si>
    <r>
      <t>RESS25071-AS</t>
    </r>
    <r>
      <rPr>
        <sz val="10.5"/>
        <rFont val="宋体"/>
        <family val="1"/>
        <charset val="134"/>
      </rPr>
      <t>：</t>
    </r>
    <r>
      <rPr>
        <sz val="10.5"/>
        <rFont val="Times New Roman"/>
        <family val="1"/>
      </rPr>
      <t>-0.9~2.0</t>
    </r>
    <r>
      <rPr>
        <sz val="10.5"/>
        <rFont val="宋体"/>
        <family val="1"/>
        <charset val="134"/>
      </rPr>
      <t xml:space="preserve">；
</t>
    </r>
    <r>
      <rPr>
        <sz val="10.5"/>
        <rFont val="Times New Roman"/>
        <family val="1"/>
      </rPr>
      <t>RESS25071-SS</t>
    </r>
    <r>
      <rPr>
        <sz val="10.5"/>
        <rFont val="宋体"/>
        <family val="1"/>
        <charset val="134"/>
      </rPr>
      <t>：</t>
    </r>
    <r>
      <rPr>
        <sz val="10.5"/>
        <rFont val="Times New Roman"/>
        <family val="1"/>
      </rPr>
      <t>-4.5~2.8</t>
    </r>
    <phoneticPr fontId="4" type="noConversion"/>
  </si>
  <si>
    <r>
      <t>RESS25071-AS</t>
    </r>
    <r>
      <rPr>
        <sz val="10.5"/>
        <rFont val="宋体"/>
        <family val="1"/>
        <charset val="134"/>
      </rPr>
      <t>：</t>
    </r>
    <r>
      <rPr>
        <sz val="10.5"/>
        <rFont val="Times New Roman"/>
        <family val="1"/>
      </rPr>
      <t>6.8</t>
    </r>
    <r>
      <rPr>
        <sz val="10.5"/>
        <rFont val="宋体"/>
        <family val="1"/>
        <charset val="134"/>
      </rPr>
      <t xml:space="preserve">；
</t>
    </r>
    <r>
      <rPr>
        <sz val="10.5"/>
        <rFont val="Times New Roman"/>
        <family val="1"/>
      </rPr>
      <t>RESS25071-SS</t>
    </r>
    <r>
      <rPr>
        <sz val="10.5"/>
        <rFont val="宋体"/>
        <family val="1"/>
        <charset val="134"/>
      </rPr>
      <t>：</t>
    </r>
    <r>
      <rPr>
        <sz val="10.5"/>
        <rFont val="Times New Roman"/>
        <family val="1"/>
      </rPr>
      <t>7.8</t>
    </r>
    <phoneticPr fontId="4" type="noConversion"/>
  </si>
  <si>
    <r>
      <t>RESS25071-AS</t>
    </r>
    <r>
      <rPr>
        <sz val="10.5"/>
        <rFont val="宋体"/>
        <family val="1"/>
        <charset val="134"/>
      </rPr>
      <t>：</t>
    </r>
    <r>
      <rPr>
        <sz val="10.5"/>
        <rFont val="Times New Roman"/>
        <family val="1"/>
      </rPr>
      <t>6.0</t>
    </r>
    <r>
      <rPr>
        <sz val="10.5"/>
        <rFont val="宋体"/>
        <family val="1"/>
        <charset val="134"/>
      </rPr>
      <t xml:space="preserve">；
</t>
    </r>
    <r>
      <rPr>
        <sz val="10.5"/>
        <rFont val="Times New Roman"/>
        <family val="1"/>
      </rPr>
      <t>RESS25071-SS</t>
    </r>
    <r>
      <rPr>
        <sz val="10.5"/>
        <rFont val="宋体"/>
        <family val="1"/>
        <charset val="134"/>
      </rPr>
      <t>：</t>
    </r>
    <r>
      <rPr>
        <sz val="10.5"/>
        <rFont val="Times New Roman"/>
        <family val="1"/>
      </rPr>
      <t>1.3</t>
    </r>
    <phoneticPr fontId="4" type="noConversion"/>
  </si>
  <si>
    <r>
      <t>RESS25071-AS</t>
    </r>
    <r>
      <rPr>
        <sz val="10.5"/>
        <rFont val="宋体"/>
        <family val="1"/>
        <charset val="134"/>
      </rPr>
      <t>：</t>
    </r>
    <r>
      <rPr>
        <sz val="10.5"/>
        <rFont val="Times New Roman"/>
        <family val="1"/>
      </rPr>
      <t>14.5</t>
    </r>
    <r>
      <rPr>
        <sz val="10.5"/>
        <rFont val="宋体"/>
        <family val="1"/>
        <charset val="134"/>
      </rPr>
      <t xml:space="preserve">；
</t>
    </r>
    <r>
      <rPr>
        <sz val="10.5"/>
        <rFont val="Times New Roman"/>
        <family val="1"/>
      </rPr>
      <t>RESS25071-SS</t>
    </r>
    <r>
      <rPr>
        <sz val="10.5"/>
        <rFont val="宋体"/>
        <family val="1"/>
        <charset val="134"/>
      </rPr>
      <t>：</t>
    </r>
    <r>
      <rPr>
        <sz val="10.5"/>
        <rFont val="Times New Roman"/>
        <family val="1"/>
      </rPr>
      <t>12.2</t>
    </r>
    <phoneticPr fontId="4" type="noConversion"/>
  </si>
  <si>
    <r>
      <rPr>
        <sz val="10.5"/>
        <rFont val="宋体"/>
        <family val="3"/>
        <charset val="134"/>
      </rPr>
      <t>以</t>
    </r>
    <r>
      <rPr>
        <sz val="10.5"/>
        <rFont val="Times New Roman"/>
        <family val="1"/>
      </rPr>
      <t>RESS25071-AS</t>
    </r>
    <r>
      <rPr>
        <sz val="10.5"/>
        <rFont val="宋体"/>
        <family val="3"/>
        <charset val="134"/>
      </rPr>
      <t>计，</t>
    </r>
    <r>
      <rPr>
        <sz val="10.5"/>
        <rFont val="Times New Roman"/>
        <family val="1"/>
      </rPr>
      <t>ISSS25071</t>
    </r>
    <r>
      <rPr>
        <sz val="10.5"/>
        <rFont val="宋体"/>
        <family val="3"/>
        <charset val="134"/>
      </rPr>
      <t>平均回收率为</t>
    </r>
    <r>
      <rPr>
        <sz val="10.5"/>
        <rFont val="Times New Roman"/>
        <family val="1"/>
      </rPr>
      <t>90.5%</t>
    </r>
    <r>
      <rPr>
        <sz val="10.5"/>
        <rFont val="宋体"/>
        <family val="3"/>
        <charset val="134"/>
      </rPr>
      <t>，</t>
    </r>
    <r>
      <rPr>
        <sz val="10.5"/>
        <rFont val="Times New Roman"/>
        <family val="1"/>
      </rPr>
      <t>CV</t>
    </r>
    <r>
      <rPr>
        <sz val="10.5"/>
        <rFont val="宋体"/>
        <family val="3"/>
        <charset val="134"/>
      </rPr>
      <t>为</t>
    </r>
    <r>
      <rPr>
        <sz val="10.5"/>
        <rFont val="Times New Roman"/>
        <family val="1"/>
      </rPr>
      <t xml:space="preserve">2.2% </t>
    </r>
    <phoneticPr fontId="4" type="noConversion"/>
  </si>
  <si>
    <r>
      <t>RESS25071-AS</t>
    </r>
    <r>
      <rPr>
        <sz val="10.5"/>
        <rFont val="宋体"/>
        <family val="3"/>
        <charset val="134"/>
      </rPr>
      <t>浓度为</t>
    </r>
    <r>
      <rPr>
        <sz val="10.5"/>
        <rFont val="Times New Roman"/>
        <family val="1"/>
      </rPr>
      <t xml:space="preserve"> 30.000 ng/mL</t>
    </r>
    <r>
      <rPr>
        <sz val="10.5"/>
        <rFont val="宋体"/>
        <family val="3"/>
        <charset val="134"/>
      </rPr>
      <t>时，平均回收率为</t>
    </r>
    <r>
      <rPr>
        <sz val="10.5"/>
        <rFont val="Times New Roman"/>
        <family val="1"/>
      </rPr>
      <t>88.9%</t>
    </r>
    <r>
      <rPr>
        <sz val="10.5"/>
        <rFont val="宋体"/>
        <family val="3"/>
        <charset val="134"/>
      </rPr>
      <t>，</t>
    </r>
    <r>
      <rPr>
        <sz val="10.5"/>
        <rFont val="Times New Roman"/>
        <family val="1"/>
      </rPr>
      <t>CV</t>
    </r>
    <r>
      <rPr>
        <sz val="10.5"/>
        <rFont val="宋体"/>
        <family val="3"/>
        <charset val="134"/>
      </rPr>
      <t>为</t>
    </r>
    <r>
      <rPr>
        <sz val="10.5"/>
        <rFont val="Times New Roman"/>
        <family val="1"/>
      </rPr>
      <t>6.3%</t>
    </r>
    <r>
      <rPr>
        <sz val="10.5"/>
        <rFont val="宋体"/>
        <family val="3"/>
        <charset val="134"/>
      </rPr>
      <t xml:space="preserve">；
</t>
    </r>
    <r>
      <rPr>
        <sz val="10.5"/>
        <rFont val="Times New Roman"/>
        <family val="1"/>
      </rPr>
      <t>RESS25071-AS</t>
    </r>
    <r>
      <rPr>
        <sz val="10.5"/>
        <rFont val="宋体"/>
        <family val="3"/>
        <charset val="134"/>
      </rPr>
      <t>浓度为</t>
    </r>
    <r>
      <rPr>
        <sz val="10.5"/>
        <rFont val="Times New Roman"/>
        <family val="1"/>
      </rPr>
      <t xml:space="preserve"> 3000.000 ng/mL</t>
    </r>
    <r>
      <rPr>
        <sz val="10.5"/>
        <rFont val="宋体"/>
        <family val="3"/>
        <charset val="134"/>
      </rPr>
      <t>时，平均回收率为</t>
    </r>
    <r>
      <rPr>
        <sz val="10.5"/>
        <rFont val="Times New Roman"/>
        <family val="1"/>
      </rPr>
      <t>72.8%</t>
    </r>
    <r>
      <rPr>
        <sz val="10.5"/>
        <rFont val="宋体"/>
        <family val="3"/>
        <charset val="134"/>
      </rPr>
      <t>，</t>
    </r>
    <r>
      <rPr>
        <sz val="10.5"/>
        <rFont val="Times New Roman"/>
        <family val="1"/>
      </rPr>
      <t>CV</t>
    </r>
    <r>
      <rPr>
        <sz val="10.5"/>
        <rFont val="宋体"/>
        <family val="3"/>
        <charset val="134"/>
      </rPr>
      <t>为</t>
    </r>
    <r>
      <rPr>
        <sz val="10.5"/>
        <rFont val="Times New Roman"/>
        <family val="1"/>
      </rPr>
      <t>5.2%</t>
    </r>
    <r>
      <rPr>
        <sz val="10.5"/>
        <rFont val="宋体"/>
        <family val="3"/>
        <charset val="134"/>
      </rPr>
      <t>；</t>
    </r>
    <r>
      <rPr>
        <sz val="10.5"/>
        <rFont val="Times New Roman"/>
        <family val="1"/>
      </rPr>
      <t xml:space="preserve">  
RESS25071-AS</t>
    </r>
    <r>
      <rPr>
        <sz val="10.5"/>
        <rFont val="宋体"/>
        <family val="1"/>
        <charset val="134"/>
      </rPr>
      <t>浓度为</t>
    </r>
    <r>
      <rPr>
        <sz val="10.5"/>
        <rFont val="Times New Roman"/>
        <family val="1"/>
      </rPr>
      <t xml:space="preserve"> 7500.000 ng/mL</t>
    </r>
    <r>
      <rPr>
        <sz val="10.5"/>
        <rFont val="宋体"/>
        <family val="1"/>
        <charset val="134"/>
      </rPr>
      <t>时，平均回收率为</t>
    </r>
    <r>
      <rPr>
        <sz val="10.5"/>
        <rFont val="Times New Roman"/>
        <family val="1"/>
      </rPr>
      <t>74.8%</t>
    </r>
    <r>
      <rPr>
        <sz val="10.5"/>
        <rFont val="宋体"/>
        <family val="1"/>
        <charset val="134"/>
      </rPr>
      <t>，</t>
    </r>
    <r>
      <rPr>
        <sz val="10.5"/>
        <rFont val="Times New Roman"/>
        <family val="1"/>
      </rPr>
      <t>CV</t>
    </r>
    <r>
      <rPr>
        <sz val="10.5"/>
        <rFont val="宋体"/>
        <family val="1"/>
        <charset val="134"/>
      </rPr>
      <t>为</t>
    </r>
    <r>
      <rPr>
        <sz val="10.5"/>
        <rFont val="Times New Roman"/>
        <family val="1"/>
      </rPr>
      <t>2.9%</t>
    </r>
    <r>
      <rPr>
        <sz val="10.5"/>
        <rFont val="宋体"/>
        <family val="1"/>
        <charset val="134"/>
      </rPr>
      <t>；</t>
    </r>
    <r>
      <rPr>
        <sz val="10.5"/>
        <rFont val="宋体"/>
        <family val="3"/>
        <charset val="134"/>
      </rPr>
      <t>总体</t>
    </r>
    <r>
      <rPr>
        <sz val="10.5"/>
        <rFont val="Times New Roman"/>
        <family val="1"/>
      </rPr>
      <t>CV</t>
    </r>
    <r>
      <rPr>
        <sz val="10.5"/>
        <rFont val="宋体"/>
        <family val="3"/>
        <charset val="134"/>
      </rPr>
      <t>为</t>
    </r>
    <r>
      <rPr>
        <sz val="10.5"/>
        <rFont val="Times New Roman"/>
        <family val="1"/>
      </rPr>
      <t>11.1%</t>
    </r>
    <r>
      <rPr>
        <sz val="10.5"/>
        <rFont val="宋体"/>
        <family val="3"/>
        <charset val="134"/>
      </rPr>
      <t xml:space="preserve">。
</t>
    </r>
    <r>
      <rPr>
        <sz val="10.5"/>
        <rFont val="Times New Roman"/>
        <family val="1"/>
      </rPr>
      <t>RESS25071-SS</t>
    </r>
    <r>
      <rPr>
        <sz val="10.5"/>
        <rFont val="宋体"/>
        <family val="3"/>
        <charset val="134"/>
      </rPr>
      <t>浓度为</t>
    </r>
    <r>
      <rPr>
        <sz val="10.5"/>
        <rFont val="Times New Roman"/>
        <family val="1"/>
      </rPr>
      <t xml:space="preserve"> 30.000 ng/mL</t>
    </r>
    <r>
      <rPr>
        <sz val="10.5"/>
        <rFont val="宋体"/>
        <family val="3"/>
        <charset val="134"/>
      </rPr>
      <t>时，平均回收率为</t>
    </r>
    <r>
      <rPr>
        <sz val="10.5"/>
        <rFont val="Times New Roman"/>
        <family val="1"/>
      </rPr>
      <t>83.0%</t>
    </r>
    <r>
      <rPr>
        <sz val="10.5"/>
        <rFont val="宋体"/>
        <family val="3"/>
        <charset val="134"/>
      </rPr>
      <t>，</t>
    </r>
    <r>
      <rPr>
        <sz val="10.5"/>
        <rFont val="Times New Roman"/>
        <family val="1"/>
      </rPr>
      <t>CV</t>
    </r>
    <r>
      <rPr>
        <sz val="10.5"/>
        <rFont val="宋体"/>
        <family val="3"/>
        <charset val="134"/>
      </rPr>
      <t>为</t>
    </r>
    <r>
      <rPr>
        <sz val="10.5"/>
        <rFont val="Times New Roman"/>
        <family val="1"/>
      </rPr>
      <t>6.5%</t>
    </r>
    <r>
      <rPr>
        <sz val="10.5"/>
        <rFont val="宋体"/>
        <family val="3"/>
        <charset val="134"/>
      </rPr>
      <t xml:space="preserve">；
</t>
    </r>
    <r>
      <rPr>
        <sz val="10.5"/>
        <rFont val="Times New Roman"/>
        <family val="1"/>
      </rPr>
      <t>RESS25071-SS</t>
    </r>
    <r>
      <rPr>
        <sz val="10.5"/>
        <rFont val="宋体"/>
        <family val="3"/>
        <charset val="134"/>
      </rPr>
      <t>浓度为</t>
    </r>
    <r>
      <rPr>
        <sz val="10.5"/>
        <rFont val="Times New Roman"/>
        <family val="1"/>
      </rPr>
      <t xml:space="preserve"> 3000.000 ng/mL</t>
    </r>
    <r>
      <rPr>
        <sz val="10.5"/>
        <rFont val="宋体"/>
        <family val="3"/>
        <charset val="134"/>
      </rPr>
      <t>时，平均回收率为</t>
    </r>
    <r>
      <rPr>
        <sz val="10.5"/>
        <rFont val="Times New Roman"/>
        <family val="1"/>
      </rPr>
      <t>88.3%</t>
    </r>
    <r>
      <rPr>
        <sz val="10.5"/>
        <rFont val="宋体"/>
        <family val="3"/>
        <charset val="134"/>
      </rPr>
      <t>，</t>
    </r>
    <r>
      <rPr>
        <sz val="10.5"/>
        <rFont val="Times New Roman"/>
        <family val="1"/>
      </rPr>
      <t>CV</t>
    </r>
    <r>
      <rPr>
        <sz val="10.5"/>
        <rFont val="宋体"/>
        <family val="3"/>
        <charset val="134"/>
      </rPr>
      <t>为</t>
    </r>
    <r>
      <rPr>
        <sz val="10.5"/>
        <rFont val="Times New Roman"/>
        <family val="1"/>
      </rPr>
      <t>1.5%</t>
    </r>
    <r>
      <rPr>
        <sz val="10.5"/>
        <rFont val="宋体"/>
        <family val="3"/>
        <charset val="134"/>
      </rPr>
      <t xml:space="preserve">；
</t>
    </r>
    <r>
      <rPr>
        <sz val="10.5"/>
        <rFont val="Times New Roman"/>
        <family val="1"/>
      </rPr>
      <t>RESS25071-SS</t>
    </r>
    <r>
      <rPr>
        <sz val="10.5"/>
        <rFont val="宋体"/>
        <family val="3"/>
        <charset val="134"/>
      </rPr>
      <t>浓度为</t>
    </r>
    <r>
      <rPr>
        <sz val="10.5"/>
        <rFont val="Times New Roman"/>
        <family val="1"/>
      </rPr>
      <t xml:space="preserve"> 7500.000 ng/mL</t>
    </r>
    <r>
      <rPr>
        <sz val="10.5"/>
        <rFont val="宋体"/>
        <family val="3"/>
        <charset val="134"/>
      </rPr>
      <t>时，平均回收率为</t>
    </r>
    <r>
      <rPr>
        <sz val="10.5"/>
        <rFont val="Times New Roman"/>
        <family val="1"/>
      </rPr>
      <t>90.3%</t>
    </r>
    <r>
      <rPr>
        <sz val="10.5"/>
        <rFont val="宋体"/>
        <family val="3"/>
        <charset val="134"/>
      </rPr>
      <t>，</t>
    </r>
    <r>
      <rPr>
        <sz val="10.5"/>
        <rFont val="Times New Roman"/>
        <family val="1"/>
      </rPr>
      <t>CV</t>
    </r>
    <r>
      <rPr>
        <sz val="10.5"/>
        <rFont val="宋体"/>
        <family val="3"/>
        <charset val="134"/>
      </rPr>
      <t>为</t>
    </r>
    <r>
      <rPr>
        <sz val="10.5"/>
        <rFont val="Times New Roman"/>
        <family val="1"/>
      </rPr>
      <t>1.4%</t>
    </r>
    <r>
      <rPr>
        <sz val="10.5"/>
        <rFont val="宋体"/>
        <family val="3"/>
        <charset val="134"/>
      </rPr>
      <t>；</t>
    </r>
    <r>
      <rPr>
        <sz val="10.5"/>
        <rFont val="Times New Roman"/>
        <family val="1"/>
      </rPr>
      <t xml:space="preserve">  </t>
    </r>
    <r>
      <rPr>
        <sz val="10.5"/>
        <rFont val="宋体"/>
        <family val="3"/>
        <charset val="134"/>
      </rPr>
      <t>总体</t>
    </r>
    <r>
      <rPr>
        <sz val="10.5"/>
        <rFont val="Times New Roman"/>
        <family val="1"/>
      </rPr>
      <t>CV</t>
    </r>
    <r>
      <rPr>
        <sz val="10.5"/>
        <rFont val="宋体"/>
        <family val="3"/>
        <charset val="134"/>
      </rPr>
      <t>为</t>
    </r>
    <r>
      <rPr>
        <sz val="10.5"/>
        <rFont val="Times New Roman"/>
        <family val="1"/>
      </rPr>
      <t>4.3%</t>
    </r>
    <r>
      <rPr>
        <sz val="10.5"/>
        <rFont val="宋体"/>
        <family val="3"/>
        <charset val="134"/>
      </rPr>
      <t>。</t>
    </r>
    <phoneticPr fontId="4" type="noConversion"/>
  </si>
  <si>
    <r>
      <t>RESS25071</t>
    </r>
    <r>
      <rPr>
        <sz val="10.5"/>
        <rFont val="宋体"/>
        <family val="1"/>
        <charset val="134"/>
      </rPr>
      <t>钠盐</t>
    </r>
    <phoneticPr fontId="4" type="noConversion"/>
  </si>
  <si>
    <t>KN-RS-25-0094</t>
    <phoneticPr fontId="4" type="noConversion"/>
  </si>
  <si>
    <r>
      <rPr>
        <sz val="10.5"/>
        <rFont val="宋体"/>
        <family val="3"/>
        <charset val="134"/>
      </rPr>
      <t>保存条件</t>
    </r>
    <phoneticPr fontId="4" type="noConversion"/>
  </si>
  <si>
    <r>
      <t>ISSS25071</t>
    </r>
    <r>
      <rPr>
        <sz val="10.5"/>
        <rFont val="宋体"/>
        <family val="1"/>
        <charset val="134"/>
      </rPr>
      <t>钠盐</t>
    </r>
    <phoneticPr fontId="20" type="noConversion"/>
  </si>
  <si>
    <t>KN-RS-25-0158</t>
    <phoneticPr fontId="20" type="noConversion"/>
  </si>
  <si>
    <t>C177Y485G0-3 (1&amp;2)</t>
    <phoneticPr fontId="20" type="noConversion"/>
  </si>
  <si>
    <t>纯度</t>
    <phoneticPr fontId="20" type="noConversion"/>
  </si>
  <si>
    <t>92.7%*</t>
    <phoneticPr fontId="20" type="noConversion"/>
  </si>
  <si>
    <r>
      <rPr>
        <sz val="10.5"/>
        <color theme="1"/>
        <rFont val="宋体"/>
        <family val="3"/>
        <charset val="134"/>
      </rPr>
      <t>保存条件</t>
    </r>
    <phoneticPr fontId="4" type="noConversion"/>
  </si>
  <si>
    <t>-15~-25 ºC</t>
    <phoneticPr fontId="20" type="noConversion"/>
  </si>
  <si>
    <r>
      <rPr>
        <sz val="10.5"/>
        <rFont val="DengXian"/>
        <family val="2"/>
      </rPr>
      <t>液相色谱纯</t>
    </r>
    <phoneticPr fontId="20" type="noConversion"/>
  </si>
  <si>
    <r>
      <rPr>
        <sz val="10.5"/>
        <rFont val="宋体"/>
        <family val="3"/>
        <charset val="134"/>
      </rPr>
      <t>六氟异丙醇</t>
    </r>
    <phoneticPr fontId="20" type="noConversion"/>
  </si>
  <si>
    <t>≥99%</t>
    <phoneticPr fontId="20" type="noConversion"/>
  </si>
  <si>
    <t>上海阿拉丁生化科技股份有限公司</t>
    <phoneticPr fontId="20" type="noConversion"/>
  </si>
  <si>
    <t>≥99.5%</t>
    <phoneticPr fontId="20" type="noConversion"/>
  </si>
  <si>
    <r>
      <rPr>
        <sz val="10.5"/>
        <rFont val="DengXian"/>
        <family val="2"/>
      </rPr>
      <t>国药集团化学试剂有限公司</t>
    </r>
    <phoneticPr fontId="20" type="noConversion"/>
  </si>
  <si>
    <r>
      <rPr>
        <sz val="10.5"/>
        <rFont val="DengXian"/>
        <family val="2"/>
      </rPr>
      <t>分析纯</t>
    </r>
    <phoneticPr fontId="20" type="noConversion"/>
  </si>
  <si>
    <r>
      <rPr>
        <sz val="10.5"/>
        <rFont val="宋体"/>
        <family val="3"/>
        <charset val="134"/>
      </rPr>
      <t>二氯甲烷（</t>
    </r>
    <r>
      <rPr>
        <sz val="10.5"/>
        <rFont val="Times New Roman"/>
        <family val="1"/>
      </rPr>
      <t>CH</t>
    </r>
    <r>
      <rPr>
        <vertAlign val="subscript"/>
        <sz val="10.5"/>
        <rFont val="Times New Roman"/>
        <family val="1"/>
      </rPr>
      <t>2</t>
    </r>
    <r>
      <rPr>
        <sz val="10.5"/>
        <rFont val="Times New Roman"/>
        <family val="1"/>
      </rPr>
      <t>Cl</t>
    </r>
    <r>
      <rPr>
        <vertAlign val="subscript"/>
        <sz val="10.5"/>
        <rFont val="Times New Roman"/>
        <family val="1"/>
      </rPr>
      <t>2</t>
    </r>
    <r>
      <rPr>
        <sz val="10.5"/>
        <rFont val="宋体"/>
        <family val="3"/>
        <charset val="134"/>
      </rPr>
      <t>）</t>
    </r>
    <phoneticPr fontId="20" type="noConversion"/>
  </si>
  <si>
    <t>97.5%~102.5%</t>
    <phoneticPr fontId="20" type="noConversion"/>
  </si>
  <si>
    <t>氨水</t>
    <phoneticPr fontId="20" type="noConversion"/>
  </si>
  <si>
    <r>
      <rPr>
        <sz val="10.5"/>
        <rFont val="宋体"/>
        <family val="3"/>
        <charset val="134"/>
      </rPr>
      <t>注</t>
    </r>
    <r>
      <rPr>
        <sz val="10.5"/>
        <rFont val="Times New Roman"/>
        <family val="1"/>
      </rPr>
      <t>2</t>
    </r>
    <r>
      <rPr>
        <sz val="10.5"/>
        <rFont val="宋体"/>
        <family val="3"/>
        <charset val="134"/>
      </rPr>
      <t>：本分析批无标曲质控样品，低、高浓度稳定性</t>
    </r>
    <r>
      <rPr>
        <sz val="10.5"/>
        <rFont val="Times New Roman"/>
        <family val="1"/>
      </rPr>
      <t>T0</t>
    </r>
    <r>
      <rPr>
        <sz val="10.5"/>
        <rFont val="宋体"/>
        <family val="3"/>
        <charset val="134"/>
      </rPr>
      <t>样品的变异系数（</t>
    </r>
    <r>
      <rPr>
        <sz val="10.5"/>
        <rFont val="Times New Roman"/>
        <family val="1"/>
      </rPr>
      <t>CV</t>
    </r>
    <r>
      <rPr>
        <sz val="10.5"/>
        <rFont val="宋体"/>
        <family val="3"/>
        <charset val="134"/>
      </rPr>
      <t>）均大于</t>
    </r>
    <r>
      <rPr>
        <sz val="10.5"/>
        <rFont val="Times New Roman"/>
        <family val="1"/>
      </rPr>
      <t>15%</t>
    </r>
    <r>
      <rPr>
        <sz val="10.5"/>
        <rFont val="宋体"/>
        <family val="3"/>
        <charset val="134"/>
      </rPr>
      <t>，于</t>
    </r>
    <r>
      <rPr>
        <sz val="10.5"/>
        <rFont val="Times New Roman"/>
        <family val="1"/>
      </rPr>
      <t>Run4</t>
    </r>
    <r>
      <rPr>
        <sz val="10.5"/>
        <rFont val="宋体"/>
        <family val="3"/>
        <charset val="134"/>
      </rPr>
      <t>重新考察。</t>
    </r>
    <phoneticPr fontId="4" type="noConversion"/>
  </si>
  <si>
    <r>
      <rPr>
        <sz val="10.5"/>
        <rFont val="宋体"/>
        <family val="1"/>
        <charset val="134"/>
      </rPr>
      <t>失败</t>
    </r>
    <phoneticPr fontId="4" type="noConversion"/>
  </si>
  <si>
    <r>
      <rPr>
        <sz val="10.5"/>
        <rFont val="宋体"/>
        <family val="1"/>
        <charset val="134"/>
      </rPr>
      <t>成功</t>
    </r>
    <phoneticPr fontId="4" type="noConversion"/>
  </si>
  <si>
    <r>
      <t>RESS25071-AS/RESS25071-SS</t>
    </r>
    <r>
      <rPr>
        <sz val="10.5"/>
        <rFont val="微软雅黑"/>
        <family val="1"/>
        <charset val="134"/>
      </rPr>
      <t>：</t>
    </r>
    <r>
      <rPr>
        <sz val="10.5"/>
        <rFont val="Times New Roman"/>
        <family val="1"/>
      </rPr>
      <t>100000.000 ng/mL</t>
    </r>
    <r>
      <rPr>
        <sz val="10.5"/>
        <rFont val="宋体"/>
        <family val="3"/>
        <charset val="134"/>
      </rPr>
      <t>稀释</t>
    </r>
    <r>
      <rPr>
        <sz val="10.5"/>
        <rFont val="Times New Roman"/>
        <family val="1"/>
      </rPr>
      <t>50</t>
    </r>
    <r>
      <rPr>
        <sz val="10.5"/>
        <rFont val="宋体"/>
        <family val="3"/>
        <charset val="134"/>
      </rPr>
      <t>倍；</t>
    </r>
    <phoneticPr fontId="4" type="noConversion"/>
  </si>
  <si>
    <r>
      <t>RESS25071-AS</t>
    </r>
    <r>
      <rPr>
        <sz val="10.5"/>
        <rFont val="宋体"/>
        <family val="3"/>
        <charset val="134"/>
      </rPr>
      <t>：</t>
    </r>
    <r>
      <rPr>
        <sz val="10.5"/>
        <rFont val="Times New Roman"/>
        <family val="1"/>
      </rPr>
      <t>RESS25071-AS</t>
    </r>
    <r>
      <rPr>
        <sz val="10.5"/>
        <rFont val="宋体"/>
        <family val="3"/>
        <charset val="134"/>
      </rPr>
      <t>峰面积与内标</t>
    </r>
    <r>
      <rPr>
        <sz val="10.5"/>
        <rFont val="Times New Roman"/>
        <family val="1"/>
      </rPr>
      <t>ISSS25071</t>
    </r>
    <r>
      <rPr>
        <sz val="10.5"/>
        <rFont val="宋体"/>
        <family val="3"/>
        <charset val="134"/>
      </rPr>
      <t xml:space="preserve">峰面积比；
</t>
    </r>
    <r>
      <rPr>
        <sz val="10.5"/>
        <rFont val="Times New Roman"/>
        <family val="1"/>
      </rPr>
      <t>RESS25071-SS</t>
    </r>
    <r>
      <rPr>
        <sz val="10.5"/>
        <rFont val="宋体"/>
        <family val="3"/>
        <charset val="134"/>
      </rPr>
      <t>：</t>
    </r>
    <r>
      <rPr>
        <sz val="10.5"/>
        <rFont val="Times New Roman"/>
        <family val="1"/>
      </rPr>
      <t>RESS25071-SS</t>
    </r>
    <r>
      <rPr>
        <sz val="10.5"/>
        <rFont val="宋体"/>
        <family val="3"/>
        <charset val="134"/>
      </rPr>
      <t>峰面积与内标</t>
    </r>
    <r>
      <rPr>
        <sz val="10.5"/>
        <rFont val="Times New Roman"/>
        <family val="1"/>
      </rPr>
      <t>ISSS25071</t>
    </r>
    <r>
      <rPr>
        <sz val="10.5"/>
        <rFont val="宋体"/>
        <family val="3"/>
        <charset val="134"/>
      </rPr>
      <t>峰面积比</t>
    </r>
    <phoneticPr fontId="4" type="noConversion"/>
  </si>
  <si>
    <r>
      <rPr>
        <sz val="10.5"/>
        <rFont val="宋体"/>
        <family val="3"/>
        <charset val="134"/>
      </rPr>
      <t>空白血浆中内源性组份对</t>
    </r>
    <r>
      <rPr>
        <sz val="10.5"/>
        <rFont val="Times New Roman"/>
        <family val="1"/>
      </rPr>
      <t>RESS25071-AS</t>
    </r>
    <r>
      <rPr>
        <sz val="10.5"/>
        <rFont val="宋体"/>
        <family val="3"/>
        <charset val="134"/>
      </rPr>
      <t>、</t>
    </r>
    <r>
      <rPr>
        <sz val="10.5"/>
        <rFont val="Times New Roman"/>
        <family val="1"/>
      </rPr>
      <t>RESS25071-SS</t>
    </r>
    <r>
      <rPr>
        <sz val="10.5"/>
        <rFont val="宋体"/>
        <family val="3"/>
        <charset val="134"/>
      </rPr>
      <t>和内标</t>
    </r>
    <r>
      <rPr>
        <sz val="10.5"/>
        <rFont val="Times New Roman"/>
        <family val="1"/>
      </rPr>
      <t>ISSS25071</t>
    </r>
    <r>
      <rPr>
        <sz val="10.5"/>
        <rFont val="宋体"/>
        <family val="3"/>
        <charset val="134"/>
      </rPr>
      <t>的干扰符合接受标准</t>
    </r>
    <phoneticPr fontId="4" type="noConversion"/>
  </si>
  <si>
    <r>
      <t>RESS25071</t>
    </r>
    <r>
      <rPr>
        <sz val="10.5"/>
        <rFont val="宋体"/>
        <family val="3"/>
        <charset val="134"/>
      </rPr>
      <t>对内标</t>
    </r>
    <r>
      <rPr>
        <sz val="10.5"/>
        <rFont val="Times New Roman"/>
        <family val="1"/>
      </rPr>
      <t>ISSS25071</t>
    </r>
    <r>
      <rPr>
        <sz val="10.5"/>
        <rFont val="宋体"/>
        <family val="3"/>
        <charset val="134"/>
      </rPr>
      <t>的干扰符合接受标准；内标</t>
    </r>
    <r>
      <rPr>
        <sz val="10.5"/>
        <rFont val="Times New Roman"/>
        <family val="1"/>
      </rPr>
      <t>ISSS25071</t>
    </r>
    <r>
      <rPr>
        <sz val="10.5"/>
        <rFont val="宋体"/>
        <family val="3"/>
        <charset val="134"/>
      </rPr>
      <t>对待测物</t>
    </r>
    <r>
      <rPr>
        <sz val="10.5"/>
        <rFont val="Times New Roman"/>
        <family val="1"/>
      </rPr>
      <t>RESS25071-AS</t>
    </r>
    <r>
      <rPr>
        <sz val="10.5"/>
        <rFont val="宋体"/>
        <family val="3"/>
        <charset val="134"/>
      </rPr>
      <t>、</t>
    </r>
    <r>
      <rPr>
        <sz val="10.5"/>
        <rFont val="Times New Roman"/>
        <family val="1"/>
      </rPr>
      <t>RESS25071-SS</t>
    </r>
    <r>
      <rPr>
        <sz val="10.5"/>
        <rFont val="宋体"/>
        <family val="3"/>
        <charset val="134"/>
      </rPr>
      <t>的干扰符合接受标准</t>
    </r>
    <phoneticPr fontId="4" type="noConversion"/>
  </si>
  <si>
    <r>
      <rPr>
        <sz val="10.5"/>
        <rFont val="宋体"/>
        <family val="3"/>
        <charset val="134"/>
      </rPr>
      <t>注</t>
    </r>
    <r>
      <rPr>
        <sz val="10.5"/>
        <rFont val="Times New Roman"/>
        <family val="1"/>
      </rPr>
      <t>7</t>
    </r>
    <r>
      <rPr>
        <sz val="10.5"/>
        <rFont val="宋体"/>
        <family val="3"/>
        <charset val="134"/>
      </rPr>
      <t>：低浓度质控样品的长期稳定性样品的变异系数（</t>
    </r>
    <r>
      <rPr>
        <sz val="10.5"/>
        <rFont val="Times New Roman"/>
        <family val="3"/>
      </rPr>
      <t>CV</t>
    </r>
    <r>
      <rPr>
        <sz val="10.5"/>
        <rFont val="宋体"/>
        <family val="3"/>
        <charset val="134"/>
      </rPr>
      <t>）大于</t>
    </r>
    <r>
      <rPr>
        <sz val="10.5"/>
        <rFont val="Times New Roman"/>
        <family val="3"/>
      </rPr>
      <t>15.0%</t>
    </r>
    <r>
      <rPr>
        <sz val="10.5"/>
        <rFont val="宋体"/>
        <family val="3"/>
        <charset val="134"/>
      </rPr>
      <t>，稀释质控样品在考察时未随行</t>
    </r>
    <r>
      <rPr>
        <sz val="10.5"/>
        <rFont val="Times New Roman"/>
        <family val="3"/>
      </rPr>
      <t>DQC</t>
    </r>
    <r>
      <rPr>
        <sz val="10.5"/>
        <rFont val="宋体"/>
        <family val="3"/>
        <charset val="134"/>
      </rPr>
      <t>，于分析批10重新考察。</t>
    </r>
    <phoneticPr fontId="4" type="noConversion"/>
  </si>
  <si>
    <r>
      <t>6</t>
    </r>
    <r>
      <rPr>
        <vertAlign val="superscript"/>
        <sz val="10.5"/>
        <rFont val="Times New Roman"/>
        <family val="1"/>
      </rPr>
      <t>&amp;</t>
    </r>
    <phoneticPr fontId="4" type="noConversion"/>
  </si>
  <si>
    <r>
      <rPr>
        <sz val="10.5"/>
        <rFont val="宋体"/>
        <family val="3"/>
        <charset val="134"/>
      </rPr>
      <t>试验条件：</t>
    </r>
    <r>
      <rPr>
        <sz val="10.5"/>
        <rFont val="Times New Roman"/>
        <family val="1"/>
      </rPr>
      <t>-70~-90°C</t>
    </r>
    <r>
      <rPr>
        <sz val="10.5"/>
        <rFont val="宋体"/>
        <family val="3"/>
        <charset val="134"/>
      </rPr>
      <t>条件下</t>
    </r>
    <r>
      <rPr>
        <sz val="10.5"/>
        <rFont val="Times New Roman"/>
        <family val="1"/>
      </rPr>
      <t>106</t>
    </r>
    <r>
      <rPr>
        <sz val="10.5"/>
        <rFont val="宋体"/>
        <family val="3"/>
        <charset val="134"/>
      </rPr>
      <t>天</t>
    </r>
    <phoneticPr fontId="4" type="noConversion"/>
  </si>
  <si>
    <r>
      <rPr>
        <sz val="10.5"/>
        <rFont val="宋体"/>
        <family val="3"/>
        <charset val="134"/>
      </rPr>
      <t>数据采集</t>
    </r>
    <r>
      <rPr>
        <sz val="10.5"/>
        <rFont val="Times New Roman"/>
        <family val="1"/>
      </rPr>
      <t>/</t>
    </r>
    <r>
      <rPr>
        <sz val="10.5"/>
        <rFont val="宋体"/>
        <family val="3"/>
        <charset val="134"/>
      </rPr>
      <t>管理软件</t>
    </r>
    <phoneticPr fontId="4" type="noConversion"/>
  </si>
  <si>
    <r>
      <t>Sciex Analyst</t>
    </r>
    <r>
      <rPr>
        <sz val="10.5"/>
        <rFont val="宋体"/>
        <family val="3"/>
        <charset val="134"/>
      </rPr>
      <t>（版本</t>
    </r>
    <r>
      <rPr>
        <sz val="10.5"/>
        <rFont val="Times New Roman"/>
        <family val="1"/>
      </rPr>
      <t>1.6.3</t>
    </r>
    <r>
      <rPr>
        <sz val="10.5"/>
        <rFont val="宋体"/>
        <family val="3"/>
        <charset val="134"/>
      </rPr>
      <t>），</t>
    </r>
    <r>
      <rPr>
        <sz val="10.5"/>
        <rFont val="Times New Roman"/>
        <family val="1"/>
      </rPr>
      <t>Watson LIMS</t>
    </r>
    <r>
      <rPr>
        <sz val="10.5"/>
        <rFont val="宋体"/>
        <family val="3"/>
        <charset val="134"/>
      </rPr>
      <t>（版本</t>
    </r>
    <r>
      <rPr>
        <sz val="10.5"/>
        <rFont val="Times New Roman"/>
        <family val="1"/>
      </rPr>
      <t>7.4.2</t>
    </r>
    <r>
      <rPr>
        <sz val="10.5"/>
        <rFont val="宋体"/>
        <family val="3"/>
        <charset val="134"/>
      </rPr>
      <t>）</t>
    </r>
    <phoneticPr fontId="4" type="noConversion"/>
  </si>
  <si>
    <r>
      <rPr>
        <sz val="10.5"/>
        <rFont val="宋体"/>
        <family val="3"/>
        <charset val="134"/>
      </rPr>
      <t>电喷雾离子化负离子模式</t>
    </r>
    <phoneticPr fontId="4" type="noConversion"/>
  </si>
  <si>
    <r>
      <rPr>
        <sz val="10.5"/>
        <rFont val="宋体"/>
        <family val="3"/>
        <charset val="134"/>
      </rPr>
      <t>型号：</t>
    </r>
    <r>
      <rPr>
        <sz val="10.5"/>
        <rFont val="Times New Roman"/>
        <family val="1"/>
      </rPr>
      <t>Thermo Scientific DNA Pac</t>
    </r>
    <r>
      <rPr>
        <vertAlign val="superscript"/>
        <sz val="10.5"/>
        <rFont val="Times New Roman"/>
        <family val="1"/>
      </rPr>
      <t>TM</t>
    </r>
    <r>
      <rPr>
        <sz val="10.5"/>
        <rFont val="Times New Roman"/>
        <family val="1"/>
      </rPr>
      <t>RP(2.1×50 mm, 4 μm)</t>
    </r>
    <phoneticPr fontId="4" type="noConversion"/>
  </si>
  <si>
    <r>
      <rPr>
        <sz val="10.5"/>
        <rFont val="宋体"/>
        <family val="3"/>
        <charset val="134"/>
      </rPr>
      <t>序列号：</t>
    </r>
    <r>
      <rPr>
        <sz val="10.5"/>
        <rFont val="Times New Roman"/>
        <family val="1"/>
      </rPr>
      <t>004373</t>
    </r>
    <r>
      <rPr>
        <sz val="10.5"/>
        <rFont val="宋体"/>
        <family val="1"/>
        <charset val="134"/>
      </rPr>
      <t>，</t>
    </r>
    <r>
      <rPr>
        <sz val="10.5"/>
        <rFont val="Times New Roman"/>
        <family val="1"/>
      </rPr>
      <t>005588</t>
    </r>
    <phoneticPr fontId="4" type="noConversion"/>
  </si>
  <si>
    <r>
      <rPr>
        <sz val="10.5"/>
        <rFont val="宋体"/>
        <family val="3"/>
        <charset val="134"/>
      </rPr>
      <t>流动相</t>
    </r>
    <r>
      <rPr>
        <sz val="10.5"/>
        <rFont val="Times New Roman"/>
        <family val="1"/>
      </rPr>
      <t>A</t>
    </r>
    <r>
      <rPr>
        <sz val="10.5"/>
        <rFont val="宋体"/>
        <family val="3"/>
        <charset val="134"/>
      </rPr>
      <t>：</t>
    </r>
    <r>
      <rPr>
        <sz val="10.5"/>
        <rFont val="Times New Roman"/>
        <family val="1"/>
      </rPr>
      <t>H</t>
    </r>
    <r>
      <rPr>
        <vertAlign val="subscript"/>
        <sz val="10.5"/>
        <rFont val="Times New Roman"/>
        <family val="1"/>
      </rPr>
      <t>2</t>
    </r>
    <r>
      <rPr>
        <sz val="10.5"/>
        <rFont val="Times New Roman"/>
        <family val="1"/>
      </rPr>
      <t>O: MeOH =95: 5</t>
    </r>
    <r>
      <rPr>
        <sz val="10.5"/>
        <rFont val="宋体"/>
        <family val="1"/>
        <charset val="134"/>
      </rPr>
      <t>，</t>
    </r>
    <r>
      <rPr>
        <sz val="10.5"/>
        <rFont val="Times New Roman"/>
        <family val="1"/>
      </rPr>
      <t>v/v</t>
    </r>
    <r>
      <rPr>
        <sz val="10.5"/>
        <rFont val="宋体"/>
        <family val="1"/>
        <charset val="134"/>
      </rPr>
      <t>，含</t>
    </r>
    <r>
      <rPr>
        <sz val="10.5"/>
        <rFont val="Times New Roman"/>
        <family val="1"/>
      </rPr>
      <t>0.4% DIEA</t>
    </r>
    <r>
      <rPr>
        <sz val="10.5"/>
        <rFont val="宋体"/>
        <family val="1"/>
        <charset val="134"/>
      </rPr>
      <t>，</t>
    </r>
    <r>
      <rPr>
        <sz val="10.5"/>
        <rFont val="Times New Roman"/>
        <family val="1"/>
      </rPr>
      <t>1% HFIP</t>
    </r>
    <r>
      <rPr>
        <sz val="10.5"/>
        <rFont val="宋体"/>
        <family val="1"/>
        <charset val="134"/>
      </rPr>
      <t>和</t>
    </r>
    <r>
      <rPr>
        <sz val="10.5"/>
        <rFont val="Times New Roman"/>
        <family val="1"/>
      </rPr>
      <t>15 μM EDTA</t>
    </r>
    <phoneticPr fontId="4" type="noConversion"/>
  </si>
  <si>
    <r>
      <rPr>
        <sz val="10.5"/>
        <rFont val="宋体"/>
        <family val="3"/>
        <charset val="134"/>
      </rPr>
      <t>用苯酚</t>
    </r>
    <r>
      <rPr>
        <sz val="10.5"/>
        <rFont val="Times New Roman"/>
        <family val="1"/>
      </rPr>
      <t>:</t>
    </r>
    <r>
      <rPr>
        <sz val="10.5"/>
        <rFont val="宋体"/>
        <family val="3"/>
        <charset val="134"/>
      </rPr>
      <t>二氯甲烷</t>
    </r>
    <r>
      <rPr>
        <sz val="10.5"/>
        <rFont val="Times New Roman"/>
        <family val="1"/>
      </rPr>
      <t>=1: 1,w/v</t>
    </r>
    <r>
      <rPr>
        <sz val="10.5"/>
        <rFont val="宋体"/>
        <family val="3"/>
        <charset val="134"/>
      </rPr>
      <t>进行液液萃取</t>
    </r>
    <phoneticPr fontId="4" type="noConversion"/>
  </si>
  <si>
    <r>
      <t>RESS25071-AS</t>
    </r>
    <r>
      <rPr>
        <sz val="10.5"/>
        <rFont val="DengXian"/>
      </rPr>
      <t>：待测物保留时间</t>
    </r>
    <r>
      <rPr>
        <sz val="10.5"/>
        <rFont val="Times New Roman"/>
        <family val="1"/>
      </rPr>
      <t>CV</t>
    </r>
    <r>
      <rPr>
        <sz val="10.5"/>
        <rFont val="DengXian"/>
      </rPr>
      <t>≤</t>
    </r>
    <r>
      <rPr>
        <sz val="10.5"/>
        <rFont val="Times New Roman"/>
        <family val="1"/>
      </rPr>
      <t xml:space="preserve"> 0.8%</t>
    </r>
    <r>
      <rPr>
        <sz val="10.5"/>
        <rFont val="DengXian"/>
      </rPr>
      <t>；内标保留时间</t>
    </r>
    <r>
      <rPr>
        <sz val="10.5"/>
        <rFont val="Times New Roman"/>
        <family val="1"/>
      </rPr>
      <t>CV</t>
    </r>
    <r>
      <rPr>
        <sz val="10.5"/>
        <rFont val="DengXian"/>
      </rPr>
      <t>≤</t>
    </r>
    <r>
      <rPr>
        <sz val="10.5"/>
        <rFont val="Times New Roman"/>
        <family val="1"/>
      </rPr>
      <t xml:space="preserve"> 0.4%</t>
    </r>
    <r>
      <rPr>
        <sz val="10.5"/>
        <rFont val="DengXian"/>
      </rPr>
      <t>；面积比</t>
    </r>
    <r>
      <rPr>
        <sz val="10.5"/>
        <rFont val="Times New Roman"/>
        <family val="1"/>
      </rPr>
      <t>CV</t>
    </r>
    <r>
      <rPr>
        <sz val="10.5"/>
        <rFont val="DengXian"/>
      </rPr>
      <t>≤</t>
    </r>
    <r>
      <rPr>
        <sz val="10.5"/>
        <rFont val="Times New Roman"/>
        <family val="1"/>
      </rPr>
      <t xml:space="preserve"> 12.5%</t>
    </r>
    <r>
      <rPr>
        <sz val="10.5"/>
        <rFont val="DengXian"/>
      </rPr>
      <t xml:space="preserve">；
</t>
    </r>
    <r>
      <rPr>
        <sz val="10.5"/>
        <rFont val="Times New Roman"/>
        <family val="1"/>
      </rPr>
      <t>RESS25071-SS</t>
    </r>
    <r>
      <rPr>
        <sz val="10.5"/>
        <rFont val="DengXian"/>
      </rPr>
      <t>：待测物保留时间</t>
    </r>
    <r>
      <rPr>
        <sz val="10.5"/>
        <rFont val="Times New Roman"/>
        <family val="1"/>
      </rPr>
      <t>CV</t>
    </r>
    <r>
      <rPr>
        <sz val="10.5"/>
        <rFont val="DengXian"/>
      </rPr>
      <t>≤</t>
    </r>
    <r>
      <rPr>
        <sz val="10.5"/>
        <rFont val="Times New Roman"/>
        <family val="1"/>
      </rPr>
      <t xml:space="preserve"> 0.3%</t>
    </r>
    <r>
      <rPr>
        <sz val="10.5"/>
        <rFont val="DengXian"/>
      </rPr>
      <t>；内标保留时间</t>
    </r>
    <r>
      <rPr>
        <sz val="10.5"/>
        <rFont val="Times New Roman"/>
        <family val="1"/>
      </rPr>
      <t>CV</t>
    </r>
    <r>
      <rPr>
        <sz val="10.5"/>
        <rFont val="DengXian"/>
      </rPr>
      <t>≤</t>
    </r>
    <r>
      <rPr>
        <sz val="10.5"/>
        <rFont val="Times New Roman"/>
        <family val="1"/>
      </rPr>
      <t xml:space="preserve"> 0.4%</t>
    </r>
    <r>
      <rPr>
        <sz val="10.5"/>
        <rFont val="DengXian"/>
      </rPr>
      <t>；面积比</t>
    </r>
    <r>
      <rPr>
        <sz val="10.5"/>
        <rFont val="Times New Roman"/>
        <family val="1"/>
      </rPr>
      <t>CV</t>
    </r>
    <r>
      <rPr>
        <sz val="10.5"/>
        <rFont val="DengXian"/>
      </rPr>
      <t>≤</t>
    </r>
    <r>
      <rPr>
        <sz val="10.5"/>
        <rFont val="Times New Roman"/>
        <family val="1"/>
      </rPr>
      <t xml:space="preserve"> 10.8%</t>
    </r>
    <r>
      <rPr>
        <sz val="10.5"/>
        <rFont val="DengXian"/>
      </rPr>
      <t>；</t>
    </r>
    <phoneticPr fontId="4" type="noConversion"/>
  </si>
  <si>
    <r>
      <t>RESS25071-AS</t>
    </r>
    <r>
      <rPr>
        <sz val="10.5"/>
        <rFont val="DengXian"/>
      </rPr>
      <t>：待测物残留≤</t>
    </r>
    <r>
      <rPr>
        <sz val="10.5"/>
        <rFont val="Times New Roman"/>
        <family val="1"/>
      </rPr>
      <t xml:space="preserve"> 66.3%</t>
    </r>
    <r>
      <rPr>
        <sz val="10.5"/>
        <rFont val="DengXian"/>
      </rPr>
      <t>；</t>
    </r>
    <r>
      <rPr>
        <sz val="10.5"/>
        <rFont val="Times New Roman"/>
        <family val="1"/>
      </rPr>
      <t>RESS25071-SS</t>
    </r>
    <r>
      <rPr>
        <sz val="10.5"/>
        <rFont val="DengXian"/>
      </rPr>
      <t>：待测物残留≤</t>
    </r>
    <r>
      <rPr>
        <sz val="10.5"/>
        <rFont val="Times New Roman"/>
        <family val="1"/>
      </rPr>
      <t>24.9%</t>
    </r>
    <phoneticPr fontId="4" type="noConversion"/>
  </si>
  <si>
    <r>
      <rPr>
        <sz val="10.5"/>
        <rFont val="DengXian"/>
      </rPr>
      <t>内标残留≤</t>
    </r>
    <r>
      <rPr>
        <sz val="10.5"/>
        <rFont val="Times New Roman"/>
        <family val="1"/>
      </rPr>
      <t xml:space="preserve"> 0.1%</t>
    </r>
    <phoneticPr fontId="4" type="noConversion"/>
  </si>
  <si>
    <r>
      <rPr>
        <sz val="10.5"/>
        <rFont val="宋体"/>
        <family val="3"/>
        <charset val="134"/>
      </rPr>
      <t>基质效应符合接受标准</t>
    </r>
    <phoneticPr fontId="4" type="noConversion"/>
  </si>
  <si>
    <r>
      <rPr>
        <sz val="10.5"/>
        <rFont val="宋体"/>
        <family val="3"/>
        <charset val="134"/>
      </rPr>
      <t>准确度和精密度</t>
    </r>
    <phoneticPr fontId="4" type="noConversion"/>
  </si>
  <si>
    <r>
      <t>RESS25071-AS</t>
    </r>
    <r>
      <rPr>
        <sz val="10.5"/>
        <rFont val="宋体"/>
        <family val="3"/>
        <charset val="134"/>
      </rPr>
      <t>：室温白光下至少稳定</t>
    </r>
    <r>
      <rPr>
        <sz val="10.5"/>
        <rFont val="Times New Roman"/>
        <family val="1"/>
      </rPr>
      <t>17</t>
    </r>
    <r>
      <rPr>
        <sz val="10.5"/>
        <rFont val="宋体"/>
        <family val="3"/>
        <charset val="134"/>
      </rPr>
      <t>小时</t>
    </r>
    <r>
      <rPr>
        <sz val="10.5"/>
        <rFont val="Times New Roman"/>
        <family val="1"/>
      </rPr>
      <t xml:space="preserve"> </t>
    </r>
    <r>
      <rPr>
        <sz val="10.5"/>
        <rFont val="宋体"/>
        <family val="3"/>
        <charset val="134"/>
      </rPr>
      <t xml:space="preserve">；
</t>
    </r>
    <r>
      <rPr>
        <sz val="10.5"/>
        <rFont val="Times New Roman"/>
        <family val="1"/>
      </rPr>
      <t>RESS25071-SS</t>
    </r>
    <r>
      <rPr>
        <sz val="10.5"/>
        <rFont val="宋体"/>
        <family val="3"/>
        <charset val="134"/>
      </rPr>
      <t>：室温白光下至少稳定</t>
    </r>
    <r>
      <rPr>
        <sz val="10.5"/>
        <rFont val="Times New Roman"/>
        <family val="1"/>
      </rPr>
      <t>17</t>
    </r>
    <r>
      <rPr>
        <sz val="10.5"/>
        <rFont val="宋体"/>
        <family val="3"/>
        <charset val="134"/>
      </rPr>
      <t>小时</t>
    </r>
    <phoneticPr fontId="4" type="noConversion"/>
  </si>
  <si>
    <r>
      <t>RESS25071-AS</t>
    </r>
    <r>
      <rPr>
        <sz val="10.5"/>
        <rFont val="宋体"/>
        <family val="3"/>
        <charset val="134"/>
      </rPr>
      <t>：至少</t>
    </r>
    <r>
      <rPr>
        <sz val="10.5"/>
        <rFont val="Times New Roman"/>
        <family val="1"/>
      </rPr>
      <t>5</t>
    </r>
    <r>
      <rPr>
        <sz val="10.5"/>
        <rFont val="宋体"/>
        <family val="3"/>
        <charset val="134"/>
      </rPr>
      <t>次</t>
    </r>
    <r>
      <rPr>
        <sz val="10.5"/>
        <rFont val="Times New Roman"/>
        <family val="1"/>
      </rPr>
      <t>-70~-90°C/</t>
    </r>
    <r>
      <rPr>
        <sz val="10.5"/>
        <rFont val="宋体"/>
        <family val="3"/>
        <charset val="134"/>
      </rPr>
      <t>室温白光下冻融循环稳定；</t>
    </r>
    <r>
      <rPr>
        <sz val="10.5"/>
        <rFont val="Times New Roman"/>
        <family val="1"/>
      </rPr>
      <t xml:space="preserve">
RESS25071-SS</t>
    </r>
    <r>
      <rPr>
        <sz val="10.5"/>
        <rFont val="宋体"/>
        <family val="3"/>
        <charset val="134"/>
      </rPr>
      <t>：至少</t>
    </r>
    <r>
      <rPr>
        <sz val="10.5"/>
        <rFont val="Times New Roman"/>
        <family val="1"/>
      </rPr>
      <t>5</t>
    </r>
    <r>
      <rPr>
        <sz val="10.5"/>
        <rFont val="宋体"/>
        <family val="3"/>
        <charset val="134"/>
      </rPr>
      <t>次</t>
    </r>
    <r>
      <rPr>
        <sz val="10.5"/>
        <rFont val="Times New Roman"/>
        <family val="1"/>
      </rPr>
      <t>-70~-90°C/</t>
    </r>
    <r>
      <rPr>
        <sz val="10.5"/>
        <rFont val="宋体"/>
        <family val="3"/>
        <charset val="134"/>
      </rPr>
      <t>室温白光下冻融循环稳定</t>
    </r>
    <phoneticPr fontId="4" type="noConversion"/>
  </si>
  <si>
    <r>
      <t>RESS25071-AS</t>
    </r>
    <r>
      <rPr>
        <sz val="10.5"/>
        <rFont val="宋体"/>
        <family val="3"/>
        <charset val="134"/>
      </rPr>
      <t>：在自动进样器（</t>
    </r>
    <r>
      <rPr>
        <sz val="10.5"/>
        <rFont val="Times New Roman"/>
        <family val="1"/>
      </rPr>
      <t>5°C</t>
    </r>
    <r>
      <rPr>
        <sz val="10.5"/>
        <rFont val="宋体"/>
        <family val="3"/>
        <charset val="134"/>
      </rPr>
      <t>）条件下可稳定保存至少</t>
    </r>
    <r>
      <rPr>
        <sz val="10.5"/>
        <rFont val="Times New Roman"/>
        <family val="1"/>
      </rPr>
      <t>151</t>
    </r>
    <r>
      <rPr>
        <sz val="10.5"/>
        <rFont val="宋体"/>
        <family val="3"/>
        <charset val="134"/>
      </rPr>
      <t>小时</t>
    </r>
    <r>
      <rPr>
        <sz val="10.5"/>
        <rFont val="Times New Roman"/>
        <family val="1"/>
      </rPr>
      <t xml:space="preserve">
RESS25071-SS</t>
    </r>
    <r>
      <rPr>
        <sz val="10.5"/>
        <rFont val="宋体"/>
        <family val="3"/>
        <charset val="134"/>
      </rPr>
      <t>：在自动进样器（</t>
    </r>
    <r>
      <rPr>
        <sz val="10.5"/>
        <rFont val="Times New Roman"/>
        <family val="1"/>
      </rPr>
      <t>5°C</t>
    </r>
    <r>
      <rPr>
        <sz val="10.5"/>
        <rFont val="宋体"/>
        <family val="3"/>
        <charset val="134"/>
      </rPr>
      <t>）条件下可稳定保存至少</t>
    </r>
    <r>
      <rPr>
        <sz val="10.5"/>
        <rFont val="Times New Roman"/>
        <family val="1"/>
      </rPr>
      <t>151</t>
    </r>
    <r>
      <rPr>
        <sz val="10.5"/>
        <rFont val="宋体"/>
        <family val="3"/>
        <charset val="134"/>
      </rPr>
      <t>小时</t>
    </r>
    <phoneticPr fontId="4" type="noConversion"/>
  </si>
  <si>
    <r>
      <t>RESS25071-AS</t>
    </r>
    <r>
      <rPr>
        <sz val="10.5"/>
        <rFont val="宋体"/>
        <family val="3"/>
        <charset val="134"/>
      </rPr>
      <t>：在</t>
    </r>
    <r>
      <rPr>
        <sz val="10.5"/>
        <rFont val="Times New Roman"/>
        <family val="1"/>
      </rPr>
      <t>-70°C~-90°C</t>
    </r>
    <r>
      <rPr>
        <sz val="10.5"/>
        <rFont val="宋体"/>
        <family val="3"/>
        <charset val="134"/>
      </rPr>
      <t>下稳定至少</t>
    </r>
    <r>
      <rPr>
        <sz val="10.5"/>
        <rFont val="Times New Roman"/>
        <family val="1"/>
      </rPr>
      <t>106</t>
    </r>
    <r>
      <rPr>
        <sz val="10.5"/>
        <rFont val="宋体"/>
        <family val="3"/>
        <charset val="134"/>
      </rPr>
      <t xml:space="preserve">天；
</t>
    </r>
    <r>
      <rPr>
        <sz val="10.5"/>
        <rFont val="Times New Roman"/>
        <family val="1"/>
      </rPr>
      <t>RESS25071-SS</t>
    </r>
    <r>
      <rPr>
        <sz val="10.5"/>
        <rFont val="宋体"/>
        <family val="3"/>
        <charset val="134"/>
      </rPr>
      <t>：在</t>
    </r>
    <r>
      <rPr>
        <sz val="10.5"/>
        <rFont val="Times New Roman"/>
        <family val="1"/>
      </rPr>
      <t>-70°C~-90°C</t>
    </r>
    <r>
      <rPr>
        <sz val="10.5"/>
        <rFont val="宋体"/>
        <family val="3"/>
        <charset val="134"/>
      </rPr>
      <t>下稳定至少</t>
    </r>
    <r>
      <rPr>
        <sz val="10.5"/>
        <rFont val="Times New Roman"/>
        <family val="1"/>
      </rPr>
      <t>106</t>
    </r>
    <r>
      <rPr>
        <sz val="10.5"/>
        <rFont val="宋体"/>
        <family val="3"/>
        <charset val="134"/>
      </rPr>
      <t>天</t>
    </r>
    <phoneticPr fontId="4" type="noConversion"/>
  </si>
  <si>
    <r>
      <t>RESS25071-AS</t>
    </r>
    <r>
      <rPr>
        <sz val="10.5"/>
        <rFont val="宋体"/>
        <family val="3"/>
        <charset val="134"/>
      </rPr>
      <t>：全血样品在白光室温下放置至少稳定</t>
    </r>
    <r>
      <rPr>
        <sz val="10.5"/>
        <rFont val="Times New Roman"/>
        <family val="1"/>
      </rPr>
      <t>2</t>
    </r>
    <r>
      <rPr>
        <sz val="10.5"/>
        <rFont val="宋体"/>
        <family val="3"/>
        <charset val="134"/>
      </rPr>
      <t>小时</t>
    </r>
    <r>
      <rPr>
        <sz val="10.5"/>
        <rFont val="Times New Roman"/>
        <family val="1"/>
      </rPr>
      <t xml:space="preserve">
RESS25071-SS</t>
    </r>
    <r>
      <rPr>
        <sz val="10.5"/>
        <rFont val="宋体"/>
        <family val="3"/>
        <charset val="134"/>
      </rPr>
      <t>：全血样品在白光室温下放置至少稳定</t>
    </r>
    <r>
      <rPr>
        <sz val="10.5"/>
        <rFont val="Times New Roman"/>
        <family val="1"/>
      </rPr>
      <t>2</t>
    </r>
    <r>
      <rPr>
        <sz val="10.5"/>
        <rFont val="宋体"/>
        <family val="3"/>
        <charset val="134"/>
      </rPr>
      <t>小时</t>
    </r>
    <phoneticPr fontId="4" type="noConversion"/>
  </si>
  <si>
    <r>
      <t>2%</t>
    </r>
    <r>
      <rPr>
        <sz val="10.5"/>
        <rFont val="宋体"/>
        <family val="3"/>
        <charset val="134"/>
      </rPr>
      <t>溶血符合接受标准</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</si>
</sst>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0.0"/>
    <numFmt numFmtId="177" formatCode="0.0_ "/>
    <numFmt numFmtId="178" formatCode="0.000"/>
    <numFmt numFmtId="179" formatCode="yyyy/mm/dd"/>
    <numFmt numFmtId="180" formatCode="0.0000"/>
    <numFmt numFmtId="181" formatCode="0;_愀"/>
    <numFmt numFmtId="182" formatCode="0.000_ "/>
    <numFmt numFmtId="183" formatCode="0.000000_ "/>
    <numFmt numFmtId="184" formatCode="yyyy/mm/dd\ hh:mm"/>
    <numFmt numFmtId="185" formatCode="0.00;[Red]0.00"/>
    <numFmt numFmtId="186" formatCode="\'\-0"/>
    <numFmt numFmtId="187" formatCode="0.0%"/>
    <numFmt numFmtId="188" formatCode="0.00000000"/>
    <numFmt numFmtId="189" formatCode="0.0000000"/>
    <numFmt numFmtId="190" formatCode="0.000000000"/>
    <numFmt numFmtId="191" formatCode="0_ "/>
    <numFmt numFmtId="192" formatCode="0.00_ "/>
  </numFmts>
  <fonts count="65">
    <font>
      <sz val="11"/>
      <color theme="1"/>
      <name val="DengXian"/>
      <family val="2"/>
      <scheme val="minor"/>
    </font>
    <font>
      <sz val="11"/>
      <color theme="1"/>
      <name val="DengXian"/>
      <family val="2"/>
      <charset val="134"/>
      <scheme val="minor"/>
    </font>
    <font>
      <sz val="11"/>
      <color indexed="8"/>
      <name val="Calibri"/>
      <family val="2"/>
    </font>
    <font>
      <sz val="10"/>
      <name val="Arial"/>
      <family val="2"/>
    </font>
    <font>
      <sz val="9"/>
      <name val="DengXian"/>
      <family val="2"/>
    </font>
    <font>
      <sz val="11"/>
      <name val="宋体"/>
      <family val="3"/>
      <charset val="134"/>
    </font>
    <font>
      <sz val="10.5"/>
      <name val="宋体"/>
      <family val="3"/>
      <charset val="134"/>
    </font>
    <font>
      <sz val="10"/>
      <name val="Times New Roman"/>
      <family val="1"/>
    </font>
    <font>
      <sz val="11"/>
      <color rgb="FF9C0006"/>
      <name val="Calibri"/>
      <family val="2"/>
    </font>
    <font>
      <sz val="12"/>
      <color rgb="FF9C0006"/>
      <name val="DengXian"/>
      <family val="2"/>
      <scheme val="minor"/>
    </font>
    <font>
      <sz val="10.5"/>
      <color theme="1"/>
      <name val="宋体"/>
      <family val="3"/>
      <charset val="134"/>
    </font>
    <font>
      <sz val="10.5"/>
      <color theme="1"/>
      <name val="Times New Roman"/>
      <family val="1"/>
    </font>
    <font>
      <sz val="11"/>
      <color theme="1"/>
      <name val="Times New Roman"/>
      <family val="1"/>
    </font>
    <font>
      <sz val="10"/>
      <color rgb="FFFF0000"/>
      <name val="Times New Roman"/>
      <family val="1"/>
    </font>
    <font>
      <sz val="10.5"/>
      <color rgb="FFFF0000"/>
      <name val="Times New Roman"/>
      <family val="1"/>
    </font>
    <font>
      <sz val="10.5"/>
      <name val="Times New Roman"/>
      <family val="1"/>
    </font>
    <font>
      <vertAlign val="subscript"/>
      <sz val="10.5"/>
      <name val="Times New Roman"/>
      <family val="1"/>
    </font>
    <font>
      <sz val="12"/>
      <name val="宋体"/>
      <family val="3"/>
      <charset val="134"/>
    </font>
    <font>
      <sz val="11"/>
      <name val="Times New Roman"/>
      <family val="1"/>
    </font>
    <font>
      <sz val="10.5"/>
      <color indexed="8"/>
      <name val="Times New Roman"/>
      <family val="1"/>
    </font>
    <font>
      <sz val="9"/>
      <name val="DengXian"/>
      <family val="3"/>
      <charset val="134"/>
      <scheme val="minor"/>
    </font>
    <font>
      <sz val="10.5"/>
      <color theme="1"/>
      <name val="DengXian"/>
      <family val="2"/>
    </font>
    <font>
      <sz val="10.5"/>
      <color rgb="FF0070C0"/>
      <name val="Times New Roman"/>
      <family val="1"/>
    </font>
    <font>
      <sz val="11"/>
      <color theme="1"/>
      <name val="DengXian"/>
      <family val="2"/>
    </font>
    <font>
      <sz val="11"/>
      <color theme="1"/>
      <name val="DengXian"/>
      <family val="2"/>
      <scheme val="minor"/>
    </font>
    <font>
      <sz val="11"/>
      <color theme="0"/>
      <name val="DengXian"/>
      <family val="2"/>
      <scheme val="minor"/>
    </font>
    <font>
      <sz val="12"/>
      <color rgb="FF9C0006"/>
      <name val="DengXian"/>
      <family val="2"/>
      <scheme val="minor"/>
    </font>
    <font>
      <sz val="11"/>
      <color rgb="FF006100"/>
      <name val="DengXian"/>
      <family val="2"/>
      <scheme val="minor"/>
    </font>
    <font>
      <sz val="11"/>
      <color theme="1"/>
      <name val="DengXian"/>
      <family val="2"/>
      <scheme val="minor"/>
    </font>
    <font>
      <sz val="11"/>
      <color theme="0"/>
      <name val="DengXian"/>
      <family val="2"/>
      <scheme val="minor"/>
    </font>
    <font>
      <sz val="11"/>
      <color rgb="FF9C0006"/>
      <name val="DengXian"/>
      <family val="2"/>
      <scheme val="minor"/>
    </font>
    <font>
      <b/>
      <sz val="11"/>
      <color rgb="FFFA7D00"/>
      <name val="DengXian"/>
      <family val="2"/>
      <scheme val="minor"/>
    </font>
    <font>
      <b/>
      <sz val="11"/>
      <color theme="0"/>
      <name val="DengXian"/>
      <family val="2"/>
      <scheme val="minor"/>
    </font>
    <font>
      <i/>
      <sz val="11"/>
      <color rgb="FF7F7F7F"/>
      <name val="DengXian"/>
      <family val="2"/>
      <scheme val="minor"/>
    </font>
    <font>
      <sz val="11"/>
      <color rgb="FF006100"/>
      <name val="DengXian"/>
      <family val="2"/>
      <scheme val="minor"/>
    </font>
    <font>
      <b/>
      <sz val="15"/>
      <color theme="3"/>
      <name val="DengXian"/>
      <family val="2"/>
      <scheme val="minor"/>
    </font>
    <font>
      <b/>
      <sz val="13"/>
      <color theme="3"/>
      <name val="DengXian"/>
      <family val="2"/>
      <scheme val="minor"/>
    </font>
    <font>
      <b/>
      <sz val="11"/>
      <color theme="3"/>
      <name val="DengXian"/>
      <family val="2"/>
      <scheme val="minor"/>
    </font>
    <font>
      <sz val="11"/>
      <color rgb="FF3F3F76"/>
      <name val="DengXian"/>
      <family val="2"/>
      <scheme val="minor"/>
    </font>
    <font>
      <sz val="11"/>
      <color rgb="FFFA7D00"/>
      <name val="DengXian"/>
      <family val="2"/>
      <scheme val="minor"/>
    </font>
    <font>
      <sz val="11"/>
      <color rgb="FF9C6500"/>
      <name val="DengXian"/>
      <family val="2"/>
      <scheme val="minor"/>
    </font>
    <font>
      <b/>
      <sz val="11"/>
      <color rgb="FF3F3F3F"/>
      <name val="DengXian"/>
      <family val="2"/>
      <scheme val="minor"/>
    </font>
    <font>
      <b/>
      <sz val="18"/>
      <color theme="3"/>
      <name val="DengXian Light"/>
      <family val="2"/>
      <scheme val="major"/>
    </font>
    <font>
      <b/>
      <sz val="11"/>
      <color theme="1"/>
      <name val="DengXian"/>
      <family val="2"/>
      <scheme val="minor"/>
    </font>
    <font>
      <sz val="11"/>
      <color rgb="FFFF0000"/>
      <name val="DengXian"/>
      <family val="2"/>
      <scheme val="minor"/>
    </font>
    <font>
      <sz val="10.5"/>
      <name val="Times New Roman"/>
      <family val="3"/>
      <charset val="134"/>
    </font>
    <font>
      <sz val="11"/>
      <color rgb="FF9C0006"/>
      <name val="DengXian"/>
      <family val="2"/>
      <scheme val="minor"/>
    </font>
    <font>
      <sz val="10.5"/>
      <color rgb="FF000000"/>
      <name val="Times New Roman"/>
      <family val="1"/>
    </font>
    <font>
      <sz val="10.5"/>
      <color rgb="FF000000"/>
      <name val="DengXian"/>
      <family val="2"/>
    </font>
    <font>
      <sz val="12"/>
      <color theme="1"/>
      <name val="宋体"/>
      <family val="3"/>
      <charset val="134"/>
    </font>
    <font>
      <sz val="12"/>
      <color theme="1"/>
      <name val="Times New Roman"/>
      <family val="1"/>
    </font>
    <font>
      <sz val="11"/>
      <color theme="1"/>
      <name val="宋体"/>
      <family val="3"/>
      <charset val="134"/>
    </font>
    <font>
      <sz val="10.5"/>
      <name val="Times New Roman"/>
      <family val="3"/>
    </font>
    <font>
      <u/>
      <sz val="11"/>
      <color theme="10"/>
      <name val="DengXian"/>
      <family val="2"/>
      <scheme val="minor"/>
    </font>
    <font>
      <sz val="12"/>
      <name val="Times New Roman"/>
      <family val="1"/>
    </font>
    <font>
      <vertAlign val="superscript"/>
      <sz val="10.5"/>
      <name val="Times New Roman"/>
      <family val="1"/>
    </font>
    <font>
      <sz val="10.5"/>
      <name val="宋体"/>
      <family val="1"/>
      <charset val="134"/>
    </font>
    <font>
      <sz val="10.5"/>
      <name val="DengXian"/>
      <family val="2"/>
    </font>
    <font>
      <sz val="10"/>
      <name val="宋体"/>
      <family val="3"/>
      <charset val="134"/>
    </font>
    <font>
      <sz val="10.5"/>
      <name val="Times New Roman"/>
      <family val="1"/>
      <charset val="134"/>
    </font>
    <font>
      <sz val="10.5"/>
      <color theme="1"/>
      <name val="宋体"/>
      <family val="1"/>
      <charset val="134"/>
    </font>
    <font>
      <vertAlign val="subscript"/>
      <sz val="10"/>
      <name val="Times New Roman"/>
      <family val="1"/>
    </font>
    <font>
      <sz val="10.5"/>
      <name val="Segoe UI Symbol"/>
      <family val="1"/>
    </font>
    <font>
      <sz val="10.5"/>
      <name val="微软雅黑"/>
      <family val="1"/>
      <charset val="134"/>
    </font>
    <font>
      <sz val="10.5"/>
      <name val="DengXian"/>
    </font>
  </fonts>
  <fills count="34">
    <fill>
      <patternFill patternType="none"/>
    </fill>
    <fill>
      <patternFill patternType="gray125"/>
    </fill>
    <fill>
      <patternFill patternType="solid">
        <fgColor rgb="FFFFC7CE"/>
      </patternFill>
    </fill>
    <fill>
      <patternFill patternType="solid">
        <fgColor theme="0" tint="-0.14999847407452621"/>
        <bgColor indexed="64"/>
      </patternFill>
    </fill>
    <fill>
      <patternFill patternType="solid">
        <fgColor rgb="FFC6EFCE"/>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diagonalUp="1">
      <left style="thin">
        <color indexed="64"/>
      </left>
      <right style="thin">
        <color indexed="64"/>
      </right>
      <top style="thin">
        <color indexed="64"/>
      </top>
      <bottom/>
      <diagonal style="thin">
        <color indexed="64"/>
      </diagonal>
    </border>
    <border diagonalUp="1">
      <left style="thin">
        <color indexed="64"/>
      </left>
      <right style="thin">
        <color indexed="64"/>
      </right>
      <top/>
      <bottom/>
      <diagonal style="thin">
        <color indexed="64"/>
      </diagonal>
    </border>
    <border diagonalUp="1">
      <left style="thin">
        <color indexed="64"/>
      </left>
      <right style="thin">
        <color indexed="64"/>
      </right>
      <top/>
      <bottom style="thin">
        <color indexed="64"/>
      </bottom>
      <diagonal style="thin">
        <color indexed="64"/>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12">
    <xf numFmtId="0" fontId="0" fillId="0" borderId="0"/>
    <xf numFmtId="0" fontId="8" fillId="2" borderId="0" applyNumberFormat="0" applyBorder="0" applyAlignment="0" applyProtection="0"/>
    <xf numFmtId="0" fontId="3" fillId="0" borderId="0"/>
    <xf numFmtId="0" fontId="2" fillId="0" borderId="0"/>
    <xf numFmtId="9" fontId="3" fillId="0" borderId="0" applyFont="0" applyFill="0" applyBorder="0" applyAlignment="0" applyProtection="0"/>
    <xf numFmtId="0" fontId="17" fillId="0" borderId="0"/>
    <xf numFmtId="0" fontId="3" fillId="0" borderId="0"/>
    <xf numFmtId="0" fontId="24" fillId="6" borderId="0" applyNumberFormat="0" applyBorder="0" applyAlignment="0" applyProtection="0">
      <alignment vertical="center"/>
    </xf>
    <xf numFmtId="0" fontId="24" fillId="10" borderId="0" applyNumberFormat="0" applyBorder="0" applyAlignment="0" applyProtection="0">
      <alignment vertical="center"/>
    </xf>
    <xf numFmtId="0" fontId="24" fillId="14" borderId="0" applyNumberFormat="0" applyBorder="0" applyAlignment="0" applyProtection="0">
      <alignment vertical="center"/>
    </xf>
    <xf numFmtId="0" fontId="24" fillId="18" borderId="0" applyNumberFormat="0" applyBorder="0" applyAlignment="0" applyProtection="0">
      <alignment vertical="center"/>
    </xf>
    <xf numFmtId="0" fontId="24" fillId="22" borderId="0" applyNumberFormat="0" applyBorder="0" applyAlignment="0" applyProtection="0">
      <alignment vertical="center"/>
    </xf>
    <xf numFmtId="0" fontId="24" fillId="26" borderId="0" applyNumberFormat="0" applyBorder="0" applyAlignment="0" applyProtection="0">
      <alignment vertical="center"/>
    </xf>
    <xf numFmtId="0" fontId="24" fillId="7" borderId="0" applyNumberFormat="0" applyBorder="0" applyAlignment="0" applyProtection="0">
      <alignment vertical="center"/>
    </xf>
    <xf numFmtId="0" fontId="24" fillId="11" borderId="0" applyNumberFormat="0" applyBorder="0" applyAlignment="0" applyProtection="0">
      <alignment vertical="center"/>
    </xf>
    <xf numFmtId="0" fontId="24" fillId="15" borderId="0" applyNumberFormat="0" applyBorder="0" applyAlignment="0" applyProtection="0">
      <alignment vertical="center"/>
    </xf>
    <xf numFmtId="0" fontId="24" fillId="19" borderId="0" applyNumberFormat="0" applyBorder="0" applyAlignment="0" applyProtection="0">
      <alignment vertical="center"/>
    </xf>
    <xf numFmtId="0" fontId="24" fillId="23" borderId="0" applyNumberFormat="0" applyBorder="0" applyAlignment="0" applyProtection="0">
      <alignment vertical="center"/>
    </xf>
    <xf numFmtId="0" fontId="24" fillId="27" borderId="0" applyNumberFormat="0" applyBorder="0" applyAlignment="0" applyProtection="0">
      <alignment vertical="center"/>
    </xf>
    <xf numFmtId="0" fontId="25" fillId="8" borderId="0" applyNumberFormat="0" applyBorder="0" applyAlignment="0" applyProtection="0">
      <alignment vertical="center"/>
    </xf>
    <xf numFmtId="0" fontId="25" fillId="12" borderId="0" applyNumberFormat="0" applyBorder="0" applyAlignment="0" applyProtection="0">
      <alignment vertical="center"/>
    </xf>
    <xf numFmtId="0" fontId="25" fillId="16" borderId="0" applyNumberFormat="0" applyBorder="0" applyAlignment="0" applyProtection="0">
      <alignment vertical="center"/>
    </xf>
    <xf numFmtId="0" fontId="25" fillId="20" borderId="0" applyNumberFormat="0" applyBorder="0" applyAlignment="0" applyProtection="0">
      <alignment vertical="center"/>
    </xf>
    <xf numFmtId="0" fontId="25" fillId="24" borderId="0" applyNumberFormat="0" applyBorder="0" applyAlignment="0" applyProtection="0">
      <alignment vertical="center"/>
    </xf>
    <xf numFmtId="0" fontId="25" fillId="28" borderId="0" applyNumberFormat="0" applyBorder="0" applyAlignment="0" applyProtection="0">
      <alignment vertical="center"/>
    </xf>
    <xf numFmtId="0" fontId="26" fillId="2" borderId="0" applyNumberFormat="0" applyBorder="0" applyAlignment="0" applyProtection="0"/>
    <xf numFmtId="0" fontId="24" fillId="0" borderId="0"/>
    <xf numFmtId="0" fontId="17" fillId="0" borderId="0"/>
    <xf numFmtId="0" fontId="27" fillId="4" borderId="0" applyNumberFormat="0" applyBorder="0" applyAlignment="0" applyProtection="0">
      <alignment vertical="center"/>
    </xf>
    <xf numFmtId="0" fontId="25" fillId="5" borderId="0" applyNumberFormat="0" applyBorder="0" applyAlignment="0" applyProtection="0">
      <alignment vertical="center"/>
    </xf>
    <xf numFmtId="0" fontId="25" fillId="9" borderId="0" applyNumberFormat="0" applyBorder="0" applyAlignment="0" applyProtection="0">
      <alignment vertical="center"/>
    </xf>
    <xf numFmtId="0" fontId="25" fillId="13" borderId="0" applyNumberFormat="0" applyBorder="0" applyAlignment="0" applyProtection="0">
      <alignment vertical="center"/>
    </xf>
    <xf numFmtId="0" fontId="25" fillId="17" borderId="0" applyNumberFormat="0" applyBorder="0" applyAlignment="0" applyProtection="0">
      <alignment vertical="center"/>
    </xf>
    <xf numFmtId="0" fontId="25" fillId="21" borderId="0" applyNumberFormat="0" applyBorder="0" applyAlignment="0" applyProtection="0">
      <alignment vertical="center"/>
    </xf>
    <xf numFmtId="0" fontId="25" fillId="25" borderId="0" applyNumberFormat="0" applyBorder="0" applyAlignment="0" applyProtection="0">
      <alignment vertical="center"/>
    </xf>
    <xf numFmtId="0" fontId="28" fillId="6" borderId="0" applyNumberFormat="0" applyBorder="0" applyAlignment="0" applyProtection="0"/>
    <xf numFmtId="0" fontId="28" fillId="10" borderId="0" applyNumberFormat="0" applyBorder="0" applyAlignment="0" applyProtection="0"/>
    <xf numFmtId="0" fontId="28" fillId="14" borderId="0" applyNumberFormat="0" applyBorder="0" applyAlignment="0" applyProtection="0"/>
    <xf numFmtId="0" fontId="28" fillId="18" borderId="0" applyNumberFormat="0" applyBorder="0" applyAlignment="0" applyProtection="0"/>
    <xf numFmtId="0" fontId="28" fillId="22" borderId="0" applyNumberFormat="0" applyBorder="0" applyAlignment="0" applyProtection="0"/>
    <xf numFmtId="0" fontId="28" fillId="26" borderId="0" applyNumberFormat="0" applyBorder="0" applyAlignment="0" applyProtection="0"/>
    <xf numFmtId="0" fontId="28" fillId="7" borderId="0" applyNumberFormat="0" applyBorder="0" applyAlignment="0" applyProtection="0"/>
    <xf numFmtId="0" fontId="28" fillId="11" borderId="0" applyNumberFormat="0" applyBorder="0" applyAlignment="0" applyProtection="0"/>
    <xf numFmtId="0" fontId="28" fillId="15" borderId="0" applyNumberFormat="0" applyBorder="0" applyAlignment="0" applyProtection="0"/>
    <xf numFmtId="0" fontId="28" fillId="19" borderId="0" applyNumberFormat="0" applyBorder="0" applyAlignment="0" applyProtection="0"/>
    <xf numFmtId="0" fontId="28" fillId="23" borderId="0" applyNumberFormat="0" applyBorder="0" applyAlignment="0" applyProtection="0"/>
    <xf numFmtId="0" fontId="28" fillId="27" borderId="0" applyNumberFormat="0" applyBorder="0" applyAlignment="0" applyProtection="0"/>
    <xf numFmtId="0" fontId="29" fillId="8"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20" borderId="0" applyNumberFormat="0" applyBorder="0" applyAlignment="0" applyProtection="0"/>
    <xf numFmtId="0" fontId="29" fillId="24" borderId="0" applyNumberFormat="0" applyBorder="0" applyAlignment="0" applyProtection="0"/>
    <xf numFmtId="0" fontId="29" fillId="28" borderId="0" applyNumberFormat="0" applyBorder="0" applyAlignment="0" applyProtection="0"/>
    <xf numFmtId="0" fontId="29" fillId="5" borderId="0" applyNumberFormat="0" applyBorder="0" applyAlignment="0" applyProtection="0"/>
    <xf numFmtId="0" fontId="29" fillId="9" borderId="0" applyNumberFormat="0" applyBorder="0" applyAlignment="0" applyProtection="0"/>
    <xf numFmtId="0" fontId="29" fillId="13" borderId="0" applyNumberFormat="0" applyBorder="0" applyAlignment="0" applyProtection="0"/>
    <xf numFmtId="0" fontId="29" fillId="17" borderId="0" applyNumberFormat="0" applyBorder="0" applyAlignment="0" applyProtection="0"/>
    <xf numFmtId="0" fontId="29" fillId="21" borderId="0" applyNumberFormat="0" applyBorder="0" applyAlignment="0" applyProtection="0"/>
    <xf numFmtId="0" fontId="29" fillId="25" borderId="0" applyNumberFormat="0" applyBorder="0" applyAlignment="0" applyProtection="0"/>
    <xf numFmtId="0" fontId="30" fillId="2" borderId="0" applyNumberFormat="0" applyBorder="0" applyAlignment="0" applyProtection="0"/>
    <xf numFmtId="0" fontId="31" fillId="31" borderId="23" applyNumberFormat="0" applyAlignment="0" applyProtection="0"/>
    <xf numFmtId="0" fontId="32" fillId="32" borderId="26" applyNumberFormat="0" applyAlignment="0" applyProtection="0"/>
    <xf numFmtId="0" fontId="33" fillId="0" borderId="0" applyNumberFormat="0" applyFill="0" applyBorder="0" applyAlignment="0" applyProtection="0"/>
    <xf numFmtId="0" fontId="34" fillId="4" borderId="0" applyNumberFormat="0" applyBorder="0" applyAlignment="0" applyProtection="0"/>
    <xf numFmtId="0" fontId="35" fillId="0" borderId="20" applyNumberFormat="0" applyFill="0" applyAlignment="0" applyProtection="0"/>
    <xf numFmtId="0" fontId="36" fillId="0" borderId="21" applyNumberFormat="0" applyFill="0" applyAlignment="0" applyProtection="0"/>
    <xf numFmtId="0" fontId="37" fillId="0" borderId="22" applyNumberFormat="0" applyFill="0" applyAlignment="0" applyProtection="0"/>
    <xf numFmtId="0" fontId="37" fillId="0" borderId="0" applyNumberFormat="0" applyFill="0" applyBorder="0" applyAlignment="0" applyProtection="0"/>
    <xf numFmtId="0" fontId="38" fillId="30" borderId="23" applyNumberFormat="0" applyAlignment="0" applyProtection="0"/>
    <xf numFmtId="0" fontId="39" fillId="0" borderId="25" applyNumberFormat="0" applyFill="0" applyAlignment="0" applyProtection="0"/>
    <xf numFmtId="0" fontId="40" fillId="29" borderId="0" applyNumberFormat="0" applyBorder="0" applyAlignment="0" applyProtection="0"/>
    <xf numFmtId="0" fontId="28" fillId="33" borderId="27" applyNumberFormat="0" applyFont="0" applyAlignment="0" applyProtection="0"/>
    <xf numFmtId="0" fontId="41" fillId="31" borderId="24" applyNumberFormat="0" applyAlignment="0" applyProtection="0"/>
    <xf numFmtId="0" fontId="42" fillId="0" borderId="0" applyNumberFormat="0" applyFill="0" applyBorder="0" applyAlignment="0" applyProtection="0"/>
    <xf numFmtId="0" fontId="43" fillId="0" borderId="28" applyNumberFormat="0" applyFill="0" applyAlignment="0" applyProtection="0"/>
    <xf numFmtId="0" fontId="44" fillId="0" borderId="0" applyNumberFormat="0" applyFill="0" applyBorder="0" applyAlignment="0" applyProtection="0"/>
    <xf numFmtId="0" fontId="46" fillId="2" borderId="0" applyNumberFormat="0" applyBorder="0" applyAlignment="0" applyProtection="0"/>
    <xf numFmtId="0" fontId="26" fillId="2" borderId="0" applyNumberFormat="0" applyBorder="0" applyAlignment="0" applyProtection="0"/>
    <xf numFmtId="0" fontId="27" fillId="4" borderId="0" applyNumberFormat="0" applyBorder="0" applyAlignment="0" applyProtection="0">
      <alignment vertical="center"/>
    </xf>
    <xf numFmtId="0" fontId="26" fillId="2" borderId="0" applyNumberFormat="0" applyBorder="0" applyAlignment="0" applyProtection="0"/>
    <xf numFmtId="9" fontId="24" fillId="0" borderId="0" applyFont="0" applyFill="0" applyBorder="0" applyAlignment="0" applyProtection="0">
      <alignment vertical="center"/>
    </xf>
    <xf numFmtId="0" fontId="53" fillId="0" borderId="0" applyNumberFormat="0" applyFill="0" applyBorder="0" applyAlignment="0" applyProtection="0"/>
    <xf numFmtId="0" fontId="1" fillId="0" borderId="0">
      <alignment vertical="center"/>
    </xf>
    <xf numFmtId="0" fontId="9" fillId="2" borderId="0" applyNumberFormat="0" applyBorder="0" applyAlignment="0" applyProtection="0"/>
    <xf numFmtId="0" fontId="24" fillId="6" borderId="0" applyNumberFormat="0" applyBorder="0" applyAlignment="0" applyProtection="0"/>
    <xf numFmtId="0" fontId="24" fillId="10" borderId="0" applyNumberFormat="0" applyBorder="0" applyAlignment="0" applyProtection="0"/>
    <xf numFmtId="0" fontId="24" fillId="14" borderId="0" applyNumberFormat="0" applyBorder="0" applyAlignment="0" applyProtection="0"/>
    <xf numFmtId="0" fontId="24" fillId="18" borderId="0" applyNumberFormat="0" applyBorder="0" applyAlignment="0" applyProtection="0"/>
    <xf numFmtId="0" fontId="24" fillId="22" borderId="0" applyNumberFormat="0" applyBorder="0" applyAlignment="0" applyProtection="0"/>
    <xf numFmtId="0" fontId="24" fillId="26" borderId="0" applyNumberFormat="0" applyBorder="0" applyAlignment="0" applyProtection="0"/>
    <xf numFmtId="0" fontId="24" fillId="7" borderId="0" applyNumberFormat="0" applyBorder="0" applyAlignment="0" applyProtection="0"/>
    <xf numFmtId="0" fontId="24" fillId="11" borderId="0" applyNumberFormat="0" applyBorder="0" applyAlignment="0" applyProtection="0"/>
    <xf numFmtId="0" fontId="24" fillId="15" borderId="0" applyNumberFormat="0" applyBorder="0" applyAlignment="0" applyProtection="0"/>
    <xf numFmtId="0" fontId="24" fillId="19" borderId="0" applyNumberFormat="0" applyBorder="0" applyAlignment="0" applyProtection="0"/>
    <xf numFmtId="0" fontId="24" fillId="23" borderId="0" applyNumberFormat="0" applyBorder="0" applyAlignment="0" applyProtection="0"/>
    <xf numFmtId="0" fontId="24" fillId="27" borderId="0" applyNumberFormat="0" applyBorder="0" applyAlignment="0" applyProtection="0"/>
    <xf numFmtId="0" fontId="25" fillId="8" borderId="0" applyNumberFormat="0" applyBorder="0" applyAlignment="0" applyProtection="0"/>
    <xf numFmtId="0" fontId="25" fillId="12" borderId="0" applyNumberFormat="0" applyBorder="0" applyAlignment="0" applyProtection="0"/>
    <xf numFmtId="0" fontId="25" fillId="16" borderId="0" applyNumberFormat="0" applyBorder="0" applyAlignment="0" applyProtection="0"/>
    <xf numFmtId="0" fontId="25" fillId="20" borderId="0" applyNumberFormat="0" applyBorder="0" applyAlignment="0" applyProtection="0"/>
    <xf numFmtId="0" fontId="25" fillId="24" borderId="0" applyNumberFormat="0" applyBorder="0" applyAlignment="0" applyProtection="0"/>
    <xf numFmtId="0" fontId="25" fillId="28" borderId="0" applyNumberFormat="0" applyBorder="0" applyAlignment="0" applyProtection="0"/>
    <xf numFmtId="0" fontId="25" fillId="5" borderId="0" applyNumberFormat="0" applyBorder="0" applyAlignment="0" applyProtection="0"/>
    <xf numFmtId="0" fontId="25" fillId="9" borderId="0" applyNumberFormat="0" applyBorder="0" applyAlignment="0" applyProtection="0"/>
    <xf numFmtId="0" fontId="25" fillId="13" borderId="0" applyNumberFormat="0" applyBorder="0" applyAlignment="0" applyProtection="0"/>
    <xf numFmtId="0" fontId="25" fillId="17" borderId="0" applyNumberFormat="0" applyBorder="0" applyAlignment="0" applyProtection="0"/>
    <xf numFmtId="0" fontId="25" fillId="21" borderId="0" applyNumberFormat="0" applyBorder="0" applyAlignment="0" applyProtection="0"/>
    <xf numFmtId="0" fontId="25" fillId="25" borderId="0" applyNumberFormat="0" applyBorder="0" applyAlignment="0" applyProtection="0"/>
    <xf numFmtId="0" fontId="27" fillId="4" borderId="0" applyNumberFormat="0" applyBorder="0" applyAlignment="0" applyProtection="0"/>
    <xf numFmtId="0" fontId="24" fillId="33" borderId="27" applyNumberFormat="0" applyFont="0" applyAlignment="0" applyProtection="0"/>
    <xf numFmtId="0" fontId="9" fillId="2" borderId="0" applyNumberFormat="0" applyBorder="0" applyAlignment="0" applyProtection="0"/>
    <xf numFmtId="0" fontId="9" fillId="2" borderId="0" applyNumberFormat="0" applyBorder="0" applyAlignment="0" applyProtection="0"/>
  </cellStyleXfs>
  <cellXfs count="216">
    <xf numFmtId="0" fontId="0" fillId="0" borderId="0" xfId="0"/>
    <xf numFmtId="0" fontId="11" fillId="0" borderId="0" xfId="0" applyFont="1" applyAlignment="1">
      <alignment horizontal="center" vertical="center"/>
    </xf>
    <xf numFmtId="0" fontId="12" fillId="0" borderId="0" xfId="0" applyFont="1"/>
    <xf numFmtId="0" fontId="11" fillId="0" borderId="0" xfId="0" applyFont="1"/>
    <xf numFmtId="0" fontId="15" fillId="0" borderId="0" xfId="0" applyFont="1" applyAlignment="1">
      <alignment horizontal="right" vertical="center"/>
    </xf>
    <xf numFmtId="0" fontId="15" fillId="0" borderId="0" xfId="0" applyFont="1" applyAlignment="1">
      <alignment vertical="center"/>
    </xf>
    <xf numFmtId="0" fontId="15" fillId="0" borderId="0" xfId="0" applyFont="1"/>
    <xf numFmtId="0" fontId="15" fillId="0" borderId="0" xfId="0" applyFont="1" applyAlignment="1">
      <alignment horizontal="center" vertical="center"/>
    </xf>
    <xf numFmtId="0" fontId="15" fillId="3" borderId="1" xfId="0" applyFont="1" applyFill="1" applyBorder="1" applyAlignment="1">
      <alignment horizontal="left" vertical="center" wrapText="1"/>
    </xf>
    <xf numFmtId="0" fontId="15" fillId="0" borderId="0" xfId="0" applyFont="1" applyAlignment="1">
      <alignment horizontal="left"/>
    </xf>
    <xf numFmtId="0" fontId="15" fillId="0" borderId="0" xfId="0" applyFont="1" applyAlignment="1">
      <alignment horizontal="left" vertical="center"/>
    </xf>
    <xf numFmtId="0" fontId="15" fillId="0" borderId="0" xfId="0" applyFont="1" applyAlignment="1">
      <alignment horizontal="justify"/>
    </xf>
    <xf numFmtId="0" fontId="18" fillId="0" borderId="0" xfId="0" applyFont="1"/>
    <xf numFmtId="0" fontId="15" fillId="0" borderId="0" xfId="0" applyFont="1" applyAlignment="1">
      <alignment horizontal="center"/>
    </xf>
    <xf numFmtId="14" fontId="15" fillId="0" borderId="0" xfId="0" applyNumberFormat="1" applyFont="1"/>
    <xf numFmtId="0" fontId="11" fillId="0" borderId="0" xfId="0" applyFont="1" applyAlignment="1">
      <alignment horizontal="center"/>
    </xf>
    <xf numFmtId="0" fontId="14" fillId="0" borderId="0" xfId="0" applyFont="1" applyAlignment="1">
      <alignment horizontal="center" vertical="center"/>
    </xf>
    <xf numFmtId="0" fontId="11" fillId="0" borderId="0" xfId="0" applyFont="1" applyAlignment="1">
      <alignment vertical="center"/>
    </xf>
    <xf numFmtId="0" fontId="11" fillId="0" borderId="0" xfId="0" applyFont="1" applyAlignment="1">
      <alignment horizontal="left"/>
    </xf>
    <xf numFmtId="0" fontId="11" fillId="0" borderId="4" xfId="0" applyFont="1" applyBorder="1" applyAlignment="1">
      <alignment horizontal="center" vertical="center" wrapText="1"/>
    </xf>
    <xf numFmtId="0" fontId="11" fillId="0" borderId="1" xfId="0" applyFont="1" applyBorder="1" applyAlignment="1">
      <alignment horizontal="center" vertical="center" wrapText="1"/>
    </xf>
    <xf numFmtId="183" fontId="11" fillId="0" borderId="17" xfId="0" applyNumberFormat="1" applyFont="1" applyBorder="1" applyAlignment="1">
      <alignment horizontal="center" vertical="center"/>
    </xf>
    <xf numFmtId="183" fontId="11" fillId="0" borderId="18" xfId="0" applyNumberFormat="1" applyFont="1" applyBorder="1" applyAlignment="1">
      <alignment horizontal="center" vertical="center"/>
    </xf>
    <xf numFmtId="0" fontId="15" fillId="0" borderId="4" xfId="0" applyFont="1" applyBorder="1" applyAlignment="1">
      <alignment horizontal="center"/>
    </xf>
    <xf numFmtId="0" fontId="11" fillId="0" borderId="6" xfId="0" applyFont="1" applyBorder="1" applyAlignment="1">
      <alignment horizontal="center" vertical="center" wrapText="1"/>
    </xf>
    <xf numFmtId="0" fontId="15" fillId="0" borderId="0" xfId="0" applyFont="1" applyAlignment="1">
      <alignment horizontal="right"/>
    </xf>
    <xf numFmtId="0" fontId="22" fillId="0" borderId="0" xfId="0" applyFont="1" applyAlignment="1">
      <alignment horizontal="left" vertical="center" wrapText="1"/>
    </xf>
    <xf numFmtId="0" fontId="22" fillId="0" borderId="0" xfId="0" applyFont="1"/>
    <xf numFmtId="0" fontId="22" fillId="0" borderId="0" xfId="0" applyFont="1" applyAlignment="1">
      <alignment vertical="center"/>
    </xf>
    <xf numFmtId="183" fontId="11" fillId="0" borderId="19" xfId="0" applyNumberFormat="1" applyFont="1" applyBorder="1" applyAlignment="1">
      <alignment horizontal="center" vertical="center"/>
    </xf>
    <xf numFmtId="182" fontId="15" fillId="0" borderId="1" xfId="0" applyNumberFormat="1" applyFont="1" applyBorder="1" applyAlignment="1">
      <alignment horizontal="center" vertical="center" wrapText="1"/>
    </xf>
    <xf numFmtId="0" fontId="11" fillId="0" borderId="0" xfId="0" applyFont="1" applyAlignment="1">
      <alignment horizontal="left" vertical="center"/>
    </xf>
    <xf numFmtId="0" fontId="15" fillId="0" borderId="1" xfId="0" applyFont="1" applyBorder="1" applyAlignment="1">
      <alignment horizontal="left" vertical="center" wrapText="1"/>
    </xf>
    <xf numFmtId="0" fontId="15" fillId="0" borderId="2" xfId="0" applyFont="1" applyBorder="1" applyAlignment="1">
      <alignment horizontal="left" vertical="center" wrapText="1"/>
    </xf>
    <xf numFmtId="0" fontId="15" fillId="0" borderId="1" xfId="0" applyFont="1" applyBorder="1" applyAlignment="1">
      <alignment horizontal="center" vertical="center" wrapText="1"/>
    </xf>
    <xf numFmtId="0" fontId="15" fillId="0" borderId="1" xfId="0" applyFont="1" applyBorder="1"/>
    <xf numFmtId="0" fontId="11" fillId="0" borderId="1" xfId="26" applyFont="1" applyBorder="1" applyAlignment="1">
      <alignment horizontal="justify" vertical="center" wrapText="1"/>
    </xf>
    <xf numFmtId="0" fontId="47" fillId="0" borderId="1" xfId="0" applyFont="1" applyBorder="1" applyAlignment="1">
      <alignment horizontal="center" vertical="center" wrapText="1"/>
    </xf>
    <xf numFmtId="0" fontId="21" fillId="0" borderId="0" xfId="0" applyFont="1" applyAlignment="1">
      <alignment vertical="center"/>
    </xf>
    <xf numFmtId="0" fontId="49" fillId="0" borderId="1" xfId="0" applyFont="1" applyBorder="1" applyAlignment="1">
      <alignment horizontal="center" vertical="center" wrapText="1"/>
    </xf>
    <xf numFmtId="179" fontId="50" fillId="0" borderId="1" xfId="0" applyNumberFormat="1" applyFont="1" applyBorder="1" applyAlignment="1">
      <alignment horizontal="center" vertical="center" wrapText="1"/>
    </xf>
    <xf numFmtId="0" fontId="51" fillId="0" borderId="0" xfId="0" applyFont="1"/>
    <xf numFmtId="0" fontId="45" fillId="0" borderId="1" xfId="0" applyFont="1" applyBorder="1" applyAlignment="1">
      <alignment horizontal="center" vertical="center" wrapText="1"/>
    </xf>
    <xf numFmtId="0" fontId="14" fillId="0" borderId="7" xfId="0" applyFont="1" applyBorder="1" applyAlignment="1">
      <alignment horizontal="left" vertical="center"/>
    </xf>
    <xf numFmtId="0" fontId="6" fillId="0" borderId="1" xfId="0" applyFont="1" applyBorder="1" applyAlignment="1">
      <alignment horizontal="left" vertical="center" wrapText="1"/>
    </xf>
    <xf numFmtId="0" fontId="15" fillId="0" borderId="3" xfId="0" applyFont="1" applyBorder="1" applyAlignment="1">
      <alignment horizontal="center" vertical="center" wrapText="1"/>
    </xf>
    <xf numFmtId="0" fontId="54" fillId="0" borderId="1" xfId="81" applyFont="1" applyFill="1" applyBorder="1" applyAlignment="1">
      <alignment horizontal="center" vertical="center"/>
    </xf>
    <xf numFmtId="176" fontId="15" fillId="0" borderId="1" xfId="0" applyNumberFormat="1" applyFont="1" applyBorder="1" applyAlignment="1">
      <alignment horizontal="center" vertical="center" wrapText="1"/>
    </xf>
    <xf numFmtId="0" fontId="15" fillId="0" borderId="1" xfId="82" applyFont="1" applyBorder="1" applyAlignment="1" applyProtection="1">
      <alignment horizontal="center" vertical="center"/>
      <protection locked="0"/>
    </xf>
    <xf numFmtId="176" fontId="15" fillId="0" borderId="1" xfId="27" applyNumberFormat="1" applyFont="1" applyBorder="1" applyAlignment="1">
      <alignment horizontal="center" vertical="center" wrapText="1"/>
    </xf>
    <xf numFmtId="0" fontId="15" fillId="0" borderId="7" xfId="0" applyFont="1" applyBorder="1" applyAlignment="1">
      <alignment horizontal="left"/>
    </xf>
    <xf numFmtId="188" fontId="15" fillId="0" borderId="1" xfId="0" applyNumberFormat="1" applyFont="1" applyBorder="1" applyAlignment="1">
      <alignment horizontal="center" vertical="center"/>
    </xf>
    <xf numFmtId="182" fontId="15" fillId="0" borderId="1" xfId="0" applyNumberFormat="1" applyFont="1" applyBorder="1" applyAlignment="1">
      <alignment horizontal="center" vertical="center"/>
    </xf>
    <xf numFmtId="180" fontId="15" fillId="0" borderId="1" xfId="0" applyNumberFormat="1" applyFont="1" applyBorder="1" applyAlignment="1">
      <alignment horizontal="center" vertical="center"/>
    </xf>
    <xf numFmtId="189" fontId="15" fillId="0" borderId="1" xfId="0" applyNumberFormat="1" applyFont="1" applyBorder="1" applyAlignment="1">
      <alignment horizontal="center" vertical="center"/>
    </xf>
    <xf numFmtId="0" fontId="15" fillId="0" borderId="1" xfId="0" applyFont="1" applyBorder="1" applyAlignment="1">
      <alignment horizontal="center" vertical="center"/>
    </xf>
    <xf numFmtId="0" fontId="59" fillId="0" borderId="0" xfId="0" applyFont="1"/>
    <xf numFmtId="176" fontId="15" fillId="0" borderId="1" xfId="0" applyNumberFormat="1" applyFont="1" applyBorder="1" applyAlignment="1">
      <alignment horizontal="center" vertical="center"/>
    </xf>
    <xf numFmtId="179" fontId="15" fillId="0" borderId="1" xfId="0" applyNumberFormat="1" applyFont="1" applyBorder="1" applyAlignment="1">
      <alignment horizontal="center" vertical="center"/>
    </xf>
    <xf numFmtId="0" fontId="15" fillId="0" borderId="1" xfId="0" applyFont="1" applyBorder="1" applyAlignment="1">
      <alignment horizontal="left" wrapText="1"/>
    </xf>
    <xf numFmtId="0" fontId="6" fillId="0" borderId="1" xfId="0" applyFont="1" applyBorder="1" applyAlignment="1">
      <alignment horizontal="left" wrapText="1"/>
    </xf>
    <xf numFmtId="0" fontId="6" fillId="0" borderId="1" xfId="0" applyFont="1" applyBorder="1" applyAlignment="1">
      <alignment horizontal="center" vertical="top" wrapText="1"/>
    </xf>
    <xf numFmtId="0" fontId="15" fillId="0" borderId="1" xfId="0" applyFont="1" applyBorder="1" applyAlignment="1">
      <alignment horizontal="center" wrapText="1"/>
    </xf>
    <xf numFmtId="10" fontId="15" fillId="0" borderId="1" xfId="80" applyNumberFormat="1" applyFont="1" applyBorder="1" applyAlignment="1">
      <alignment horizontal="center" wrapText="1"/>
    </xf>
    <xf numFmtId="0" fontId="51" fillId="0" borderId="0" xfId="0" applyFont="1" applyAlignment="1">
      <alignment horizontal="center" vertical="center"/>
    </xf>
    <xf numFmtId="178" fontId="15" fillId="0" borderId="5" xfId="0" applyNumberFormat="1" applyFont="1" applyBorder="1" applyAlignment="1">
      <alignment horizontal="center" vertical="center"/>
    </xf>
    <xf numFmtId="0" fontId="15" fillId="0" borderId="1" xfId="0" applyFont="1" applyBorder="1" applyAlignment="1">
      <alignment horizontal="justify" wrapText="1"/>
    </xf>
    <xf numFmtId="187" fontId="15" fillId="0" borderId="1" xfId="0" applyNumberFormat="1" applyFont="1" applyBorder="1" applyAlignment="1">
      <alignment horizontal="justify" wrapText="1"/>
    </xf>
    <xf numFmtId="179" fontId="15" fillId="0" borderId="1" xfId="0" applyNumberFormat="1" applyFont="1" applyBorder="1" applyAlignment="1">
      <alignment horizontal="justify" wrapText="1"/>
    </xf>
    <xf numFmtId="0" fontId="7" fillId="0" borderId="1" xfId="0" applyFont="1" applyBorder="1" applyAlignment="1">
      <alignment horizontal="center" vertical="center"/>
    </xf>
    <xf numFmtId="0" fontId="11" fillId="0" borderId="1" xfId="0" applyFont="1" applyBorder="1" applyAlignment="1">
      <alignment horizontal="justify" wrapText="1"/>
    </xf>
    <xf numFmtId="179" fontId="15" fillId="0" borderId="1" xfId="0" applyNumberFormat="1" applyFont="1" applyBorder="1" applyAlignment="1">
      <alignment horizontal="center" vertical="center" wrapText="1"/>
    </xf>
    <xf numFmtId="0" fontId="45" fillId="0" borderId="1" xfId="0" applyFont="1" applyBorder="1" applyAlignment="1">
      <alignment horizontal="left" vertical="center" wrapText="1"/>
    </xf>
    <xf numFmtId="0" fontId="7" fillId="0" borderId="1" xfId="0" applyFont="1" applyBorder="1" applyAlignment="1">
      <alignment horizontal="center" vertical="center" wrapText="1"/>
    </xf>
    <xf numFmtId="182" fontId="15" fillId="0" borderId="2" xfId="0" applyNumberFormat="1" applyFont="1" applyBorder="1" applyAlignment="1">
      <alignment horizontal="center" vertical="center" wrapText="1"/>
    </xf>
    <xf numFmtId="0" fontId="5" fillId="0" borderId="0" xfId="0" applyFont="1"/>
    <xf numFmtId="0" fontId="56" fillId="0" borderId="1" xfId="0" applyFont="1" applyBorder="1" applyAlignment="1">
      <alignment horizontal="justify" wrapText="1"/>
    </xf>
    <xf numFmtId="0" fontId="15" fillId="0" borderId="1" xfId="0" quotePrefix="1" applyFont="1" applyBorder="1" applyAlignment="1">
      <alignment horizontal="justify" wrapText="1"/>
    </xf>
    <xf numFmtId="183" fontId="15" fillId="0" borderId="1" xfId="0" applyNumberFormat="1" applyFont="1" applyBorder="1" applyAlignment="1">
      <alignment horizontal="center" vertical="center" wrapText="1"/>
    </xf>
    <xf numFmtId="0" fontId="11" fillId="0" borderId="15" xfId="0" applyFont="1" applyBorder="1" applyAlignment="1">
      <alignment horizontal="right"/>
    </xf>
    <xf numFmtId="1" fontId="11" fillId="0" borderId="13" xfId="0" applyNumberFormat="1" applyFont="1" applyBorder="1" applyAlignment="1">
      <alignment horizontal="center"/>
    </xf>
    <xf numFmtId="0" fontId="11" fillId="0" borderId="16" xfId="0" applyFont="1" applyBorder="1" applyAlignment="1">
      <alignment horizontal="right"/>
    </xf>
    <xf numFmtId="1" fontId="11" fillId="0" borderId="0" xfId="0" applyNumberFormat="1" applyFont="1" applyAlignment="1">
      <alignment horizontal="center"/>
    </xf>
    <xf numFmtId="0" fontId="11" fillId="0" borderId="14" xfId="0" applyFont="1" applyBorder="1" applyAlignment="1">
      <alignment horizontal="right"/>
    </xf>
    <xf numFmtId="1" fontId="11" fillId="0" borderId="7" xfId="0" applyNumberFormat="1" applyFont="1" applyBorder="1" applyAlignment="1">
      <alignment horizontal="center"/>
    </xf>
    <xf numFmtId="0" fontId="15" fillId="0" borderId="15" xfId="0" applyFont="1" applyBorder="1" applyAlignment="1">
      <alignment horizontal="right"/>
    </xf>
    <xf numFmtId="1" fontId="15" fillId="0" borderId="13" xfId="0" applyNumberFormat="1" applyFont="1" applyBorder="1" applyAlignment="1">
      <alignment horizontal="right"/>
    </xf>
    <xf numFmtId="0" fontId="15" fillId="0" borderId="16" xfId="0" applyFont="1" applyBorder="1" applyAlignment="1">
      <alignment horizontal="right"/>
    </xf>
    <xf numFmtId="1" fontId="15" fillId="0" borderId="0" xfId="0" applyNumberFormat="1" applyFont="1" applyAlignment="1">
      <alignment horizontal="right"/>
    </xf>
    <xf numFmtId="0" fontId="15" fillId="0" borderId="14" xfId="0" applyFont="1" applyBorder="1" applyAlignment="1">
      <alignment horizontal="right"/>
    </xf>
    <xf numFmtId="1" fontId="15" fillId="0" borderId="7" xfId="0" applyNumberFormat="1" applyFont="1" applyBorder="1" applyAlignment="1">
      <alignment horizontal="right"/>
    </xf>
    <xf numFmtId="1" fontId="11" fillId="0" borderId="13" xfId="0" applyNumberFormat="1" applyFont="1" applyBorder="1"/>
    <xf numFmtId="1" fontId="11" fillId="0" borderId="0" xfId="0" applyNumberFormat="1" applyFont="1"/>
    <xf numFmtId="1" fontId="11" fillId="0" borderId="7" xfId="0" applyNumberFormat="1" applyFont="1" applyBorder="1"/>
    <xf numFmtId="0" fontId="45" fillId="0" borderId="0" xfId="0" applyFont="1"/>
    <xf numFmtId="178" fontId="15" fillId="0" borderId="2" xfId="0" applyNumberFormat="1" applyFont="1" applyBorder="1" applyAlignment="1">
      <alignment horizontal="center" vertical="center" wrapText="1"/>
    </xf>
    <xf numFmtId="0" fontId="15" fillId="0" borderId="0" xfId="0" applyFont="1" applyAlignment="1">
      <alignment horizontal="center" vertical="center" wrapText="1"/>
    </xf>
    <xf numFmtId="176" fontId="15" fillId="0" borderId="0" xfId="0" applyNumberFormat="1" applyFont="1" applyAlignment="1">
      <alignment vertical="center"/>
    </xf>
    <xf numFmtId="190" fontId="15" fillId="0" borderId="1" xfId="0" applyNumberFormat="1" applyFont="1" applyBorder="1" applyAlignment="1">
      <alignment horizontal="center" vertical="center"/>
    </xf>
    <xf numFmtId="1" fontId="0" fillId="0" borderId="0" xfId="0" applyNumberFormat="1"/>
    <xf numFmtId="182" fontId="11" fillId="0" borderId="0" xfId="0" applyNumberFormat="1" applyFont="1" applyAlignment="1">
      <alignment horizontal="left" vertical="center"/>
    </xf>
    <xf numFmtId="182" fontId="0" fillId="0" borderId="0" xfId="0" applyNumberFormat="1" applyAlignment="1">
      <alignment wrapText="1"/>
    </xf>
    <xf numFmtId="182" fontId="14" fillId="0" borderId="7" xfId="0" applyNumberFormat="1" applyFont="1" applyBorder="1" applyAlignment="1">
      <alignment horizontal="left" vertical="center"/>
    </xf>
    <xf numFmtId="182" fontId="15" fillId="0" borderId="3" xfId="0" applyNumberFormat="1" applyFont="1" applyBorder="1" applyAlignment="1">
      <alignment horizontal="center" vertical="center" wrapText="1"/>
    </xf>
    <xf numFmtId="182" fontId="11" fillId="0" borderId="1" xfId="0" applyNumberFormat="1" applyFont="1" applyBorder="1" applyAlignment="1">
      <alignment horizontal="center" vertical="center" wrapText="1"/>
    </xf>
    <xf numFmtId="182" fontId="11" fillId="0" borderId="0" xfId="0" applyNumberFormat="1" applyFont="1" applyAlignment="1">
      <alignment horizontal="center" vertical="center"/>
    </xf>
    <xf numFmtId="177" fontId="11" fillId="0" borderId="1" xfId="0" applyNumberFormat="1" applyFont="1" applyBorder="1" applyAlignment="1">
      <alignment horizontal="center" vertical="center" wrapText="1"/>
    </xf>
    <xf numFmtId="177" fontId="11" fillId="0" borderId="0" xfId="0" applyNumberFormat="1" applyFont="1" applyAlignment="1">
      <alignment horizontal="center" vertical="center"/>
    </xf>
    <xf numFmtId="177" fontId="11" fillId="0" borderId="0" xfId="0" applyNumberFormat="1" applyFont="1" applyAlignment="1">
      <alignment horizontal="left" vertical="center"/>
    </xf>
    <xf numFmtId="177" fontId="0" fillId="0" borderId="0" xfId="0" applyNumberFormat="1" applyAlignment="1">
      <alignment wrapText="1"/>
    </xf>
    <xf numFmtId="177" fontId="14" fillId="0" borderId="7" xfId="0" applyNumberFormat="1" applyFont="1" applyBorder="1" applyAlignment="1">
      <alignment horizontal="left" vertical="center"/>
    </xf>
    <xf numFmtId="177" fontId="15" fillId="0" borderId="1" xfId="0" applyNumberFormat="1" applyFont="1" applyBorder="1" applyAlignment="1">
      <alignment horizontal="center" vertical="center" wrapText="1"/>
    </xf>
    <xf numFmtId="177" fontId="11" fillId="0" borderId="5" xfId="0" applyNumberFormat="1" applyFont="1" applyBorder="1" applyAlignment="1">
      <alignment horizontal="center" vertical="center" wrapText="1"/>
    </xf>
    <xf numFmtId="191" fontId="11" fillId="0" borderId="1" xfId="0" applyNumberFormat="1" applyFont="1" applyBorder="1" applyAlignment="1">
      <alignment horizontal="center" vertical="center" wrapText="1"/>
    </xf>
    <xf numFmtId="191" fontId="11" fillId="0" borderId="0" xfId="0" applyNumberFormat="1" applyFont="1" applyAlignment="1">
      <alignment horizontal="center" vertical="center"/>
    </xf>
    <xf numFmtId="182" fontId="15" fillId="0" borderId="5" xfId="0" applyNumberFormat="1" applyFont="1" applyBorder="1" applyAlignment="1">
      <alignment horizontal="center" vertical="center"/>
    </xf>
    <xf numFmtId="177" fontId="15" fillId="0" borderId="0" xfId="0" applyNumberFormat="1" applyFont="1" applyAlignment="1">
      <alignment horizontal="left" vertical="center"/>
    </xf>
    <xf numFmtId="177" fontId="18" fillId="0" borderId="0" xfId="0" applyNumberFormat="1" applyFont="1"/>
    <xf numFmtId="177" fontId="15" fillId="0" borderId="1" xfId="0" applyNumberFormat="1" applyFont="1" applyBorder="1" applyAlignment="1">
      <alignment horizontal="center" vertical="center"/>
    </xf>
    <xf numFmtId="177" fontId="14" fillId="0" borderId="0" xfId="0" applyNumberFormat="1" applyFont="1" applyAlignment="1">
      <alignment horizontal="center" vertical="center"/>
    </xf>
    <xf numFmtId="177" fontId="15" fillId="0" borderId="5" xfId="0" applyNumberFormat="1" applyFont="1" applyBorder="1" applyAlignment="1">
      <alignment horizontal="center" vertical="center"/>
    </xf>
    <xf numFmtId="184" fontId="15" fillId="0" borderId="0" xfId="0" applyNumberFormat="1" applyFont="1" applyAlignment="1">
      <alignment horizontal="left" vertical="center"/>
    </xf>
    <xf numFmtId="185" fontId="15" fillId="0" borderId="0" xfId="0" applyNumberFormat="1" applyFont="1" applyAlignment="1">
      <alignment horizontal="left" vertical="center"/>
    </xf>
    <xf numFmtId="183" fontId="15" fillId="0" borderId="1" xfId="2" applyNumberFormat="1" applyFont="1" applyBorder="1" applyAlignment="1">
      <alignment horizontal="center" vertical="center" wrapText="1"/>
    </xf>
    <xf numFmtId="177" fontId="15" fillId="0" borderId="1" xfId="2" applyNumberFormat="1" applyFont="1" applyBorder="1" applyAlignment="1">
      <alignment horizontal="center" vertical="center" wrapText="1"/>
    </xf>
    <xf numFmtId="0" fontId="45" fillId="0" borderId="4" xfId="0" applyFont="1" applyBorder="1" applyAlignment="1">
      <alignment vertical="center" wrapText="1"/>
    </xf>
    <xf numFmtId="0" fontId="15" fillId="0" borderId="8" xfId="0" applyFont="1" applyBorder="1" applyAlignment="1">
      <alignment vertical="center" wrapText="1"/>
    </xf>
    <xf numFmtId="14" fontId="15" fillId="0" borderId="0" xfId="0" applyNumberFormat="1" applyFont="1" applyAlignment="1">
      <alignment horizontal="left" vertical="center" wrapText="1"/>
    </xf>
    <xf numFmtId="0" fontId="15" fillId="0" borderId="0" xfId="0" applyFont="1" applyAlignment="1">
      <alignment horizontal="left" vertical="center" wrapText="1"/>
    </xf>
    <xf numFmtId="0" fontId="45" fillId="0" borderId="8" xfId="0" applyFont="1" applyBorder="1" applyAlignment="1">
      <alignment vertical="center" wrapText="1"/>
    </xf>
    <xf numFmtId="179" fontId="15" fillId="0" borderId="0" xfId="0" applyNumberFormat="1" applyFont="1" applyAlignment="1">
      <alignment horizontal="left" vertical="center" wrapText="1"/>
    </xf>
    <xf numFmtId="176" fontId="15" fillId="0" borderId="0" xfId="0" applyNumberFormat="1" applyFont="1" applyAlignment="1">
      <alignment horizontal="center" vertical="center" wrapText="1"/>
    </xf>
    <xf numFmtId="0" fontId="6" fillId="0" borderId="1" xfId="0" applyFont="1" applyBorder="1" applyAlignment="1">
      <alignment horizontal="left" vertical="center" wrapText="1"/>
    </xf>
    <xf numFmtId="0" fontId="15" fillId="0" borderId="1" xfId="0" applyFont="1" applyBorder="1" applyAlignment="1">
      <alignment horizontal="left" vertical="center" wrapText="1"/>
    </xf>
    <xf numFmtId="0" fontId="45" fillId="0" borderId="4" xfId="0" applyFont="1" applyBorder="1" applyAlignment="1">
      <alignment horizontal="left" vertical="center" wrapText="1"/>
    </xf>
    <xf numFmtId="0" fontId="15" fillId="0" borderId="6" xfId="0" applyFont="1" applyBorder="1" applyAlignment="1">
      <alignment horizontal="left" vertical="center" wrapText="1"/>
    </xf>
    <xf numFmtId="186" fontId="49" fillId="0" borderId="1" xfId="0" applyNumberFormat="1" applyFont="1" applyBorder="1" applyAlignment="1">
      <alignment horizontal="center" vertical="center" wrapText="1"/>
    </xf>
    <xf numFmtId="0" fontId="49" fillId="0" borderId="1" xfId="0" applyFont="1" applyBorder="1" applyAlignment="1">
      <alignment horizontal="center" vertical="center" wrapText="1"/>
    </xf>
    <xf numFmtId="0" fontId="49" fillId="0" borderId="2" xfId="0" applyFont="1" applyBorder="1" applyAlignment="1">
      <alignment horizontal="center" vertical="center" wrapText="1"/>
    </xf>
    <xf numFmtId="0" fontId="49" fillId="0" borderId="9" xfId="0" applyFont="1" applyBorder="1" applyAlignment="1">
      <alignment horizontal="center" vertical="center" wrapText="1"/>
    </xf>
    <xf numFmtId="0" fontId="49" fillId="0" borderId="3" xfId="0" applyFont="1" applyBorder="1" applyAlignment="1">
      <alignment horizontal="center" vertical="center" wrapText="1"/>
    </xf>
    <xf numFmtId="0" fontId="45" fillId="0" borderId="0" xfId="0" applyFont="1" applyAlignment="1">
      <alignment horizontal="left" vertical="center"/>
    </xf>
    <xf numFmtId="0" fontId="15" fillId="0" borderId="0" xfId="0" applyFont="1" applyAlignment="1">
      <alignment horizontal="left" vertical="center"/>
    </xf>
    <xf numFmtId="0" fontId="15" fillId="0" borderId="0" xfId="0" applyFont="1" applyAlignment="1">
      <alignment horizontal="left"/>
    </xf>
    <xf numFmtId="0" fontId="15" fillId="0" borderId="1"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0" xfId="0" applyFont="1" applyAlignment="1">
      <alignment vertical="center"/>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7" xfId="0" applyFont="1" applyBorder="1" applyAlignment="1">
      <alignment horizontal="left" vertical="center"/>
    </xf>
    <xf numFmtId="181" fontId="15" fillId="0" borderId="2" xfId="27" applyNumberFormat="1" applyFont="1" applyBorder="1" applyAlignment="1">
      <alignment horizontal="center" vertical="center" wrapText="1"/>
    </xf>
    <xf numFmtId="181" fontId="15" fillId="0" borderId="3" xfId="27" applyNumberFormat="1" applyFont="1" applyBorder="1" applyAlignment="1">
      <alignment horizontal="center" vertical="center" wrapText="1"/>
    </xf>
    <xf numFmtId="0" fontId="15" fillId="0" borderId="2" xfId="27" applyFont="1" applyBorder="1" applyAlignment="1">
      <alignment horizontal="center" vertical="center" wrapText="1"/>
    </xf>
    <xf numFmtId="0" fontId="15" fillId="0" borderId="3" xfId="27" applyFont="1" applyBorder="1" applyAlignment="1">
      <alignment horizontal="center" vertical="center" wrapText="1"/>
    </xf>
    <xf numFmtId="0" fontId="11" fillId="0" borderId="0" xfId="0" applyFont="1" applyAlignment="1">
      <alignment horizontal="left"/>
    </xf>
    <xf numFmtId="0" fontId="15" fillId="0" borderId="5" xfId="0" applyFont="1" applyBorder="1" applyAlignment="1">
      <alignment horizontal="center" vertical="center" wrapText="1"/>
    </xf>
    <xf numFmtId="179" fontId="19" fillId="0" borderId="1" xfId="0" applyNumberFormat="1" applyFont="1" applyBorder="1" applyAlignment="1">
      <alignment horizontal="center" vertical="center"/>
    </xf>
    <xf numFmtId="0" fontId="11" fillId="0" borderId="1" xfId="0" applyFont="1" applyBorder="1" applyAlignment="1">
      <alignment horizontal="center" vertical="center" wrapText="1"/>
    </xf>
    <xf numFmtId="177" fontId="15" fillId="0" borderId="1" xfId="0" applyNumberFormat="1" applyFont="1" applyBorder="1" applyAlignment="1">
      <alignment horizontal="center" vertical="center" wrapText="1"/>
    </xf>
    <xf numFmtId="0" fontId="13" fillId="0" borderId="0" xfId="0" applyFont="1" applyAlignment="1">
      <alignment horizontal="left" vertical="center" wrapText="1"/>
    </xf>
    <xf numFmtId="0" fontId="11" fillId="0" borderId="0" xfId="0" applyFont="1" applyAlignment="1">
      <alignment horizontal="left" vertical="center"/>
    </xf>
    <xf numFmtId="0" fontId="6" fillId="0" borderId="0" xfId="0" applyFont="1" applyAlignment="1">
      <alignment horizontal="left" vertical="center"/>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2" xfId="0" applyFont="1" applyBorder="1" applyAlignment="1">
      <alignment horizontal="center" vertical="center" wrapText="1"/>
    </xf>
    <xf numFmtId="177" fontId="11" fillId="0" borderId="10" xfId="0" applyNumberFormat="1" applyFont="1" applyBorder="1" applyAlignment="1">
      <alignment horizontal="center" vertical="center" wrapText="1"/>
    </xf>
    <xf numFmtId="177" fontId="11" fillId="0" borderId="11" xfId="0" applyNumberFormat="1" applyFont="1" applyBorder="1" applyAlignment="1">
      <alignment horizontal="center" vertical="center" wrapText="1"/>
    </xf>
    <xf numFmtId="177" fontId="11" fillId="0" borderId="12" xfId="0" applyNumberFormat="1" applyFont="1" applyBorder="1" applyAlignment="1">
      <alignment horizontal="center" vertical="center" wrapText="1"/>
    </xf>
    <xf numFmtId="179" fontId="7" fillId="0" borderId="2" xfId="0" applyNumberFormat="1" applyFont="1" applyBorder="1" applyAlignment="1">
      <alignment horizontal="center" vertical="center"/>
    </xf>
    <xf numFmtId="179" fontId="7" fillId="0" borderId="9" xfId="0" applyNumberFormat="1" applyFont="1" applyBorder="1" applyAlignment="1">
      <alignment horizontal="center" vertical="center"/>
    </xf>
    <xf numFmtId="179" fontId="7" fillId="0" borderId="3" xfId="0" applyNumberFormat="1" applyFont="1" applyBorder="1" applyAlignment="1">
      <alignment horizontal="center" vertical="center"/>
    </xf>
    <xf numFmtId="0" fontId="7" fillId="0" borderId="2" xfId="0" applyFont="1" applyBorder="1" applyAlignment="1">
      <alignment horizontal="center" vertical="center"/>
    </xf>
    <xf numFmtId="0" fontId="7" fillId="0" borderId="9" xfId="0" applyFont="1" applyBorder="1" applyAlignment="1">
      <alignment horizontal="center" vertical="center"/>
    </xf>
    <xf numFmtId="0" fontId="7" fillId="0" borderId="3" xfId="0" applyFont="1" applyBorder="1" applyAlignment="1">
      <alignment horizontal="center" vertical="center"/>
    </xf>
    <xf numFmtId="177" fontId="15" fillId="0" borderId="10" xfId="0" applyNumberFormat="1" applyFont="1" applyBorder="1" applyAlignment="1">
      <alignment horizontal="center" vertical="center" wrapText="1"/>
    </xf>
    <xf numFmtId="177" fontId="15" fillId="0" borderId="11" xfId="0" applyNumberFormat="1" applyFont="1" applyBorder="1" applyAlignment="1">
      <alignment horizontal="center" vertical="center" wrapText="1"/>
    </xf>
    <xf numFmtId="177" fontId="15" fillId="0" borderId="12" xfId="0" applyNumberFormat="1" applyFont="1" applyBorder="1" applyAlignment="1">
      <alignment horizontal="center" vertical="center" wrapText="1"/>
    </xf>
    <xf numFmtId="0" fontId="45" fillId="0" borderId="4" xfId="0" applyFont="1" applyBorder="1" applyAlignment="1">
      <alignment horizontal="center" vertical="center" wrapText="1"/>
    </xf>
    <xf numFmtId="177" fontId="15" fillId="0" borderId="1" xfId="0" applyNumberFormat="1" applyFont="1" applyBorder="1" applyAlignment="1">
      <alignment horizontal="center"/>
    </xf>
    <xf numFmtId="0" fontId="15" fillId="0" borderId="8" xfId="0" applyFont="1" applyBorder="1" applyAlignment="1">
      <alignment horizontal="left" vertical="center" wrapText="1"/>
    </xf>
    <xf numFmtId="0" fontId="15" fillId="0" borderId="10" xfId="0" applyFont="1" applyBorder="1" applyAlignment="1">
      <alignment horizontal="center" vertical="center" wrapText="1"/>
    </xf>
    <xf numFmtId="0" fontId="15" fillId="0" borderId="11" xfId="0" applyFont="1" applyBorder="1" applyAlignment="1">
      <alignment horizontal="center" vertical="center" wrapText="1"/>
    </xf>
    <xf numFmtId="0" fontId="15" fillId="0" borderId="12" xfId="0" applyFont="1" applyBorder="1" applyAlignment="1">
      <alignment horizontal="center" vertical="center" wrapText="1"/>
    </xf>
    <xf numFmtId="0" fontId="45" fillId="0" borderId="1" xfId="0" applyFont="1" applyBorder="1" applyAlignment="1">
      <alignment horizontal="center" vertical="center" wrapText="1"/>
    </xf>
    <xf numFmtId="0" fontId="15" fillId="0" borderId="10" xfId="0" applyFont="1" applyBorder="1" applyAlignment="1">
      <alignment horizontal="left" vertical="center" wrapText="1"/>
    </xf>
    <xf numFmtId="0" fontId="15" fillId="0" borderId="5" xfId="0" applyFont="1" applyBorder="1" applyAlignment="1">
      <alignment horizontal="left" vertical="center" wrapText="1"/>
    </xf>
    <xf numFmtId="0" fontId="15" fillId="0" borderId="9" xfId="0" applyFont="1" applyBorder="1" applyAlignment="1">
      <alignment horizontal="center" vertical="center" wrapText="1"/>
    </xf>
    <xf numFmtId="0" fontId="15" fillId="0" borderId="1" xfId="0" applyFont="1" applyFill="1" applyBorder="1" applyAlignment="1">
      <alignment horizontal="justify" vertical="center" wrapText="1"/>
    </xf>
    <xf numFmtId="0" fontId="15" fillId="0" borderId="1" xfId="0" applyFont="1" applyFill="1" applyBorder="1" applyAlignment="1">
      <alignment horizontal="left" vertical="center" wrapText="1"/>
    </xf>
    <xf numFmtId="0" fontId="15" fillId="0" borderId="4" xfId="0" applyFont="1" applyFill="1" applyBorder="1" applyAlignment="1">
      <alignment horizontal="left" vertical="center" wrapText="1"/>
    </xf>
    <xf numFmtId="0" fontId="15" fillId="0" borderId="6" xfId="0" applyFont="1" applyFill="1" applyBorder="1" applyAlignment="1">
      <alignment horizontal="left" vertical="center" wrapText="1"/>
    </xf>
    <xf numFmtId="0" fontId="15" fillId="0" borderId="2"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0" xfId="0" applyFont="1" applyFill="1"/>
    <xf numFmtId="179" fontId="15" fillId="0" borderId="0" xfId="0" applyNumberFormat="1" applyFont="1" applyFill="1" applyAlignment="1">
      <alignment horizontal="left" vertical="center" wrapText="1"/>
    </xf>
    <xf numFmtId="0" fontId="15" fillId="0" borderId="0" xfId="0" applyFont="1" applyFill="1" applyAlignment="1">
      <alignment horizontal="left" vertical="center"/>
    </xf>
    <xf numFmtId="0" fontId="15" fillId="0" borderId="0" xfId="0" applyFont="1" applyFill="1" applyAlignment="1">
      <alignment horizontal="left" vertical="center" wrapText="1"/>
    </xf>
    <xf numFmtId="0" fontId="15" fillId="0" borderId="0" xfId="0" applyFont="1" applyFill="1" applyAlignment="1">
      <alignment horizontal="right"/>
    </xf>
    <xf numFmtId="0" fontId="0" fillId="0" borderId="0" xfId="0" applyFill="1"/>
    <xf numFmtId="0" fontId="15" fillId="0" borderId="0" xfId="0" applyFont="1" applyFill="1" applyAlignment="1">
      <alignment horizontal="right" vertical="center"/>
    </xf>
    <xf numFmtId="0" fontId="15" fillId="0" borderId="0" xfId="0" applyFont="1" applyFill="1" applyAlignment="1">
      <alignment horizontal="center"/>
    </xf>
    <xf numFmtId="0" fontId="45" fillId="0" borderId="0" xfId="0" applyFont="1" applyFill="1"/>
    <xf numFmtId="0" fontId="15" fillId="0" borderId="9" xfId="0" applyFont="1" applyFill="1" applyBorder="1" applyAlignment="1">
      <alignment horizontal="center" vertical="center" wrapText="1"/>
    </xf>
    <xf numFmtId="179" fontId="15" fillId="0" borderId="1" xfId="0" applyNumberFormat="1" applyFont="1" applyFill="1" applyBorder="1" applyAlignment="1">
      <alignment horizontal="center" vertical="center"/>
    </xf>
    <xf numFmtId="0" fontId="15" fillId="0" borderId="1" xfId="0" applyFont="1" applyFill="1" applyBorder="1" applyAlignment="1">
      <alignment horizontal="center" vertical="center" wrapText="1"/>
    </xf>
    <xf numFmtId="0" fontId="45" fillId="0" borderId="0" xfId="0" applyFont="1" applyFill="1" applyAlignment="1">
      <alignment horizontal="left" vertical="center"/>
    </xf>
    <xf numFmtId="0" fontId="15" fillId="0" borderId="0" xfId="0" applyFont="1" applyFill="1" applyAlignment="1">
      <alignment horizontal="left" vertical="center"/>
    </xf>
    <xf numFmtId="0" fontId="15" fillId="0" borderId="1" xfId="0" applyFont="1" applyFill="1" applyBorder="1" applyAlignment="1">
      <alignment horizontal="left" vertical="center" wrapText="1"/>
    </xf>
    <xf numFmtId="0" fontId="15" fillId="0" borderId="6" xfId="0" applyFont="1" applyFill="1" applyBorder="1" applyAlignment="1">
      <alignment horizontal="left" vertical="center" wrapText="1"/>
    </xf>
    <xf numFmtId="0" fontId="15" fillId="0" borderId="1" xfId="0" quotePrefix="1" applyFont="1" applyFill="1" applyBorder="1" applyAlignment="1">
      <alignment horizontal="left" vertical="center" wrapText="1"/>
    </xf>
    <xf numFmtId="177" fontId="15" fillId="0" borderId="1" xfId="0" applyNumberFormat="1" applyFont="1" applyFill="1" applyBorder="1" applyAlignment="1">
      <alignment horizontal="left" vertical="center" wrapText="1"/>
    </xf>
    <xf numFmtId="0" fontId="54" fillId="0" borderId="0" xfId="0" applyFont="1" applyFill="1"/>
    <xf numFmtId="192" fontId="15" fillId="0" borderId="1" xfId="0" applyNumberFormat="1" applyFont="1" applyFill="1" applyBorder="1" applyAlignment="1">
      <alignment horizontal="left" vertical="center" wrapText="1"/>
    </xf>
    <xf numFmtId="10" fontId="15" fillId="0" borderId="1" xfId="0" applyNumberFormat="1" applyFont="1" applyFill="1" applyBorder="1" applyAlignment="1">
      <alignment horizontal="left" vertical="center" wrapText="1"/>
    </xf>
  </cellXfs>
  <cellStyles count="112">
    <cellStyle name="20% - Accent1" xfId="35" xr:uid="{00000000-0005-0000-0000-000000000000}"/>
    <cellStyle name="20% - Accent1 2" xfId="84" xr:uid="{045E52DA-EA52-44AE-8130-3D15292EBA52}"/>
    <cellStyle name="20% - Accent2" xfId="36" xr:uid="{00000000-0005-0000-0000-000001000000}"/>
    <cellStyle name="20% - Accent2 2" xfId="85" xr:uid="{F8E7B915-C2E5-475F-8015-5DEB233E48B2}"/>
    <cellStyle name="20% - Accent3" xfId="37" xr:uid="{00000000-0005-0000-0000-000002000000}"/>
    <cellStyle name="20% - Accent3 2" xfId="86" xr:uid="{8C3D91BB-DD50-43CF-A66B-B4364BA9113B}"/>
    <cellStyle name="20% - Accent4" xfId="38" xr:uid="{00000000-0005-0000-0000-000003000000}"/>
    <cellStyle name="20% - Accent4 2" xfId="87" xr:uid="{225443F1-E570-4BBC-A22A-BE65C27B3082}"/>
    <cellStyle name="20% - Accent5" xfId="39" xr:uid="{00000000-0005-0000-0000-000004000000}"/>
    <cellStyle name="20% - Accent5 2" xfId="88" xr:uid="{2A52F356-D540-4DE2-9D6A-D7B2BF413DFF}"/>
    <cellStyle name="20% - Accent6" xfId="40" xr:uid="{00000000-0005-0000-0000-000005000000}"/>
    <cellStyle name="20% - Accent6 2" xfId="89" xr:uid="{5EB3BBE3-5B05-4FE8-9AB3-EB29E4750239}"/>
    <cellStyle name="20% - 强调文字颜色 1" xfId="7" xr:uid="{00000000-0005-0000-0000-000006000000}"/>
    <cellStyle name="20% - 强调文字颜色 2" xfId="8" xr:uid="{00000000-0005-0000-0000-000007000000}"/>
    <cellStyle name="20% - 强调文字颜色 3" xfId="9" xr:uid="{00000000-0005-0000-0000-000008000000}"/>
    <cellStyle name="20% - 强调文字颜色 4" xfId="10" xr:uid="{00000000-0005-0000-0000-000009000000}"/>
    <cellStyle name="20% - 强调文字颜色 5" xfId="11" xr:uid="{00000000-0005-0000-0000-00000A000000}"/>
    <cellStyle name="20% - 强调文字颜色 6" xfId="12" xr:uid="{00000000-0005-0000-0000-00000B000000}"/>
    <cellStyle name="40% - Accent1" xfId="41" xr:uid="{00000000-0005-0000-0000-00000C000000}"/>
    <cellStyle name="40% - Accent1 2" xfId="90" xr:uid="{0CE6B406-423C-4793-9790-BEDCFB206BF8}"/>
    <cellStyle name="40% - Accent2" xfId="42" xr:uid="{00000000-0005-0000-0000-00000D000000}"/>
    <cellStyle name="40% - Accent2 2" xfId="91" xr:uid="{AE097659-6F88-40DF-BC4C-36BBB442FC32}"/>
    <cellStyle name="40% - Accent3" xfId="43" xr:uid="{00000000-0005-0000-0000-00000E000000}"/>
    <cellStyle name="40% - Accent3 2" xfId="92" xr:uid="{E2E7CF42-3006-4954-8C6B-EE9B29A1EFA9}"/>
    <cellStyle name="40% - Accent4" xfId="44" xr:uid="{00000000-0005-0000-0000-00000F000000}"/>
    <cellStyle name="40% - Accent4 2" xfId="93" xr:uid="{4B390DB4-EE3A-4A30-ACFD-9D8B7F8C1EDA}"/>
    <cellStyle name="40% - Accent5" xfId="45" xr:uid="{00000000-0005-0000-0000-000010000000}"/>
    <cellStyle name="40% - Accent5 2" xfId="94" xr:uid="{5EC533A0-7E7C-4684-B081-48AC3A22287D}"/>
    <cellStyle name="40% - Accent6" xfId="46" xr:uid="{00000000-0005-0000-0000-000011000000}"/>
    <cellStyle name="40% - Accent6 2" xfId="95" xr:uid="{73E2A700-A354-42C2-AB83-BAF5F3A5E2F8}"/>
    <cellStyle name="40% - 强调文字颜色 1" xfId="13" xr:uid="{00000000-0005-0000-0000-000012000000}"/>
    <cellStyle name="40% - 强调文字颜色 2" xfId="14" xr:uid="{00000000-0005-0000-0000-000013000000}"/>
    <cellStyle name="40% - 强调文字颜色 3" xfId="15" xr:uid="{00000000-0005-0000-0000-000014000000}"/>
    <cellStyle name="40% - 强调文字颜色 4" xfId="16" xr:uid="{00000000-0005-0000-0000-000015000000}"/>
    <cellStyle name="40% - 强调文字颜色 5" xfId="17" xr:uid="{00000000-0005-0000-0000-000016000000}"/>
    <cellStyle name="40% - 强调文字颜色 6" xfId="18" xr:uid="{00000000-0005-0000-0000-000017000000}"/>
    <cellStyle name="60% - Accent1" xfId="47" xr:uid="{00000000-0005-0000-0000-000018000000}"/>
    <cellStyle name="60% - Accent1 2" xfId="96" xr:uid="{6CF601B6-A4F4-4BF8-8AD7-476E382FD552}"/>
    <cellStyle name="60% - Accent2" xfId="48" xr:uid="{00000000-0005-0000-0000-000019000000}"/>
    <cellStyle name="60% - Accent2 2" xfId="97" xr:uid="{2EB1946E-F7BB-4FEB-B2DB-FB57992B2458}"/>
    <cellStyle name="60% - Accent3" xfId="49" xr:uid="{00000000-0005-0000-0000-00001A000000}"/>
    <cellStyle name="60% - Accent3 2" xfId="98" xr:uid="{52F4BB33-84E9-42A8-9933-FDA2E2B8CD6C}"/>
    <cellStyle name="60% - Accent4" xfId="50" xr:uid="{00000000-0005-0000-0000-00001B000000}"/>
    <cellStyle name="60% - Accent4 2" xfId="99" xr:uid="{A4C09859-5131-47B2-BD68-46B696D17048}"/>
    <cellStyle name="60% - Accent5" xfId="51" xr:uid="{00000000-0005-0000-0000-00001C000000}"/>
    <cellStyle name="60% - Accent5 2" xfId="100" xr:uid="{23EA29F7-4E80-4E81-8E74-CFB0934F9AFB}"/>
    <cellStyle name="60% - Accent6" xfId="52" xr:uid="{00000000-0005-0000-0000-00001D000000}"/>
    <cellStyle name="60% - Accent6 2" xfId="101" xr:uid="{8ED6A93A-B3A7-4EA7-98EF-3E26CEFF767A}"/>
    <cellStyle name="60% - 强调文字颜色 1" xfId="19" xr:uid="{00000000-0005-0000-0000-00001E000000}"/>
    <cellStyle name="60% - 强调文字颜色 2" xfId="20" xr:uid="{00000000-0005-0000-0000-00001F000000}"/>
    <cellStyle name="60% - 强调文字颜色 3" xfId="21" xr:uid="{00000000-0005-0000-0000-000020000000}"/>
    <cellStyle name="60% - 强调文字颜色 4" xfId="22" xr:uid="{00000000-0005-0000-0000-000021000000}"/>
    <cellStyle name="60% - 强调文字颜色 5" xfId="23" xr:uid="{00000000-0005-0000-0000-000022000000}"/>
    <cellStyle name="60% - 强调文字颜色 6" xfId="24" xr:uid="{00000000-0005-0000-0000-000023000000}"/>
    <cellStyle name="Accent1" xfId="53" xr:uid="{00000000-0005-0000-0000-000024000000}"/>
    <cellStyle name="Accent1 2" xfId="102" xr:uid="{2814745A-DCD4-4D81-B682-C8A8EFA2F8A3}"/>
    <cellStyle name="Accent2" xfId="54" xr:uid="{00000000-0005-0000-0000-000025000000}"/>
    <cellStyle name="Accent2 2" xfId="103" xr:uid="{4723CDDF-F62A-4265-AC0D-48925D743EEB}"/>
    <cellStyle name="Accent3" xfId="55" xr:uid="{00000000-0005-0000-0000-000026000000}"/>
    <cellStyle name="Accent3 2" xfId="104" xr:uid="{CFB02DD8-2F98-40C0-B776-F42FCEFBFA86}"/>
    <cellStyle name="Accent4" xfId="56" xr:uid="{00000000-0005-0000-0000-000027000000}"/>
    <cellStyle name="Accent4 2" xfId="105" xr:uid="{A5809148-0355-42D6-8F87-E2E294D73CB0}"/>
    <cellStyle name="Accent5" xfId="57" xr:uid="{00000000-0005-0000-0000-000028000000}"/>
    <cellStyle name="Accent5 2" xfId="106" xr:uid="{04E8B9E4-5B11-43A1-8C81-4B8A2041F83E}"/>
    <cellStyle name="Accent6" xfId="58" xr:uid="{00000000-0005-0000-0000-000029000000}"/>
    <cellStyle name="Accent6 2" xfId="107" xr:uid="{D27F3387-E46F-4D67-BF17-3633FBED8ADE}"/>
    <cellStyle name="Bad" xfId="59" xr:uid="{00000000-0005-0000-0000-00002A000000}"/>
    <cellStyle name="Bad 2" xfId="1" xr:uid="{00000000-0005-0000-0000-00002B000000}"/>
    <cellStyle name="Bad_表11_Recovery" xfId="76" xr:uid="{00000000-0005-0000-0000-00002C000000}"/>
    <cellStyle name="Calculation" xfId="60" xr:uid="{00000000-0005-0000-0000-00002D000000}"/>
    <cellStyle name="Check Cell" xfId="61" xr:uid="{00000000-0005-0000-0000-00002E000000}"/>
    <cellStyle name="Explanatory Text" xfId="62" xr:uid="{00000000-0005-0000-0000-00002F000000}"/>
    <cellStyle name="Good" xfId="63" xr:uid="{00000000-0005-0000-0000-000030000000}"/>
    <cellStyle name="Good 2" xfId="108" xr:uid="{77615F1D-526B-43BE-81D5-8157029A01B9}"/>
    <cellStyle name="Heading 1" xfId="64" xr:uid="{00000000-0005-0000-0000-000031000000}"/>
    <cellStyle name="Heading 2" xfId="65" xr:uid="{00000000-0005-0000-0000-000032000000}"/>
    <cellStyle name="Heading 3" xfId="66" xr:uid="{00000000-0005-0000-0000-000033000000}"/>
    <cellStyle name="Heading 4" xfId="67" xr:uid="{00000000-0005-0000-0000-000034000000}"/>
    <cellStyle name="Input" xfId="68" xr:uid="{00000000-0005-0000-0000-000035000000}"/>
    <cellStyle name="Linked Cell" xfId="69" xr:uid="{00000000-0005-0000-0000-000036000000}"/>
    <cellStyle name="Neutral" xfId="70" xr:uid="{00000000-0005-0000-0000-000037000000}"/>
    <cellStyle name="Normal 2" xfId="2" xr:uid="{00000000-0005-0000-0000-000038000000}"/>
    <cellStyle name="Normal 3" xfId="3" xr:uid="{00000000-0005-0000-0000-000039000000}"/>
    <cellStyle name="Normal_Gilead Samples 02jan07" xfId="6" xr:uid="{00000000-0005-0000-0000-00003A000000}"/>
    <cellStyle name="Note" xfId="71" xr:uid="{00000000-0005-0000-0000-00003C000000}"/>
    <cellStyle name="Note 2" xfId="109" xr:uid="{FF02D59B-E526-44E4-9E07-315305221B8E}"/>
    <cellStyle name="Output" xfId="72" xr:uid="{00000000-0005-0000-0000-00003D000000}"/>
    <cellStyle name="Percent 2" xfId="4" xr:uid="{00000000-0005-0000-0000-00003E000000}"/>
    <cellStyle name="Title" xfId="73" xr:uid="{00000000-0005-0000-0000-00003F000000}"/>
    <cellStyle name="Total" xfId="74" xr:uid="{00000000-0005-0000-0000-000040000000}"/>
    <cellStyle name="Warning Text" xfId="75" xr:uid="{00000000-0005-0000-0000-000041000000}"/>
    <cellStyle name="百分比" xfId="80" builtinId="5"/>
    <cellStyle name="差_1.1" xfId="25" xr:uid="{00000000-0005-0000-0000-000043000000}"/>
    <cellStyle name="差_1.1 2" xfId="83" xr:uid="{30482614-C05A-49A3-B392-783147A43A1C}"/>
    <cellStyle name="差_表11_Recovery" xfId="77" xr:uid="{00000000-0005-0000-0000-000044000000}"/>
    <cellStyle name="差_表11_Recovery 2" xfId="110" xr:uid="{374A6513-2452-4A2F-8787-B86C81A3A294}"/>
    <cellStyle name="差_表25_干扰" xfId="79" xr:uid="{00000000-0005-0000-0000-000045000000}"/>
    <cellStyle name="差_表25_干扰 2" xfId="111" xr:uid="{D2524481-00E4-4A60-B3C6-0112F0C36FFA}"/>
    <cellStyle name="常规" xfId="0" builtinId="0"/>
    <cellStyle name="常规 2" xfId="27" xr:uid="{00000000-0005-0000-0000-000047000000}"/>
    <cellStyle name="常规 2 2" xfId="5" xr:uid="{00000000-0005-0000-0000-000048000000}"/>
    <cellStyle name="常规_1.1" xfId="26" xr:uid="{00000000-0005-0000-0000-000049000000}"/>
    <cellStyle name="常规_表3_Carryover_1" xfId="82" xr:uid="{29D5C6D8-717B-49F6-B494-143DA2D0C163}"/>
    <cellStyle name="超链接" xfId="81" builtinId="8"/>
    <cellStyle name="好_1.1" xfId="28" xr:uid="{00000000-0005-0000-0000-00004C000000}"/>
    <cellStyle name="好_表11_Recovery" xfId="78" xr:uid="{00000000-0005-0000-0000-00004D000000}"/>
    <cellStyle name="强调文字颜色 1" xfId="29" xr:uid="{00000000-0005-0000-0000-00004E000000}"/>
    <cellStyle name="强调文字颜色 2" xfId="30" xr:uid="{00000000-0005-0000-0000-00004F000000}"/>
    <cellStyle name="强调文字颜色 3" xfId="31" xr:uid="{00000000-0005-0000-0000-000050000000}"/>
    <cellStyle name="强调文字颜色 4" xfId="32" xr:uid="{00000000-0005-0000-0000-000051000000}"/>
    <cellStyle name="强调文字颜色 5" xfId="33" xr:uid="{00000000-0005-0000-0000-000052000000}"/>
    <cellStyle name="强调文字颜色 6" xfId="34" xr:uid="{00000000-0005-0000-0000-00005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DengXian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C61"/>
  <sheetViews>
    <sheetView tabSelected="1" topLeftCell="A7" zoomScaleNormal="100" zoomScaleSheetLayoutView="98" workbookViewId="0">
      <selection activeCell="H26" sqref="H26"/>
    </sheetView>
  </sheetViews>
  <sheetFormatPr defaultColWidth="8.875" defaultRowHeight="19.5" customHeight="1"/>
  <cols>
    <col min="1" max="1" width="34.75" style="10" customWidth="1"/>
    <col min="2" max="2" width="34.875" style="197" customWidth="1"/>
    <col min="3" max="3" width="43.5" style="197" customWidth="1"/>
    <col min="4" max="16384" width="8.875" style="10"/>
  </cols>
  <sheetData>
    <row r="1" spans="1:3" ht="19.5" customHeight="1">
      <c r="A1" s="10" t="s">
        <v>43</v>
      </c>
    </row>
    <row r="3" spans="1:3" ht="19.5" customHeight="1">
      <c r="A3" s="32" t="s">
        <v>1</v>
      </c>
      <c r="B3" s="190" t="s">
        <v>300</v>
      </c>
      <c r="C3" s="190"/>
    </row>
    <row r="4" spans="1:3" ht="19.5" customHeight="1">
      <c r="A4" s="32" t="s">
        <v>0</v>
      </c>
      <c r="B4" s="190" t="s">
        <v>299</v>
      </c>
      <c r="C4" s="190"/>
    </row>
    <row r="5" spans="1:3" ht="40.5" customHeight="1">
      <c r="A5" s="32" t="s">
        <v>8</v>
      </c>
      <c r="B5" s="191" t="s">
        <v>301</v>
      </c>
      <c r="C5" s="192"/>
    </row>
    <row r="6" spans="1:3" ht="19.5" customHeight="1">
      <c r="A6" s="8" t="s">
        <v>9</v>
      </c>
      <c r="B6" s="209" t="s">
        <v>10</v>
      </c>
      <c r="C6" s="209" t="s">
        <v>11</v>
      </c>
    </row>
    <row r="7" spans="1:3" ht="19.5" customHeight="1">
      <c r="A7" s="32" t="s">
        <v>41</v>
      </c>
      <c r="B7" s="213" t="s">
        <v>302</v>
      </c>
      <c r="C7" s="213" t="s">
        <v>303</v>
      </c>
    </row>
    <row r="8" spans="1:3" ht="19.5" customHeight="1">
      <c r="A8" s="32" t="s">
        <v>12</v>
      </c>
      <c r="B8" s="209" t="s">
        <v>39</v>
      </c>
      <c r="C8" s="209" t="s">
        <v>40</v>
      </c>
    </row>
    <row r="9" spans="1:3" ht="19.5" customHeight="1">
      <c r="A9" s="32" t="s">
        <v>13</v>
      </c>
      <c r="B9" s="209" t="s">
        <v>39</v>
      </c>
      <c r="C9" s="209" t="s">
        <v>304</v>
      </c>
    </row>
    <row r="10" spans="1:3" ht="19.5" customHeight="1">
      <c r="A10" s="33" t="s">
        <v>359</v>
      </c>
      <c r="B10" s="190" t="s">
        <v>360</v>
      </c>
      <c r="C10" s="190"/>
    </row>
    <row r="11" spans="1:3" ht="19.5" customHeight="1">
      <c r="A11" s="32" t="s">
        <v>14</v>
      </c>
      <c r="B11" s="190" t="s">
        <v>361</v>
      </c>
      <c r="C11" s="190"/>
    </row>
    <row r="12" spans="1:3" ht="19.5" customHeight="1">
      <c r="A12" s="32" t="s">
        <v>15</v>
      </c>
      <c r="B12" s="190" t="s">
        <v>38</v>
      </c>
      <c r="C12" s="190"/>
    </row>
    <row r="13" spans="1:3" ht="19.5" customHeight="1">
      <c r="A13" s="133" t="s">
        <v>111</v>
      </c>
      <c r="B13" s="190" t="s">
        <v>362</v>
      </c>
      <c r="C13" s="190"/>
    </row>
    <row r="14" spans="1:3" ht="19.5" customHeight="1">
      <c r="A14" s="133"/>
      <c r="B14" s="190" t="s">
        <v>363</v>
      </c>
      <c r="C14" s="190"/>
    </row>
    <row r="15" spans="1:3" ht="19.5" customHeight="1">
      <c r="A15" s="133" t="s">
        <v>16</v>
      </c>
      <c r="B15" s="190" t="s">
        <v>364</v>
      </c>
      <c r="C15" s="190"/>
    </row>
    <row r="16" spans="1:3" ht="19.5" customHeight="1">
      <c r="A16" s="133"/>
      <c r="B16" s="190" t="s">
        <v>306</v>
      </c>
      <c r="C16" s="190"/>
    </row>
    <row r="17" spans="1:3" ht="19.5" customHeight="1">
      <c r="A17" s="133"/>
      <c r="B17" s="191" t="s">
        <v>305</v>
      </c>
      <c r="C17" s="192"/>
    </row>
    <row r="18" spans="1:3" ht="19.5" customHeight="1">
      <c r="A18" s="32" t="s">
        <v>17</v>
      </c>
      <c r="B18" s="191" t="s">
        <v>308</v>
      </c>
      <c r="C18" s="192"/>
    </row>
    <row r="19" spans="1:3" ht="19.5" customHeight="1">
      <c r="A19" s="32" t="s">
        <v>18</v>
      </c>
      <c r="B19" s="190" t="s">
        <v>309</v>
      </c>
      <c r="C19" s="190"/>
    </row>
    <row r="20" spans="1:3" ht="19.5" customHeight="1">
      <c r="A20" s="32" t="s">
        <v>19</v>
      </c>
      <c r="B20" s="190" t="s">
        <v>310</v>
      </c>
      <c r="C20" s="190"/>
    </row>
    <row r="21" spans="1:3" ht="19.5" customHeight="1">
      <c r="A21" s="32" t="s">
        <v>44</v>
      </c>
      <c r="B21" s="190" t="s">
        <v>307</v>
      </c>
      <c r="C21" s="190"/>
    </row>
    <row r="22" spans="1:3" ht="19.5" customHeight="1">
      <c r="A22" s="32" t="s">
        <v>20</v>
      </c>
      <c r="B22" s="191" t="s">
        <v>156</v>
      </c>
      <c r="C22" s="192"/>
    </row>
    <row r="23" spans="1:3" ht="19.5" customHeight="1">
      <c r="A23" s="32" t="s">
        <v>21</v>
      </c>
      <c r="B23" s="190" t="s">
        <v>365</v>
      </c>
      <c r="C23" s="190"/>
    </row>
    <row r="24" spans="1:3" ht="19.5" customHeight="1">
      <c r="A24" s="32" t="s">
        <v>22</v>
      </c>
      <c r="B24" s="190" t="s">
        <v>311</v>
      </c>
      <c r="C24" s="190"/>
    </row>
    <row r="25" spans="1:3" ht="33" customHeight="1">
      <c r="A25" s="32" t="s">
        <v>23</v>
      </c>
      <c r="B25" s="189" t="s">
        <v>353</v>
      </c>
      <c r="C25" s="189"/>
    </row>
    <row r="26" spans="1:3" ht="19.5" customHeight="1">
      <c r="A26" s="32" t="s">
        <v>24</v>
      </c>
      <c r="B26" s="190" t="s">
        <v>29</v>
      </c>
      <c r="C26" s="190"/>
    </row>
    <row r="27" spans="1:3" ht="19.5" customHeight="1">
      <c r="A27" s="32" t="s">
        <v>25</v>
      </c>
      <c r="B27" s="190" t="s">
        <v>101</v>
      </c>
      <c r="C27" s="190"/>
    </row>
    <row r="28" spans="1:3" ht="19.5" customHeight="1">
      <c r="A28" s="32" t="s">
        <v>26</v>
      </c>
      <c r="B28" s="189" t="s">
        <v>312</v>
      </c>
      <c r="C28" s="189"/>
    </row>
    <row r="29" spans="1:3" ht="19.5" customHeight="1">
      <c r="A29" s="32" t="s">
        <v>27</v>
      </c>
      <c r="B29" s="189" t="s">
        <v>313</v>
      </c>
      <c r="C29" s="189"/>
    </row>
    <row r="30" spans="1:3" ht="19.5" customHeight="1">
      <c r="A30" s="32" t="s">
        <v>28</v>
      </c>
      <c r="B30" s="189" t="s">
        <v>313</v>
      </c>
      <c r="C30" s="189"/>
    </row>
    <row r="31" spans="1:3" ht="32.25" customHeight="1">
      <c r="A31" s="32" t="s">
        <v>102</v>
      </c>
      <c r="B31" s="189" t="s">
        <v>314</v>
      </c>
      <c r="C31" s="189"/>
    </row>
    <row r="32" spans="1:3" ht="52.15" customHeight="1">
      <c r="A32" s="33" t="s">
        <v>112</v>
      </c>
      <c r="B32" s="214" t="s">
        <v>366</v>
      </c>
      <c r="C32" s="214"/>
    </row>
    <row r="33" spans="1:3" ht="33.6" customHeight="1">
      <c r="A33" s="32" t="s">
        <v>68</v>
      </c>
      <c r="B33" s="214" t="s">
        <v>367</v>
      </c>
      <c r="C33" s="214"/>
    </row>
    <row r="34" spans="1:3" ht="19.5" customHeight="1">
      <c r="A34" s="32" t="s">
        <v>62</v>
      </c>
      <c r="B34" s="214" t="s">
        <v>368</v>
      </c>
      <c r="C34" s="214"/>
    </row>
    <row r="35" spans="1:3" ht="33.75" customHeight="1">
      <c r="A35" s="32" t="s">
        <v>69</v>
      </c>
      <c r="B35" s="190" t="s">
        <v>354</v>
      </c>
      <c r="C35" s="190"/>
    </row>
    <row r="36" spans="1:3" ht="33.75" customHeight="1">
      <c r="A36" s="32" t="s">
        <v>113</v>
      </c>
      <c r="B36" s="190" t="s">
        <v>355</v>
      </c>
      <c r="C36" s="190"/>
    </row>
    <row r="37" spans="1:3" ht="24.6" customHeight="1">
      <c r="A37" s="32" t="s">
        <v>315</v>
      </c>
      <c r="B37" s="190" t="s">
        <v>369</v>
      </c>
      <c r="C37" s="190"/>
    </row>
    <row r="38" spans="1:3" ht="24" customHeight="1">
      <c r="A38" s="33" t="s">
        <v>370</v>
      </c>
      <c r="B38" s="209" t="s">
        <v>147</v>
      </c>
      <c r="C38" s="210" t="s">
        <v>146</v>
      </c>
    </row>
    <row r="39" spans="1:3" ht="32.1" customHeight="1">
      <c r="A39" s="36" t="s">
        <v>150</v>
      </c>
      <c r="B39" s="211" t="s">
        <v>319</v>
      </c>
      <c r="C39" s="212" t="s">
        <v>320</v>
      </c>
    </row>
    <row r="40" spans="1:3" ht="38.450000000000003" customHeight="1">
      <c r="A40" s="36" t="s">
        <v>151</v>
      </c>
      <c r="B40" s="211" t="s">
        <v>321</v>
      </c>
      <c r="C40" s="212" t="s">
        <v>322</v>
      </c>
    </row>
    <row r="41" spans="1:3" ht="33.950000000000003" customHeight="1">
      <c r="A41" s="36" t="s">
        <v>148</v>
      </c>
      <c r="B41" s="211" t="s">
        <v>323</v>
      </c>
      <c r="C41" s="212" t="s">
        <v>324</v>
      </c>
    </row>
    <row r="42" spans="1:3" ht="40.15" customHeight="1">
      <c r="A42" s="36" t="s">
        <v>149</v>
      </c>
      <c r="B42" s="212" t="s">
        <v>325</v>
      </c>
      <c r="C42" s="212" t="s">
        <v>326</v>
      </c>
    </row>
    <row r="43" spans="1:3" ht="126" customHeight="1">
      <c r="A43" s="32" t="s">
        <v>83</v>
      </c>
      <c r="B43" s="190" t="s">
        <v>328</v>
      </c>
      <c r="C43" s="190"/>
    </row>
    <row r="44" spans="1:3" ht="38.25" customHeight="1">
      <c r="A44" s="32" t="s">
        <v>63</v>
      </c>
      <c r="B44" s="215" t="s">
        <v>327</v>
      </c>
      <c r="C44" s="190"/>
    </row>
    <row r="45" spans="1:3" ht="19.5" customHeight="1">
      <c r="A45" s="32" t="s">
        <v>70</v>
      </c>
      <c r="B45" s="190" t="s">
        <v>352</v>
      </c>
      <c r="C45" s="190"/>
    </row>
    <row r="46" spans="1:3" ht="48" customHeight="1">
      <c r="A46" s="32" t="s">
        <v>64</v>
      </c>
      <c r="B46" s="191" t="s">
        <v>316</v>
      </c>
      <c r="C46" s="192"/>
    </row>
    <row r="47" spans="1:3" ht="39" customHeight="1">
      <c r="A47" s="32" t="s">
        <v>65</v>
      </c>
      <c r="B47" s="191" t="s">
        <v>316</v>
      </c>
      <c r="C47" s="192"/>
    </row>
    <row r="48" spans="1:3" ht="36.75" customHeight="1">
      <c r="A48" s="32" t="s">
        <v>71</v>
      </c>
      <c r="B48" s="190" t="s">
        <v>317</v>
      </c>
      <c r="C48" s="190"/>
    </row>
    <row r="49" spans="1:3" ht="28.5" customHeight="1">
      <c r="A49" s="32" t="s">
        <v>66</v>
      </c>
      <c r="B49" s="190" t="s">
        <v>317</v>
      </c>
      <c r="C49" s="190"/>
    </row>
    <row r="50" spans="1:3" ht="33.75" customHeight="1">
      <c r="A50" s="32" t="s">
        <v>72</v>
      </c>
      <c r="B50" s="190" t="s">
        <v>371</v>
      </c>
      <c r="C50" s="190"/>
    </row>
    <row r="51" spans="1:3" ht="42.6" customHeight="1">
      <c r="A51" s="32" t="s">
        <v>67</v>
      </c>
      <c r="B51" s="190" t="s">
        <v>372</v>
      </c>
      <c r="C51" s="190"/>
    </row>
    <row r="52" spans="1:3" ht="43.15" customHeight="1">
      <c r="A52" s="32" t="s">
        <v>73</v>
      </c>
      <c r="B52" s="190" t="s">
        <v>373</v>
      </c>
      <c r="C52" s="190"/>
    </row>
    <row r="53" spans="1:3" ht="33.6" customHeight="1">
      <c r="A53" s="32" t="s">
        <v>74</v>
      </c>
      <c r="B53" s="190" t="s">
        <v>374</v>
      </c>
      <c r="C53" s="190"/>
    </row>
    <row r="54" spans="1:3" ht="37.9" customHeight="1">
      <c r="A54" s="32" t="s">
        <v>75</v>
      </c>
      <c r="B54" s="190" t="s">
        <v>375</v>
      </c>
      <c r="C54" s="190"/>
    </row>
    <row r="55" spans="1:3" ht="19.5" customHeight="1">
      <c r="A55" s="32" t="s">
        <v>76</v>
      </c>
      <c r="B55" s="190" t="s">
        <v>376</v>
      </c>
      <c r="C55" s="190"/>
    </row>
    <row r="56" spans="1:3" ht="19.5" customHeight="1">
      <c r="A56" s="32" t="s">
        <v>42</v>
      </c>
      <c r="B56" s="190" t="s">
        <v>318</v>
      </c>
      <c r="C56" s="190"/>
    </row>
    <row r="59" spans="1:3" ht="19.5" customHeight="1">
      <c r="A59" s="4"/>
    </row>
    <row r="60" spans="1:3" ht="19.5" customHeight="1">
      <c r="A60" s="4"/>
    </row>
    <row r="61" spans="1:3" ht="19.5" customHeight="1">
      <c r="A61" s="4"/>
    </row>
  </sheetData>
  <mergeCells count="47">
    <mergeCell ref="B18:C18"/>
    <mergeCell ref="B24:C24"/>
    <mergeCell ref="B48:C48"/>
    <mergeCell ref="B19:C19"/>
    <mergeCell ref="B20:C20"/>
    <mergeCell ref="B22:C22"/>
    <mergeCell ref="B23:C23"/>
    <mergeCell ref="B21:C21"/>
    <mergeCell ref="B46:C46"/>
    <mergeCell ref="B47:C47"/>
    <mergeCell ref="B25:C25"/>
    <mergeCell ref="B26:C26"/>
    <mergeCell ref="B36:C36"/>
    <mergeCell ref="B27:C27"/>
    <mergeCell ref="B28:C28"/>
    <mergeCell ref="B29:C29"/>
    <mergeCell ref="B12:C12"/>
    <mergeCell ref="B3:C3"/>
    <mergeCell ref="B4:C4"/>
    <mergeCell ref="B5:C5"/>
    <mergeCell ref="B10:C10"/>
    <mergeCell ref="B11:C11"/>
    <mergeCell ref="A13:A14"/>
    <mergeCell ref="B13:C13"/>
    <mergeCell ref="B14:C14"/>
    <mergeCell ref="A15:A17"/>
    <mergeCell ref="B15:C15"/>
    <mergeCell ref="B16:C16"/>
    <mergeCell ref="B17:C17"/>
    <mergeCell ref="B30:C30"/>
    <mergeCell ref="B35:C35"/>
    <mergeCell ref="B31:C31"/>
    <mergeCell ref="B32:C32"/>
    <mergeCell ref="B45:C45"/>
    <mergeCell ref="B43:C43"/>
    <mergeCell ref="B44:C44"/>
    <mergeCell ref="B33:C33"/>
    <mergeCell ref="B34:C34"/>
    <mergeCell ref="B37:C37"/>
    <mergeCell ref="B55:C55"/>
    <mergeCell ref="B56:C56"/>
    <mergeCell ref="B49:C49"/>
    <mergeCell ref="B50:C50"/>
    <mergeCell ref="B51:C51"/>
    <mergeCell ref="B52:C52"/>
    <mergeCell ref="B53:C53"/>
    <mergeCell ref="B54:C54"/>
  </mergeCells>
  <phoneticPr fontId="4" type="noConversion"/>
  <printOptions headings="1" gridLines="1"/>
  <pageMargins left="0.70866141732283472" right="0.70866141732283472" top="0.74803149606299213" bottom="0.74803149606299213" header="0.31496062992125984" footer="0.31496062992125984"/>
  <pageSetup scale="49" orientation="portrait" r:id="rId1"/>
  <headerFooter>
    <oddHeader>&amp;C 1632MV7生物分析方法学验证数据</oddHeader>
    <oddFooter>&amp;C第&amp;P页，共&amp;N页</oddFooter>
  </headerFooter>
  <rowBreaks count="1" manualBreakCount="1">
    <brk id="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pageSetUpPr fitToPage="1"/>
  </sheetPr>
  <dimension ref="A2:B11"/>
  <sheetViews>
    <sheetView zoomScaleNormal="100" zoomScaleSheetLayoutView="100" workbookViewId="0">
      <selection activeCell="P16" sqref="P16"/>
    </sheetView>
  </sheetViews>
  <sheetFormatPr defaultColWidth="8.875" defaultRowHeight="13.5"/>
  <cols>
    <col min="1" max="1" width="21" style="6" customWidth="1"/>
    <col min="2" max="2" width="29.375" style="6" customWidth="1"/>
    <col min="3" max="16384" width="8.875" style="6"/>
  </cols>
  <sheetData>
    <row r="2" spans="1:2">
      <c r="A2" s="11" t="s">
        <v>59</v>
      </c>
    </row>
    <row r="3" spans="1:2">
      <c r="A3" s="11"/>
    </row>
    <row r="4" spans="1:2" ht="15" customHeight="1">
      <c r="A4" s="66" t="s">
        <v>137</v>
      </c>
      <c r="B4" s="66" t="s">
        <v>193</v>
      </c>
    </row>
    <row r="5" spans="1:2" ht="15" customHeight="1">
      <c r="A5" s="66" t="s">
        <v>138</v>
      </c>
      <c r="B5" s="66" t="s">
        <v>329</v>
      </c>
    </row>
    <row r="6" spans="1:2" ht="15" customHeight="1">
      <c r="A6" s="66" t="s">
        <v>139</v>
      </c>
      <c r="B6" s="66" t="s">
        <v>330</v>
      </c>
    </row>
    <row r="7" spans="1:2" ht="15" customHeight="1">
      <c r="A7" s="66" t="s">
        <v>140</v>
      </c>
      <c r="B7" s="66">
        <v>250102</v>
      </c>
    </row>
    <row r="8" spans="1:2" ht="15" customHeight="1">
      <c r="A8" s="66" t="s">
        <v>141</v>
      </c>
      <c r="B8" s="67">
        <v>0.91300000000000003</v>
      </c>
    </row>
    <row r="9" spans="1:2" ht="15" customHeight="1">
      <c r="A9" s="66" t="s">
        <v>331</v>
      </c>
      <c r="B9" s="66" t="s">
        <v>194</v>
      </c>
    </row>
    <row r="10" spans="1:2" ht="15" customHeight="1">
      <c r="A10" s="66" t="s">
        <v>195</v>
      </c>
      <c r="B10" s="68">
        <v>46041</v>
      </c>
    </row>
    <row r="11" spans="1:2" ht="15" customHeight="1">
      <c r="A11" s="66" t="s">
        <v>142</v>
      </c>
      <c r="B11" s="66" t="s">
        <v>196</v>
      </c>
    </row>
  </sheetData>
  <phoneticPr fontId="4" type="noConversion"/>
  <printOptions headings="1" gridLines="1"/>
  <pageMargins left="0.70866141732283472" right="0.70866141732283472" top="0.74803149606299213" bottom="0.74803149606299213" header="0.31496062992125984" footer="0.31496062992125984"/>
  <pageSetup orientation="portrait" r:id="rId1"/>
  <headerFooter>
    <oddHeader>&amp;C 1632MV7生物分析方法学验证数据</oddHeader>
    <oddFooter>&amp;C第&amp;P页，共&amp;N页</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A2:B13"/>
  <sheetViews>
    <sheetView zoomScaleNormal="100" zoomScaleSheetLayoutView="100" workbookViewId="0">
      <selection activeCell="E13" sqref="E13"/>
    </sheetView>
  </sheetViews>
  <sheetFormatPr defaultColWidth="8.875" defaultRowHeight="13.5"/>
  <cols>
    <col min="1" max="1" width="21" style="6" customWidth="1"/>
    <col min="2" max="2" width="30.875" style="6" customWidth="1"/>
    <col min="3" max="3" width="29.375" style="6" customWidth="1"/>
    <col min="4" max="16384" width="8.875" style="6"/>
  </cols>
  <sheetData>
    <row r="2" spans="1:2">
      <c r="A2" s="11" t="s">
        <v>60</v>
      </c>
    </row>
    <row r="3" spans="1:2" ht="15">
      <c r="B3" s="2"/>
    </row>
    <row r="4" spans="1:2" ht="15.75" customHeight="1">
      <c r="A4" s="66" t="s">
        <v>137</v>
      </c>
      <c r="B4" s="66" t="s">
        <v>197</v>
      </c>
    </row>
    <row r="5" spans="1:2" ht="15.75" customHeight="1">
      <c r="A5" s="66" t="s">
        <v>138</v>
      </c>
      <c r="B5" s="66" t="s">
        <v>332</v>
      </c>
    </row>
    <row r="6" spans="1:2" ht="15.75" customHeight="1">
      <c r="A6" s="66" t="s">
        <v>139</v>
      </c>
      <c r="B6" s="66" t="s">
        <v>333</v>
      </c>
    </row>
    <row r="7" spans="1:2" ht="15.75" customHeight="1">
      <c r="A7" s="66" t="s">
        <v>140</v>
      </c>
      <c r="B7" s="66" t="s">
        <v>334</v>
      </c>
    </row>
    <row r="8" spans="1:2" ht="15.75" customHeight="1">
      <c r="A8" s="76" t="s">
        <v>335</v>
      </c>
      <c r="B8" s="67" t="s">
        <v>336</v>
      </c>
    </row>
    <row r="9" spans="1:2" ht="15.75" customHeight="1">
      <c r="A9" s="70" t="s">
        <v>337</v>
      </c>
      <c r="B9" s="77" t="s">
        <v>338</v>
      </c>
    </row>
    <row r="10" spans="1:2" ht="15.75" customHeight="1">
      <c r="A10" s="66" t="s">
        <v>195</v>
      </c>
      <c r="B10" s="68">
        <v>46114</v>
      </c>
    </row>
    <row r="11" spans="1:2" ht="15.75" customHeight="1">
      <c r="A11" s="66" t="s">
        <v>142</v>
      </c>
      <c r="B11" s="66" t="s">
        <v>198</v>
      </c>
    </row>
    <row r="13" spans="1:2">
      <c r="A13" s="6" t="s">
        <v>199</v>
      </c>
    </row>
  </sheetData>
  <phoneticPr fontId="20" type="noConversion"/>
  <printOptions headings="1" gridLines="1"/>
  <pageMargins left="0.70866141732283472" right="0.70866141732283472" top="0.74803149606299213" bottom="0.74803149606299213" header="0.31496062992125984" footer="0.31496062992125984"/>
  <pageSetup orientation="portrait" r:id="rId1"/>
  <headerFooter>
    <oddHeader>&amp;C 1632MV7生物分析方法学验证数据</oddHeader>
    <oddFooter>&amp;C第&amp;P页，共&amp;N页</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pageSetUpPr fitToPage="1"/>
  </sheetPr>
  <dimension ref="A1:C59"/>
  <sheetViews>
    <sheetView zoomScaleNormal="100" zoomScaleSheetLayoutView="115" workbookViewId="0">
      <selection activeCell="I38" sqref="I38"/>
    </sheetView>
  </sheetViews>
  <sheetFormatPr defaultColWidth="9" defaultRowHeight="13.5"/>
  <cols>
    <col min="1" max="1" width="27.375" style="3" customWidth="1"/>
    <col min="2" max="2" width="28.5" style="3" customWidth="1"/>
    <col min="3" max="3" width="25.125" style="3" customWidth="1"/>
    <col min="4" max="4" width="16.5" style="3" customWidth="1"/>
    <col min="5" max="16384" width="9" style="3"/>
  </cols>
  <sheetData>
    <row r="1" spans="1:3" ht="15" customHeight="1"/>
    <row r="2" spans="1:3" ht="15" customHeight="1">
      <c r="A2" s="3" t="s">
        <v>61</v>
      </c>
    </row>
    <row r="3" spans="1:3" ht="15" customHeight="1"/>
    <row r="4" spans="1:3">
      <c r="A4" s="37" t="s">
        <v>153</v>
      </c>
      <c r="B4" s="37" t="s">
        <v>154</v>
      </c>
      <c r="C4" s="20" t="s">
        <v>155</v>
      </c>
    </row>
    <row r="5" spans="1:3" ht="15.75" customHeight="1">
      <c r="A5" s="59" t="s">
        <v>179</v>
      </c>
      <c r="B5" s="61" t="s">
        <v>180</v>
      </c>
      <c r="C5" s="62" t="s">
        <v>339</v>
      </c>
    </row>
    <row r="6" spans="1:3" ht="15.75" customHeight="1">
      <c r="A6" s="59" t="s">
        <v>181</v>
      </c>
      <c r="B6" s="61" t="s">
        <v>180</v>
      </c>
      <c r="C6" s="62" t="s">
        <v>339</v>
      </c>
    </row>
    <row r="7" spans="1:3" ht="15.75" customHeight="1">
      <c r="A7" s="59" t="s">
        <v>182</v>
      </c>
      <c r="B7" s="61" t="s">
        <v>180</v>
      </c>
      <c r="C7" s="62" t="s">
        <v>339</v>
      </c>
    </row>
    <row r="8" spans="1:3" ht="15.75" customHeight="1">
      <c r="A8" s="59" t="s">
        <v>183</v>
      </c>
      <c r="B8" s="61" t="s">
        <v>180</v>
      </c>
      <c r="C8" s="62" t="s">
        <v>339</v>
      </c>
    </row>
    <row r="9" spans="1:3" ht="15.75" customHeight="1">
      <c r="A9" s="59" t="s">
        <v>184</v>
      </c>
      <c r="B9" s="61" t="s">
        <v>180</v>
      </c>
      <c r="C9" s="62" t="s">
        <v>339</v>
      </c>
    </row>
    <row r="10" spans="1:3" ht="15.75" customHeight="1">
      <c r="A10" s="59" t="s">
        <v>340</v>
      </c>
      <c r="B10" s="61" t="s">
        <v>185</v>
      </c>
      <c r="C10" s="62" t="s">
        <v>341</v>
      </c>
    </row>
    <row r="11" spans="1:3" ht="15.75" customHeight="1">
      <c r="A11" s="59" t="s">
        <v>186</v>
      </c>
      <c r="B11" s="61" t="s">
        <v>342</v>
      </c>
      <c r="C11" s="62" t="s">
        <v>339</v>
      </c>
    </row>
    <row r="12" spans="1:3">
      <c r="A12" s="59" t="s">
        <v>187</v>
      </c>
      <c r="B12" s="61" t="s">
        <v>185</v>
      </c>
      <c r="C12" s="62" t="s">
        <v>343</v>
      </c>
    </row>
    <row r="13" spans="1:3">
      <c r="A13" s="59" t="s">
        <v>188</v>
      </c>
      <c r="B13" s="62" t="s">
        <v>344</v>
      </c>
      <c r="C13" s="62" t="s">
        <v>345</v>
      </c>
    </row>
    <row r="14" spans="1:3" ht="15">
      <c r="A14" s="59" t="s">
        <v>346</v>
      </c>
      <c r="B14" s="62" t="s">
        <v>344</v>
      </c>
      <c r="C14" s="62" t="s">
        <v>339</v>
      </c>
    </row>
    <row r="15" spans="1:3">
      <c r="A15" s="59" t="s">
        <v>189</v>
      </c>
      <c r="B15" s="64" t="s">
        <v>190</v>
      </c>
      <c r="C15" s="63">
        <v>0.99990000000000001</v>
      </c>
    </row>
    <row r="16" spans="1:3">
      <c r="A16" s="59" t="s">
        <v>191</v>
      </c>
      <c r="B16" s="61" t="s">
        <v>342</v>
      </c>
      <c r="C16" s="62" t="s">
        <v>347</v>
      </c>
    </row>
    <row r="17" spans="1:3">
      <c r="A17" s="60" t="s">
        <v>348</v>
      </c>
      <c r="B17" s="61" t="s">
        <v>342</v>
      </c>
      <c r="C17" s="62" t="s">
        <v>339</v>
      </c>
    </row>
    <row r="58" spans="2:2">
      <c r="B58" s="6"/>
    </row>
    <row r="59" spans="2:2">
      <c r="B59" s="6"/>
    </row>
  </sheetData>
  <phoneticPr fontId="20" type="noConversion"/>
  <printOptions headings="1" gridLines="1"/>
  <pageMargins left="0.70866141732283472" right="0.70866141732283472" top="0.74803149606299213" bottom="0.74803149606299213" header="0.31496062992125984" footer="0.31496062992125984"/>
  <pageSetup orientation="portrait" r:id="rId1"/>
  <headerFooter>
    <oddHeader>&amp;C 1632MV7生物分析方法学验证数据</oddHeader>
    <oddFooter>&amp;C第&amp;P页，共&amp;N页</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D6"/>
  <sheetViews>
    <sheetView workbookViewId="0">
      <selection activeCell="A5" sqref="A5"/>
    </sheetView>
  </sheetViews>
  <sheetFormatPr defaultRowHeight="15.75" customHeight="1"/>
  <cols>
    <col min="1" max="1" width="21" customWidth="1"/>
    <col min="2" max="2" width="35.375" customWidth="1"/>
    <col min="3" max="3" width="18" customWidth="1"/>
    <col min="4" max="4" width="18.75" customWidth="1"/>
  </cols>
  <sheetData>
    <row r="1" spans="1:4" ht="15.75" customHeight="1">
      <c r="A1" s="2" t="s">
        <v>162</v>
      </c>
      <c r="B1" s="41"/>
    </row>
    <row r="3" spans="1:4" s="3" customFormat="1" ht="15.75" customHeight="1">
      <c r="A3" s="73" t="s">
        <v>292</v>
      </c>
      <c r="B3" s="73" t="s">
        <v>293</v>
      </c>
      <c r="C3" s="73" t="s">
        <v>294</v>
      </c>
      <c r="D3" s="73" t="s">
        <v>295</v>
      </c>
    </row>
    <row r="4" spans="1:4" s="3" customFormat="1" ht="15.75" customHeight="1">
      <c r="A4" s="73" t="s">
        <v>296</v>
      </c>
      <c r="B4" s="73" t="s">
        <v>297</v>
      </c>
      <c r="C4" s="73" t="s">
        <v>289</v>
      </c>
      <c r="D4" s="71">
        <v>45772</v>
      </c>
    </row>
    <row r="5" spans="1:4" s="3" customFormat="1" ht="15.75" customHeight="1">
      <c r="A5" s="73" t="s">
        <v>298</v>
      </c>
      <c r="B5" s="73" t="s">
        <v>297</v>
      </c>
      <c r="C5" s="73" t="s">
        <v>290</v>
      </c>
      <c r="D5" s="71">
        <v>45789</v>
      </c>
    </row>
    <row r="6" spans="1:4" s="3" customFormat="1" ht="15.75" customHeight="1">
      <c r="A6" s="73" t="s">
        <v>298</v>
      </c>
      <c r="B6" s="73" t="s">
        <v>297</v>
      </c>
      <c r="C6" s="73" t="s">
        <v>291</v>
      </c>
      <c r="D6" s="71">
        <v>45803</v>
      </c>
    </row>
  </sheetData>
  <phoneticPr fontId="20"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2:C18"/>
  <sheetViews>
    <sheetView zoomScaleNormal="100" zoomScaleSheetLayoutView="100" workbookViewId="0">
      <selection activeCell="D29" sqref="D29"/>
    </sheetView>
  </sheetViews>
  <sheetFormatPr defaultColWidth="8.875" defaultRowHeight="16.5" customHeight="1"/>
  <cols>
    <col min="1" max="1" width="23.375" style="17" customWidth="1"/>
    <col min="2" max="2" width="26.125" style="17" customWidth="1"/>
    <col min="3" max="3" width="30.75" style="17" customWidth="1"/>
    <col min="4" max="16384" width="8.875" style="17"/>
  </cols>
  <sheetData>
    <row r="2" spans="1:3" ht="16.5" customHeight="1">
      <c r="A2" s="38" t="s">
        <v>163</v>
      </c>
    </row>
    <row r="4" spans="1:3" ht="15.75" customHeight="1">
      <c r="A4" s="39" t="s">
        <v>157</v>
      </c>
      <c r="B4" s="39" t="s">
        <v>158</v>
      </c>
      <c r="C4" s="39" t="s">
        <v>159</v>
      </c>
    </row>
    <row r="5" spans="1:3" ht="15.75" customHeight="1">
      <c r="A5" s="137" t="s">
        <v>160</v>
      </c>
      <c r="B5" s="40">
        <v>45792</v>
      </c>
      <c r="C5" s="136" t="s">
        <v>288</v>
      </c>
    </row>
    <row r="6" spans="1:3" ht="15.75" customHeight="1">
      <c r="A6" s="137"/>
      <c r="B6" s="40">
        <v>45793</v>
      </c>
      <c r="C6" s="136"/>
    </row>
    <row r="7" spans="1:3" ht="15.75" customHeight="1">
      <c r="A7" s="137"/>
      <c r="B7" s="40">
        <v>45805</v>
      </c>
      <c r="C7" s="136"/>
    </row>
    <row r="8" spans="1:3" ht="15.75" customHeight="1">
      <c r="A8" s="137"/>
      <c r="B8" s="40">
        <v>45811</v>
      </c>
      <c r="C8" s="136"/>
    </row>
    <row r="9" spans="1:3" ht="15.75" customHeight="1">
      <c r="A9" s="137"/>
      <c r="B9" s="40">
        <v>45818</v>
      </c>
      <c r="C9" s="136"/>
    </row>
    <row r="10" spans="1:3" ht="15.75" customHeight="1">
      <c r="A10" s="137"/>
      <c r="B10" s="40">
        <v>45897</v>
      </c>
      <c r="C10" s="136"/>
    </row>
    <row r="11" spans="1:3" ht="15.75" customHeight="1">
      <c r="A11" s="137"/>
      <c r="B11" s="40">
        <v>45898</v>
      </c>
      <c r="C11" s="136"/>
    </row>
    <row r="12" spans="1:3" ht="15.75" customHeight="1">
      <c r="A12" s="138" t="s">
        <v>161</v>
      </c>
      <c r="B12" s="40">
        <v>45792</v>
      </c>
      <c r="C12" s="136" t="s">
        <v>288</v>
      </c>
    </row>
    <row r="13" spans="1:3" ht="15.75" customHeight="1">
      <c r="A13" s="139"/>
      <c r="B13" s="40">
        <v>45793</v>
      </c>
      <c r="C13" s="136"/>
    </row>
    <row r="14" spans="1:3" ht="16.5" customHeight="1">
      <c r="A14" s="139"/>
      <c r="B14" s="40">
        <v>45805</v>
      </c>
      <c r="C14" s="136"/>
    </row>
    <row r="15" spans="1:3" ht="16.5" customHeight="1">
      <c r="A15" s="139"/>
      <c r="B15" s="40">
        <v>45811</v>
      </c>
      <c r="C15" s="136"/>
    </row>
    <row r="16" spans="1:3" ht="16.5" customHeight="1">
      <c r="A16" s="139"/>
      <c r="B16" s="40">
        <v>45818</v>
      </c>
      <c r="C16" s="136"/>
    </row>
    <row r="17" spans="1:3" ht="16.5" customHeight="1">
      <c r="A17" s="139"/>
      <c r="B17" s="40">
        <v>45897</v>
      </c>
      <c r="C17" s="136"/>
    </row>
    <row r="18" spans="1:3" ht="16.5" customHeight="1">
      <c r="A18" s="140"/>
      <c r="B18" s="40">
        <v>45898</v>
      </c>
      <c r="C18" s="136"/>
    </row>
  </sheetData>
  <mergeCells count="4">
    <mergeCell ref="C5:C11"/>
    <mergeCell ref="A5:A11"/>
    <mergeCell ref="C12:C18"/>
    <mergeCell ref="A12:A18"/>
  </mergeCells>
  <phoneticPr fontId="20" type="noConversion"/>
  <printOptions headings="1" gridLines="1"/>
  <pageMargins left="0.70866141732283472" right="0.70866141732283472" top="0.74803149606299213" bottom="0.74803149606299213" header="0.31496062992125984" footer="0.31496062992125984"/>
  <pageSetup scale="89" orientation="landscape" r:id="rId1"/>
  <headerFooter>
    <oddHeader>&amp;C18903MV01验证数据汇总</oddHeader>
    <oddFooter>&amp;C第&amp;P页，共&amp;N页</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2:H27"/>
  <sheetViews>
    <sheetView zoomScaleNormal="100" zoomScaleSheetLayoutView="100" workbookViewId="0">
      <selection activeCell="G13" sqref="G13"/>
    </sheetView>
  </sheetViews>
  <sheetFormatPr defaultColWidth="8.875" defaultRowHeight="13.5"/>
  <cols>
    <col min="1" max="1" width="7.875" style="6" customWidth="1"/>
    <col min="2" max="2" width="43.75" style="6" customWidth="1"/>
    <col min="3" max="3" width="12.25" style="6" customWidth="1"/>
    <col min="4" max="4" width="13.25" style="6" customWidth="1"/>
    <col min="5" max="5" width="13.875" style="13" customWidth="1"/>
    <col min="6" max="6" width="13.875" style="6" customWidth="1"/>
    <col min="7" max="7" width="8.875" style="6"/>
    <col min="8" max="8" width="9.625" style="6" bestFit="1" customWidth="1"/>
    <col min="9" max="16384" width="8.875" style="6"/>
  </cols>
  <sheetData>
    <row r="2" spans="1:7">
      <c r="A2" s="143" t="s">
        <v>95</v>
      </c>
      <c r="B2" s="143"/>
      <c r="C2" s="9"/>
    </row>
    <row r="3" spans="1:7">
      <c r="A3" s="11"/>
    </row>
    <row r="4" spans="1:7" ht="31.5" customHeight="1">
      <c r="A4" s="34" t="s">
        <v>46</v>
      </c>
      <c r="B4" s="34" t="s">
        <v>47</v>
      </c>
      <c r="C4" s="34" t="s">
        <v>134</v>
      </c>
      <c r="D4" s="34" t="s">
        <v>48</v>
      </c>
      <c r="E4" s="34" t="s">
        <v>200</v>
      </c>
      <c r="F4" s="34" t="s">
        <v>201</v>
      </c>
      <c r="G4" s="35" t="s">
        <v>135</v>
      </c>
    </row>
    <row r="5" spans="1:7" ht="26.25">
      <c r="A5" s="69">
        <v>1</v>
      </c>
      <c r="B5" s="72" t="s">
        <v>202</v>
      </c>
      <c r="C5" s="71">
        <v>45792</v>
      </c>
      <c r="D5" s="71">
        <v>45792</v>
      </c>
      <c r="E5" s="34" t="s">
        <v>203</v>
      </c>
      <c r="F5" s="34" t="s">
        <v>203</v>
      </c>
      <c r="G5" s="55" t="s">
        <v>204</v>
      </c>
    </row>
    <row r="6" spans="1:7" ht="16.5">
      <c r="A6" s="69">
        <v>2</v>
      </c>
      <c r="B6" s="44" t="s">
        <v>205</v>
      </c>
      <c r="C6" s="71">
        <v>45793</v>
      </c>
      <c r="D6" s="71">
        <v>45794</v>
      </c>
      <c r="E6" s="34" t="s">
        <v>206</v>
      </c>
      <c r="F6" s="34" t="s">
        <v>206</v>
      </c>
      <c r="G6" s="55" t="s">
        <v>204</v>
      </c>
    </row>
    <row r="7" spans="1:7" ht="39.75">
      <c r="A7" s="69">
        <v>3</v>
      </c>
      <c r="B7" s="72" t="s">
        <v>207</v>
      </c>
      <c r="C7" s="71">
        <v>45793</v>
      </c>
      <c r="D7" s="71">
        <v>45794</v>
      </c>
      <c r="E7" s="34" t="s">
        <v>208</v>
      </c>
      <c r="F7" s="34" t="s">
        <v>209</v>
      </c>
      <c r="G7" s="55" t="s">
        <v>204</v>
      </c>
    </row>
    <row r="8" spans="1:7" ht="16.5">
      <c r="A8" s="69">
        <v>4</v>
      </c>
      <c r="B8" s="44" t="s">
        <v>205</v>
      </c>
      <c r="C8" s="71">
        <v>45796</v>
      </c>
      <c r="D8" s="71">
        <v>45798</v>
      </c>
      <c r="E8" s="34" t="s">
        <v>210</v>
      </c>
      <c r="F8" s="34" t="s">
        <v>210</v>
      </c>
      <c r="G8" s="55" t="s">
        <v>204</v>
      </c>
    </row>
    <row r="9" spans="1:7" ht="38.25">
      <c r="A9" s="69">
        <v>5</v>
      </c>
      <c r="B9" s="44" t="s">
        <v>211</v>
      </c>
      <c r="C9" s="71">
        <v>45805</v>
      </c>
      <c r="D9" s="71">
        <v>45805</v>
      </c>
      <c r="E9" s="34" t="s">
        <v>212</v>
      </c>
      <c r="F9" s="34" t="s">
        <v>213</v>
      </c>
      <c r="G9" s="55" t="s">
        <v>204</v>
      </c>
    </row>
    <row r="10" spans="1:7" ht="30">
      <c r="A10" s="69">
        <v>6</v>
      </c>
      <c r="B10" s="72" t="s">
        <v>214</v>
      </c>
      <c r="C10" s="71">
        <v>45811</v>
      </c>
      <c r="D10" s="71">
        <v>45811</v>
      </c>
      <c r="E10" s="34" t="s">
        <v>212</v>
      </c>
      <c r="F10" s="34" t="s">
        <v>212</v>
      </c>
      <c r="G10" s="55" t="s">
        <v>204</v>
      </c>
    </row>
    <row r="11" spans="1:7" ht="31.5" customHeight="1">
      <c r="A11" s="69">
        <v>7</v>
      </c>
      <c r="B11" s="72" t="s">
        <v>215</v>
      </c>
      <c r="C11" s="71">
        <v>45818</v>
      </c>
      <c r="D11" s="71">
        <v>45819</v>
      </c>
      <c r="E11" s="34" t="s">
        <v>212</v>
      </c>
      <c r="F11" s="34" t="s">
        <v>212</v>
      </c>
      <c r="G11" s="55" t="s">
        <v>204</v>
      </c>
    </row>
    <row r="12" spans="1:7" ht="31.5" customHeight="1">
      <c r="A12" s="69">
        <v>8</v>
      </c>
      <c r="B12" s="44" t="s">
        <v>221</v>
      </c>
      <c r="C12" s="71">
        <v>45895</v>
      </c>
      <c r="D12" s="71">
        <v>45895</v>
      </c>
      <c r="E12" s="34" t="s">
        <v>210</v>
      </c>
      <c r="F12" s="34" t="s">
        <v>210</v>
      </c>
      <c r="G12" s="55" t="s">
        <v>204</v>
      </c>
    </row>
    <row r="13" spans="1:7" ht="31.5" customHeight="1">
      <c r="A13" s="69">
        <v>9</v>
      </c>
      <c r="B13" s="32" t="s">
        <v>223</v>
      </c>
      <c r="C13" s="71">
        <v>45897</v>
      </c>
      <c r="D13" s="71">
        <v>45897</v>
      </c>
      <c r="E13" s="34" t="s">
        <v>212</v>
      </c>
      <c r="F13" s="34" t="s">
        <v>212</v>
      </c>
      <c r="G13" s="55" t="s">
        <v>204</v>
      </c>
    </row>
    <row r="14" spans="1:7" ht="31.5" customHeight="1">
      <c r="A14" s="69">
        <v>10</v>
      </c>
      <c r="B14" s="44" t="s">
        <v>222</v>
      </c>
      <c r="C14" s="71">
        <v>45898</v>
      </c>
      <c r="D14" s="71">
        <v>45898</v>
      </c>
      <c r="E14" s="34" t="s">
        <v>212</v>
      </c>
      <c r="F14" s="34" t="s">
        <v>212</v>
      </c>
      <c r="G14" s="55" t="s">
        <v>204</v>
      </c>
    </row>
    <row r="15" spans="1:7">
      <c r="A15" s="10" t="s">
        <v>136</v>
      </c>
    </row>
    <row r="16" spans="1:7" ht="14.25" customHeight="1">
      <c r="A16" s="142" t="s">
        <v>216</v>
      </c>
      <c r="B16" s="142"/>
      <c r="C16" s="142"/>
      <c r="D16" s="142"/>
      <c r="E16" s="142"/>
      <c r="F16" s="142"/>
      <c r="G16" s="142"/>
    </row>
    <row r="17" spans="1:8">
      <c r="A17" s="141" t="s">
        <v>349</v>
      </c>
      <c r="B17" s="142"/>
      <c r="C17" s="142"/>
      <c r="D17" s="142"/>
      <c r="E17" s="142"/>
      <c r="F17" s="142"/>
      <c r="G17" s="142"/>
    </row>
    <row r="18" spans="1:8">
      <c r="A18" s="141" t="s">
        <v>217</v>
      </c>
      <c r="B18" s="142"/>
      <c r="C18" s="142"/>
      <c r="D18" s="142"/>
      <c r="E18" s="142"/>
      <c r="F18" s="142"/>
      <c r="G18" s="142"/>
    </row>
    <row r="19" spans="1:8">
      <c r="A19" s="142" t="s">
        <v>218</v>
      </c>
      <c r="B19" s="142"/>
      <c r="C19" s="142"/>
      <c r="D19" s="142"/>
      <c r="E19" s="142"/>
      <c r="F19" s="142"/>
      <c r="G19" s="142"/>
    </row>
    <row r="20" spans="1:8">
      <c r="A20" s="141" t="s">
        <v>219</v>
      </c>
      <c r="B20" s="142"/>
      <c r="C20" s="142"/>
      <c r="D20" s="142"/>
      <c r="E20" s="142"/>
      <c r="F20" s="142"/>
      <c r="G20" s="142"/>
    </row>
    <row r="21" spans="1:8">
      <c r="A21" s="142" t="s">
        <v>220</v>
      </c>
      <c r="B21" s="142"/>
      <c r="C21" s="142"/>
      <c r="D21" s="142"/>
      <c r="E21" s="142"/>
      <c r="F21" s="142"/>
      <c r="G21" s="142"/>
    </row>
    <row r="22" spans="1:8" s="195" customFormat="1">
      <c r="A22" s="207" t="s">
        <v>356</v>
      </c>
      <c r="B22" s="208"/>
      <c r="C22" s="208"/>
      <c r="D22" s="208"/>
      <c r="E22" s="208"/>
      <c r="F22" s="208"/>
      <c r="G22" s="208"/>
    </row>
    <row r="23" spans="1:8" ht="15">
      <c r="B23" s="12"/>
      <c r="C23" s="12"/>
      <c r="D23" s="12"/>
      <c r="E23" s="6"/>
    </row>
    <row r="24" spans="1:8" ht="15">
      <c r="B24" s="12"/>
      <c r="C24" s="12"/>
      <c r="D24" s="12"/>
      <c r="E24" s="12"/>
    </row>
    <row r="25" spans="1:8" ht="15">
      <c r="B25" s="12"/>
      <c r="C25" s="12"/>
      <c r="D25" s="12"/>
      <c r="E25" s="12"/>
      <c r="G25" s="14"/>
      <c r="H25" s="14"/>
    </row>
    <row r="26" spans="1:8" ht="15">
      <c r="B26" s="12"/>
      <c r="C26" s="12"/>
      <c r="D26" s="12"/>
      <c r="E26" s="12"/>
    </row>
    <row r="27" spans="1:8" ht="15">
      <c r="B27" s="12"/>
      <c r="C27" s="12"/>
      <c r="D27" s="12"/>
      <c r="E27" s="12"/>
    </row>
  </sheetData>
  <mergeCells count="8">
    <mergeCell ref="A20:G20"/>
    <mergeCell ref="A21:G21"/>
    <mergeCell ref="A22:G22"/>
    <mergeCell ref="A2:B2"/>
    <mergeCell ref="A16:G16"/>
    <mergeCell ref="A17:G17"/>
    <mergeCell ref="A18:G18"/>
    <mergeCell ref="A19:G19"/>
  </mergeCells>
  <phoneticPr fontId="4" type="noConversion"/>
  <printOptions headings="1" gridLines="1"/>
  <pageMargins left="0.70866141732283472" right="0.70866141732283472" top="0.74803149606299213" bottom="0.74803149606299213" header="0.31496062992125984" footer="0.31496062992125984"/>
  <pageSetup scale="75" orientation="portrait" r:id="rId1"/>
  <headerFooter>
    <oddHeader>&amp;C 1632MV7生物分析方法学验证数据</oddHeader>
    <oddFooter>&amp;C第&amp;P页，共&amp;N页</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pageSetUpPr fitToPage="1"/>
  </sheetPr>
  <dimension ref="A2:D32"/>
  <sheetViews>
    <sheetView zoomScaleNormal="100" zoomScaleSheetLayoutView="100" workbookViewId="0">
      <selection activeCell="B22" sqref="B22:C31"/>
    </sheetView>
  </sheetViews>
  <sheetFormatPr defaultColWidth="8.875" defaultRowHeight="13.5"/>
  <cols>
    <col min="1" max="4" width="17.5" style="5" customWidth="1"/>
    <col min="5" max="8" width="17.625" style="5" customWidth="1"/>
    <col min="9" max="16384" width="8.875" style="5"/>
  </cols>
  <sheetData>
    <row r="2" spans="1:4">
      <c r="A2" s="148" t="s">
        <v>94</v>
      </c>
      <c r="B2" s="148"/>
      <c r="C2" s="148"/>
    </row>
    <row r="4" spans="1:4">
      <c r="A4" s="5" t="s">
        <v>170</v>
      </c>
    </row>
    <row r="5" spans="1:4" ht="16.5" customHeight="1">
      <c r="A5" s="144" t="s">
        <v>46</v>
      </c>
      <c r="B5" s="145" t="s">
        <v>103</v>
      </c>
      <c r="C5" s="146"/>
      <c r="D5" s="147"/>
    </row>
    <row r="6" spans="1:4" ht="16.5" customHeight="1">
      <c r="A6" s="144"/>
      <c r="B6" s="34" t="s">
        <v>133</v>
      </c>
      <c r="C6" s="34" t="s">
        <v>49</v>
      </c>
      <c r="D6" s="20" t="s">
        <v>152</v>
      </c>
    </row>
    <row r="7" spans="1:4" ht="16.5" customHeight="1">
      <c r="A7" s="46">
        <v>1</v>
      </c>
      <c r="B7" s="47">
        <v>0.4</v>
      </c>
      <c r="C7" s="47">
        <v>0</v>
      </c>
      <c r="D7" s="47">
        <v>7.5</v>
      </c>
    </row>
    <row r="8" spans="1:4" ht="16.5" customHeight="1">
      <c r="A8" s="46">
        <v>2</v>
      </c>
      <c r="B8" s="47">
        <v>0.4</v>
      </c>
      <c r="C8" s="47">
        <v>0.4</v>
      </c>
      <c r="D8" s="47">
        <v>12.5</v>
      </c>
    </row>
    <row r="9" spans="1:4" ht="16.5" customHeight="1">
      <c r="A9" s="46">
        <v>3</v>
      </c>
      <c r="B9" s="47">
        <v>0.4</v>
      </c>
      <c r="C9" s="47">
        <v>0.4</v>
      </c>
      <c r="D9" s="47">
        <v>5.9</v>
      </c>
    </row>
    <row r="10" spans="1:4" ht="16.5" customHeight="1">
      <c r="A10" s="46">
        <v>4</v>
      </c>
      <c r="B10" s="47">
        <v>0.4</v>
      </c>
      <c r="C10" s="47">
        <v>0.4</v>
      </c>
      <c r="D10" s="47">
        <v>8.6</v>
      </c>
    </row>
    <row r="11" spans="1:4" ht="16.5" customHeight="1">
      <c r="A11" s="46">
        <v>5</v>
      </c>
      <c r="B11" s="47">
        <v>0</v>
      </c>
      <c r="C11" s="47">
        <v>0</v>
      </c>
      <c r="D11" s="47">
        <v>5</v>
      </c>
    </row>
    <row r="12" spans="1:4" ht="16.5" customHeight="1">
      <c r="A12" s="46">
        <v>6</v>
      </c>
      <c r="B12" s="47">
        <v>0.4</v>
      </c>
      <c r="C12" s="47">
        <v>0</v>
      </c>
      <c r="D12" s="47">
        <v>3.3</v>
      </c>
    </row>
    <row r="13" spans="1:4" ht="16.5" customHeight="1">
      <c r="A13" s="46">
        <v>7</v>
      </c>
      <c r="B13" s="47">
        <v>0.4</v>
      </c>
      <c r="C13" s="47">
        <v>0</v>
      </c>
      <c r="D13" s="47">
        <v>4.8</v>
      </c>
    </row>
    <row r="14" spans="1:4" ht="16.5" customHeight="1">
      <c r="A14" s="46">
        <v>8</v>
      </c>
      <c r="B14" s="47">
        <v>0</v>
      </c>
      <c r="C14" s="47">
        <v>0.4</v>
      </c>
      <c r="D14" s="47">
        <v>2.2000000000000002</v>
      </c>
    </row>
    <row r="15" spans="1:4" ht="16.5" customHeight="1">
      <c r="A15" s="46">
        <v>9</v>
      </c>
      <c r="B15" s="47">
        <v>0.4</v>
      </c>
      <c r="C15" s="47">
        <v>0.4</v>
      </c>
      <c r="D15" s="47">
        <v>2.2000000000000002</v>
      </c>
    </row>
    <row r="16" spans="1:4" ht="16.5" customHeight="1">
      <c r="A16" s="46">
        <v>10</v>
      </c>
      <c r="B16" s="47">
        <v>0.8</v>
      </c>
      <c r="C16" s="47">
        <v>0.4</v>
      </c>
      <c r="D16" s="47">
        <v>2.7</v>
      </c>
    </row>
    <row r="17" spans="1:4">
      <c r="B17" s="97"/>
      <c r="C17" s="97"/>
      <c r="D17" s="97"/>
    </row>
    <row r="19" spans="1:4">
      <c r="A19" s="5" t="s">
        <v>171</v>
      </c>
    </row>
    <row r="20" spans="1:4">
      <c r="A20" s="144" t="s">
        <v>46</v>
      </c>
      <c r="B20" s="145" t="s">
        <v>103</v>
      </c>
      <c r="C20" s="146"/>
      <c r="D20" s="147"/>
    </row>
    <row r="21" spans="1:4">
      <c r="A21" s="144"/>
      <c r="B21" s="34" t="s">
        <v>133</v>
      </c>
      <c r="C21" s="34" t="s">
        <v>49</v>
      </c>
      <c r="D21" s="20" t="s">
        <v>152</v>
      </c>
    </row>
    <row r="22" spans="1:4" ht="15.75">
      <c r="A22" s="46">
        <v>1</v>
      </c>
      <c r="B22" s="47">
        <v>0.3</v>
      </c>
      <c r="C22" s="47">
        <v>0</v>
      </c>
      <c r="D22" s="47">
        <v>5</v>
      </c>
    </row>
    <row r="23" spans="1:4" ht="15.75">
      <c r="A23" s="46">
        <v>2</v>
      </c>
      <c r="B23" s="47">
        <v>0.3</v>
      </c>
      <c r="C23" s="47">
        <v>0.4</v>
      </c>
      <c r="D23" s="47">
        <v>7.4</v>
      </c>
    </row>
    <row r="24" spans="1:4" ht="15.75">
      <c r="A24" s="46">
        <v>3</v>
      </c>
      <c r="B24" s="47">
        <v>0.3</v>
      </c>
      <c r="C24" s="47">
        <v>0.4</v>
      </c>
      <c r="D24" s="47">
        <v>10.8</v>
      </c>
    </row>
    <row r="25" spans="1:4" ht="15.75">
      <c r="A25" s="46">
        <v>4</v>
      </c>
      <c r="B25" s="47">
        <v>0.3</v>
      </c>
      <c r="C25" s="47">
        <v>0.4</v>
      </c>
      <c r="D25" s="47">
        <v>0.9</v>
      </c>
    </row>
    <row r="26" spans="1:4" ht="15.75">
      <c r="A26" s="46">
        <v>5</v>
      </c>
      <c r="B26" s="47">
        <v>0.3</v>
      </c>
      <c r="C26" s="47">
        <v>0</v>
      </c>
      <c r="D26" s="47">
        <v>5.2</v>
      </c>
    </row>
    <row r="27" spans="1:4" ht="15.75">
      <c r="A27" s="46">
        <v>6</v>
      </c>
      <c r="B27" s="47">
        <v>0</v>
      </c>
      <c r="C27" s="47">
        <v>0</v>
      </c>
      <c r="D27" s="47">
        <v>7.3</v>
      </c>
    </row>
    <row r="28" spans="1:4" ht="15.75">
      <c r="A28" s="46">
        <v>7</v>
      </c>
      <c r="B28" s="47">
        <v>0.3</v>
      </c>
      <c r="C28" s="47">
        <v>0</v>
      </c>
      <c r="D28" s="47">
        <v>8.4</v>
      </c>
    </row>
    <row r="29" spans="1:4" ht="15.75">
      <c r="A29" s="46">
        <v>8</v>
      </c>
      <c r="B29" s="47">
        <v>0.3</v>
      </c>
      <c r="C29" s="47">
        <v>0.4</v>
      </c>
      <c r="D29" s="47">
        <v>4.0999999999999996</v>
      </c>
    </row>
    <row r="30" spans="1:4" ht="15.75">
      <c r="A30" s="46">
        <v>9</v>
      </c>
      <c r="B30" s="47">
        <v>0.3</v>
      </c>
      <c r="C30" s="47">
        <v>0.4</v>
      </c>
      <c r="D30" s="47">
        <v>2.5</v>
      </c>
    </row>
    <row r="31" spans="1:4" ht="15.75">
      <c r="A31" s="46">
        <v>10</v>
      </c>
      <c r="B31" s="47">
        <v>0.3</v>
      </c>
      <c r="C31" s="47">
        <v>0.4</v>
      </c>
      <c r="D31" s="47">
        <v>4.0999999999999996</v>
      </c>
    </row>
    <row r="32" spans="1:4">
      <c r="B32" s="97"/>
      <c r="C32" s="97"/>
      <c r="D32" s="97"/>
    </row>
  </sheetData>
  <mergeCells count="5">
    <mergeCell ref="A20:A21"/>
    <mergeCell ref="B20:D20"/>
    <mergeCell ref="A2:C2"/>
    <mergeCell ref="A5:A6"/>
    <mergeCell ref="B5:D5"/>
  </mergeCells>
  <phoneticPr fontId="4" type="noConversion"/>
  <printOptions headings="1" gridLines="1"/>
  <pageMargins left="0.70866141732283472" right="0.70866141732283472" top="0.74803149606299213" bottom="0.74803149606299213" header="0.31496062992125984" footer="0.31496062992125984"/>
  <pageSetup scale="84" orientation="portrait" r:id="rId1"/>
  <headerFooter>
    <oddHeader>&amp;C 1632MV7生物分析方法学验证数据</oddHeader>
    <oddFooter>&amp;C第&amp;P页，共&amp;N页</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pageSetUpPr fitToPage="1"/>
  </sheetPr>
  <dimension ref="A2:I43"/>
  <sheetViews>
    <sheetView zoomScaleNormal="100" zoomScaleSheetLayoutView="100" workbookViewId="0">
      <selection sqref="A1:A1048576"/>
    </sheetView>
  </sheetViews>
  <sheetFormatPr defaultColWidth="8.875" defaultRowHeight="13.5"/>
  <cols>
    <col min="1" max="1" width="9.875" style="195" customWidth="1"/>
    <col min="2" max="2" width="15.125" style="6" customWidth="1"/>
    <col min="3" max="3" width="14.75" style="6" customWidth="1"/>
    <col min="4" max="6" width="11.125" style="6" customWidth="1"/>
    <col min="7" max="7" width="15" style="6" customWidth="1"/>
    <col min="8" max="8" width="9.75" style="6" customWidth="1"/>
    <col min="9" max="9" width="11.875" style="6" customWidth="1"/>
    <col min="10" max="10" width="11.125" style="6" customWidth="1"/>
    <col min="11" max="16384" width="8.875" style="6"/>
  </cols>
  <sheetData>
    <row r="2" spans="1:9" s="5" customFormat="1" ht="18" customHeight="1">
      <c r="A2" s="142" t="s">
        <v>84</v>
      </c>
      <c r="B2" s="142"/>
      <c r="C2" s="142"/>
    </row>
    <row r="3" spans="1:9" s="5" customFormat="1" ht="18" customHeight="1">
      <c r="A3" s="197"/>
      <c r="B3" s="10"/>
      <c r="C3" s="10"/>
    </row>
    <row r="4" spans="1:9" s="5" customFormat="1" ht="18" customHeight="1">
      <c r="A4" s="151" t="s">
        <v>170</v>
      </c>
      <c r="B4" s="151"/>
      <c r="C4" s="151"/>
    </row>
    <row r="5" spans="1:9" ht="70.5" customHeight="1">
      <c r="A5" s="206" t="s">
        <v>131</v>
      </c>
      <c r="B5" s="34" t="s">
        <v>77</v>
      </c>
      <c r="C5" s="34" t="s">
        <v>78</v>
      </c>
      <c r="D5" s="34" t="s">
        <v>164</v>
      </c>
      <c r="E5" s="34" t="s">
        <v>165</v>
      </c>
      <c r="F5" s="42" t="s">
        <v>166</v>
      </c>
      <c r="G5" s="34" t="s">
        <v>174</v>
      </c>
      <c r="H5" s="34" t="s">
        <v>109</v>
      </c>
      <c r="I5" s="34" t="s">
        <v>110</v>
      </c>
    </row>
    <row r="6" spans="1:9" ht="14.25" customHeight="1">
      <c r="A6" s="193">
        <v>1</v>
      </c>
      <c r="B6" s="48">
        <v>299</v>
      </c>
      <c r="C6" s="48">
        <v>1031</v>
      </c>
      <c r="D6" s="48">
        <v>5036</v>
      </c>
      <c r="E6" s="48">
        <v>2668134</v>
      </c>
      <c r="F6" s="152">
        <f>ROUND(AVERAGE(D6:D7),0)</f>
        <v>4243</v>
      </c>
      <c r="G6" s="154">
        <f>ROUND(AVERAGE(E6:E7),0)</f>
        <v>2163610</v>
      </c>
      <c r="H6" s="49">
        <f>ROUND(B6/F6*100,1)</f>
        <v>7</v>
      </c>
      <c r="I6" s="49">
        <f>ROUND(C6/G6*100,1)</f>
        <v>0</v>
      </c>
    </row>
    <row r="7" spans="1:9" ht="14.25" customHeight="1">
      <c r="A7" s="194"/>
      <c r="B7" s="48">
        <v>172</v>
      </c>
      <c r="C7" s="48">
        <v>185</v>
      </c>
      <c r="D7" s="48">
        <v>3450</v>
      </c>
      <c r="E7" s="48">
        <v>1659086</v>
      </c>
      <c r="F7" s="153"/>
      <c r="G7" s="155"/>
      <c r="H7" s="49">
        <f>ROUND(B7/F6*100,1)</f>
        <v>4.0999999999999996</v>
      </c>
      <c r="I7" s="49">
        <f>ROUND(C7/G6*100,1)</f>
        <v>0</v>
      </c>
    </row>
    <row r="8" spans="1:9" ht="14.25" customHeight="1">
      <c r="A8" s="193">
        <v>3</v>
      </c>
      <c r="B8" s="48">
        <v>393</v>
      </c>
      <c r="C8" s="48">
        <v>308</v>
      </c>
      <c r="D8" s="48">
        <v>4540</v>
      </c>
      <c r="E8" s="48">
        <v>1891205</v>
      </c>
      <c r="F8" s="152">
        <f>ROUND(AVERAGE(D8:D9),0)</f>
        <v>3181</v>
      </c>
      <c r="G8" s="154">
        <f>ROUND(AVERAGE(E8:E9),0)</f>
        <v>1306358</v>
      </c>
      <c r="H8" s="49">
        <f>ROUND(B8/F8*100,1)</f>
        <v>12.4</v>
      </c>
      <c r="I8" s="49">
        <f>ROUND(C8/G8*100,1)</f>
        <v>0</v>
      </c>
    </row>
    <row r="9" spans="1:9" ht="14.25" customHeight="1">
      <c r="A9" s="194"/>
      <c r="B9" s="48">
        <v>86</v>
      </c>
      <c r="C9" s="48">
        <v>135</v>
      </c>
      <c r="D9" s="48">
        <v>1822</v>
      </c>
      <c r="E9" s="48">
        <v>721510</v>
      </c>
      <c r="F9" s="153"/>
      <c r="G9" s="155"/>
      <c r="H9" s="49">
        <f>ROUND(B9/F8*100,1)</f>
        <v>2.7</v>
      </c>
      <c r="I9" s="49">
        <f>ROUND(C9/G8*100,1)</f>
        <v>0</v>
      </c>
    </row>
    <row r="10" spans="1:9" ht="14.25" customHeight="1">
      <c r="A10" s="193">
        <v>5</v>
      </c>
      <c r="B10" s="48">
        <v>265</v>
      </c>
      <c r="C10" s="48">
        <v>113</v>
      </c>
      <c r="D10" s="48">
        <v>3741</v>
      </c>
      <c r="E10" s="48">
        <v>1560173</v>
      </c>
      <c r="F10" s="152">
        <f>ROUND(AVERAGE(D10:D11),0)</f>
        <v>3519</v>
      </c>
      <c r="G10" s="154">
        <f>ROUND(AVERAGE(E10:E11),0)</f>
        <v>1529408</v>
      </c>
      <c r="H10" s="49">
        <f>ROUND(B10/F10*100,1)</f>
        <v>7.5</v>
      </c>
      <c r="I10" s="49">
        <f>ROUND(C10/G10*100,1)</f>
        <v>0</v>
      </c>
    </row>
    <row r="11" spans="1:9" ht="14.25" customHeight="1">
      <c r="A11" s="194"/>
      <c r="B11" s="48">
        <v>676</v>
      </c>
      <c r="C11" s="48">
        <v>176</v>
      </c>
      <c r="D11" s="48">
        <v>3297</v>
      </c>
      <c r="E11" s="48">
        <v>1498642</v>
      </c>
      <c r="F11" s="153"/>
      <c r="G11" s="155"/>
      <c r="H11" s="49">
        <f>ROUND(B11/F10*100,1)</f>
        <v>19.2</v>
      </c>
      <c r="I11" s="49">
        <f>ROUND(C11/G10*100,1)</f>
        <v>0</v>
      </c>
    </row>
    <row r="12" spans="1:9" ht="14.25" customHeight="1">
      <c r="A12" s="193" t="s">
        <v>357</v>
      </c>
      <c r="B12" s="48">
        <v>442</v>
      </c>
      <c r="C12" s="48">
        <v>237</v>
      </c>
      <c r="D12" s="48" t="s">
        <v>172</v>
      </c>
      <c r="E12" s="48" t="s">
        <v>173</v>
      </c>
      <c r="F12" s="152">
        <f>ROUND(AVERAGE(D12:D13),0)</f>
        <v>2658</v>
      </c>
      <c r="G12" s="154">
        <f>ROUND(AVERAGE(E12:E13),0)</f>
        <v>1348724</v>
      </c>
      <c r="H12" s="49">
        <f>ROUND(B12/F12*100,1)</f>
        <v>16.600000000000001</v>
      </c>
      <c r="I12" s="49">
        <f>ROUND(C12/G12*100,1)</f>
        <v>0</v>
      </c>
    </row>
    <row r="13" spans="1:9" ht="14.25" customHeight="1">
      <c r="A13" s="194"/>
      <c r="B13" s="48">
        <v>607</v>
      </c>
      <c r="C13" s="48">
        <v>224</v>
      </c>
      <c r="D13" s="48">
        <v>2658</v>
      </c>
      <c r="E13" s="48">
        <v>1348724</v>
      </c>
      <c r="F13" s="153"/>
      <c r="G13" s="155"/>
      <c r="H13" s="49">
        <f>ROUND(B13/F12*100,1)</f>
        <v>22.8</v>
      </c>
      <c r="I13" s="49">
        <f>ROUND(C13/G12*100,1)</f>
        <v>0</v>
      </c>
    </row>
    <row r="14" spans="1:9" ht="14.25" customHeight="1">
      <c r="A14" s="193">
        <v>7</v>
      </c>
      <c r="B14" s="48">
        <v>0</v>
      </c>
      <c r="C14" s="48">
        <v>183</v>
      </c>
      <c r="D14" s="48">
        <v>3134</v>
      </c>
      <c r="E14" s="48">
        <v>1425919</v>
      </c>
      <c r="F14" s="152">
        <f>ROUND(AVERAGE(D14:D15),0)</f>
        <v>2943</v>
      </c>
      <c r="G14" s="154">
        <f>ROUND(AVERAGE(E14:E15),0)</f>
        <v>1392264</v>
      </c>
      <c r="H14" s="49">
        <f>ROUND(B14/F14*100,1)</f>
        <v>0</v>
      </c>
      <c r="I14" s="49">
        <f>ROUND(C14/G14*100,1)</f>
        <v>0</v>
      </c>
    </row>
    <row r="15" spans="1:9" ht="14.25" customHeight="1">
      <c r="A15" s="194"/>
      <c r="B15" s="48">
        <v>0</v>
      </c>
      <c r="C15" s="48">
        <v>156</v>
      </c>
      <c r="D15" s="48">
        <v>2752</v>
      </c>
      <c r="E15" s="48">
        <v>1358608</v>
      </c>
      <c r="F15" s="153"/>
      <c r="G15" s="155"/>
      <c r="H15" s="49">
        <f>ROUND(B15/F14*100,1)</f>
        <v>0</v>
      </c>
      <c r="I15" s="49">
        <f>ROUND(C15/G14*100,1)</f>
        <v>0</v>
      </c>
    </row>
    <row r="16" spans="1:9" ht="14.25" customHeight="1">
      <c r="A16" s="193" t="s">
        <v>175</v>
      </c>
      <c r="B16" s="48">
        <v>962</v>
      </c>
      <c r="C16" s="48">
        <v>201</v>
      </c>
      <c r="D16" s="48">
        <v>2097</v>
      </c>
      <c r="E16" s="48">
        <v>733072</v>
      </c>
      <c r="F16" s="152">
        <f>ROUND(AVERAGE(D16:D17),0)</f>
        <v>2233</v>
      </c>
      <c r="G16" s="154">
        <f>ROUND(AVERAGE(E16:E17),0)</f>
        <v>720561</v>
      </c>
      <c r="H16" s="49">
        <f>ROUND(B16/F16*100,1)</f>
        <v>43.1</v>
      </c>
      <c r="I16" s="49">
        <f>ROUND(C16/G16*100,1)</f>
        <v>0</v>
      </c>
    </row>
    <row r="17" spans="1:9" ht="14.25" customHeight="1">
      <c r="A17" s="194"/>
      <c r="B17" s="48">
        <v>1153</v>
      </c>
      <c r="C17" s="48">
        <v>529</v>
      </c>
      <c r="D17" s="48">
        <v>2368</v>
      </c>
      <c r="E17" s="48">
        <v>708050</v>
      </c>
      <c r="F17" s="153"/>
      <c r="G17" s="155"/>
      <c r="H17" s="49">
        <f>ROUND(B17/F16*100,1)</f>
        <v>51.6</v>
      </c>
      <c r="I17" s="49">
        <f>ROUND(C17/G16*100,1)</f>
        <v>0.1</v>
      </c>
    </row>
    <row r="18" spans="1:9" ht="14.25" customHeight="1">
      <c r="A18" s="193" t="s">
        <v>176</v>
      </c>
      <c r="B18" s="48">
        <v>1053</v>
      </c>
      <c r="C18" s="48">
        <v>101</v>
      </c>
      <c r="D18" s="48">
        <v>1714</v>
      </c>
      <c r="E18" s="48">
        <v>547970</v>
      </c>
      <c r="F18" s="152">
        <f>ROUND(AVERAGE(D18:D19),0)</f>
        <v>1654</v>
      </c>
      <c r="G18" s="154">
        <f>ROUND(AVERAGE(E18:E19),0)</f>
        <v>550367</v>
      </c>
      <c r="H18" s="49">
        <f>ROUND(B18/F18*100,1)</f>
        <v>63.7</v>
      </c>
      <c r="I18" s="49">
        <f>ROUND(C18/G18*100,1)</f>
        <v>0</v>
      </c>
    </row>
    <row r="19" spans="1:9" ht="14.25" customHeight="1">
      <c r="A19" s="194"/>
      <c r="B19" s="48">
        <v>1097</v>
      </c>
      <c r="C19" s="48">
        <v>218</v>
      </c>
      <c r="D19" s="48">
        <v>1593</v>
      </c>
      <c r="E19" s="48">
        <v>552764</v>
      </c>
      <c r="F19" s="153"/>
      <c r="G19" s="155"/>
      <c r="H19" s="49">
        <f>ROUND(B19/F18*100,1)</f>
        <v>66.3</v>
      </c>
      <c r="I19" s="49">
        <f>ROUND(C19/G18*100,1)</f>
        <v>0</v>
      </c>
    </row>
    <row r="20" spans="1:9">
      <c r="A20" s="195" t="s">
        <v>177</v>
      </c>
      <c r="B20" s="9"/>
    </row>
    <row r="21" spans="1:9">
      <c r="A21" s="195" t="s">
        <v>192</v>
      </c>
    </row>
    <row r="23" spans="1:9">
      <c r="A23" s="151" t="s">
        <v>171</v>
      </c>
      <c r="B23" s="151"/>
      <c r="C23" s="151"/>
    </row>
    <row r="24" spans="1:9" ht="70.5" customHeight="1">
      <c r="A24" s="206" t="s">
        <v>132</v>
      </c>
      <c r="B24" s="34" t="s">
        <v>77</v>
      </c>
      <c r="C24" s="34" t="s">
        <v>78</v>
      </c>
      <c r="D24" s="34" t="s">
        <v>167</v>
      </c>
      <c r="E24" s="34" t="s">
        <v>168</v>
      </c>
      <c r="F24" s="42" t="s">
        <v>169</v>
      </c>
      <c r="G24" s="34" t="s">
        <v>174</v>
      </c>
      <c r="H24" s="34" t="s">
        <v>109</v>
      </c>
      <c r="I24" s="34" t="s">
        <v>110</v>
      </c>
    </row>
    <row r="25" spans="1:9" ht="15" customHeight="1">
      <c r="A25" s="193">
        <v>1</v>
      </c>
      <c r="B25" s="48">
        <v>206</v>
      </c>
      <c r="C25" s="48">
        <v>1031</v>
      </c>
      <c r="D25" s="48">
        <v>5670</v>
      </c>
      <c r="E25" s="48">
        <v>2668134</v>
      </c>
      <c r="F25" s="152">
        <f>ROUND(AVERAGE(D25:D26),0)</f>
        <v>4476</v>
      </c>
      <c r="G25" s="154">
        <f>ROUND(AVERAGE(E25:E26),0)</f>
        <v>2163610</v>
      </c>
      <c r="H25" s="49">
        <f>ROUND(B25/F25*100,1)</f>
        <v>4.5999999999999996</v>
      </c>
      <c r="I25" s="49">
        <f>ROUND(C25/G25*100,1)</f>
        <v>0</v>
      </c>
    </row>
    <row r="26" spans="1:9" ht="15" customHeight="1">
      <c r="A26" s="194"/>
      <c r="B26" s="48">
        <v>148</v>
      </c>
      <c r="C26" s="48">
        <v>185</v>
      </c>
      <c r="D26" s="48">
        <v>3282</v>
      </c>
      <c r="E26" s="48">
        <v>1659086</v>
      </c>
      <c r="F26" s="153"/>
      <c r="G26" s="155"/>
      <c r="H26" s="49">
        <f>ROUND(B26/F25*100,1)</f>
        <v>3.3</v>
      </c>
      <c r="I26" s="49">
        <f>ROUND(C26/G25*100,1)</f>
        <v>0</v>
      </c>
    </row>
    <row r="27" spans="1:9" ht="15" customHeight="1">
      <c r="A27" s="193">
        <v>3</v>
      </c>
      <c r="B27" s="48">
        <v>223</v>
      </c>
      <c r="C27" s="48">
        <v>308</v>
      </c>
      <c r="D27" s="48">
        <v>3407</v>
      </c>
      <c r="E27" s="48">
        <v>1891205</v>
      </c>
      <c r="F27" s="152">
        <f>ROUND(AVERAGE(D27:D28),0)</f>
        <v>2346</v>
      </c>
      <c r="G27" s="154">
        <f>ROUND(AVERAGE(E27:E28),0)</f>
        <v>1306358</v>
      </c>
      <c r="H27" s="49">
        <f>ROUND(B27/F27*100,1)</f>
        <v>9.5</v>
      </c>
      <c r="I27" s="49">
        <f>ROUND(C27/G27*100,1)</f>
        <v>0</v>
      </c>
    </row>
    <row r="28" spans="1:9" ht="15" customHeight="1">
      <c r="A28" s="194"/>
      <c r="B28" s="48">
        <v>135</v>
      </c>
      <c r="C28" s="48">
        <v>135</v>
      </c>
      <c r="D28" s="48">
        <v>1284</v>
      </c>
      <c r="E28" s="48">
        <v>721510</v>
      </c>
      <c r="F28" s="153"/>
      <c r="G28" s="155"/>
      <c r="H28" s="49">
        <f>ROUND(B28/F27*100,1)</f>
        <v>5.8</v>
      </c>
      <c r="I28" s="49">
        <f>ROUND(C28/G27*100,1)</f>
        <v>0</v>
      </c>
    </row>
    <row r="29" spans="1:9" ht="15" customHeight="1">
      <c r="A29" s="193">
        <v>5</v>
      </c>
      <c r="B29" s="48">
        <v>384</v>
      </c>
      <c r="C29" s="48">
        <v>113</v>
      </c>
      <c r="D29" s="48">
        <v>2717</v>
      </c>
      <c r="E29" s="48">
        <v>1560173</v>
      </c>
      <c r="F29" s="152">
        <f>ROUND(AVERAGE(D29:D30),0)</f>
        <v>2639</v>
      </c>
      <c r="G29" s="154">
        <f>ROUND(AVERAGE(E29:E30),0)</f>
        <v>1529408</v>
      </c>
      <c r="H29" s="49">
        <f>ROUND(B29/F29*100,1)</f>
        <v>14.6</v>
      </c>
      <c r="I29" s="49">
        <f>ROUND(C29/G29*100,1)</f>
        <v>0</v>
      </c>
    </row>
    <row r="30" spans="1:9" ht="15" customHeight="1">
      <c r="A30" s="194"/>
      <c r="B30" s="48">
        <v>106</v>
      </c>
      <c r="C30" s="48">
        <v>176</v>
      </c>
      <c r="D30" s="48">
        <v>2561</v>
      </c>
      <c r="E30" s="48">
        <v>1498642</v>
      </c>
      <c r="F30" s="153"/>
      <c r="G30" s="155"/>
      <c r="H30" s="49">
        <f>ROUND(B30/F29*100,1)</f>
        <v>4</v>
      </c>
      <c r="I30" s="49">
        <f>ROUND(C30/G29*100,1)</f>
        <v>0</v>
      </c>
    </row>
    <row r="31" spans="1:9" ht="15" customHeight="1">
      <c r="A31" s="193" t="s">
        <v>357</v>
      </c>
      <c r="B31" s="48">
        <v>220</v>
      </c>
      <c r="C31" s="48">
        <v>237</v>
      </c>
      <c r="D31" s="48" t="s">
        <v>178</v>
      </c>
      <c r="E31" s="48" t="s">
        <v>173</v>
      </c>
      <c r="F31" s="152">
        <f>ROUND(AVERAGE(D31:D32),0)</f>
        <v>2255</v>
      </c>
      <c r="G31" s="154">
        <f>ROUND(AVERAGE(E31:E32),0)</f>
        <v>1348724</v>
      </c>
      <c r="H31" s="49">
        <f>ROUND(B31/F31*100,1)</f>
        <v>9.8000000000000007</v>
      </c>
      <c r="I31" s="49">
        <f>ROUND(C31/G31*100,1)</f>
        <v>0</v>
      </c>
    </row>
    <row r="32" spans="1:9" ht="15" customHeight="1">
      <c r="A32" s="194"/>
      <c r="B32" s="48">
        <v>562</v>
      </c>
      <c r="C32" s="48">
        <v>224</v>
      </c>
      <c r="D32" s="48">
        <v>2255</v>
      </c>
      <c r="E32" s="48">
        <v>1348724</v>
      </c>
      <c r="F32" s="153"/>
      <c r="G32" s="155"/>
      <c r="H32" s="49">
        <f>ROUND(B32/F31*100,1)</f>
        <v>24.9</v>
      </c>
      <c r="I32" s="49">
        <f>ROUND(C32/G31*100,1)</f>
        <v>0</v>
      </c>
    </row>
    <row r="33" spans="1:9">
      <c r="A33" s="193">
        <v>7</v>
      </c>
      <c r="B33" s="48">
        <v>291</v>
      </c>
      <c r="C33" s="48">
        <v>183</v>
      </c>
      <c r="D33" s="48">
        <v>3087</v>
      </c>
      <c r="E33" s="48">
        <v>1425919</v>
      </c>
      <c r="F33" s="152">
        <f>ROUND(AVERAGE(D33:D34),0)</f>
        <v>3088</v>
      </c>
      <c r="G33" s="154">
        <f>ROUND(AVERAGE(E33:E34),0)</f>
        <v>1392264</v>
      </c>
      <c r="H33" s="49">
        <f>ROUND(B33/F33*100,1)</f>
        <v>9.4</v>
      </c>
      <c r="I33" s="49">
        <f>ROUND(C33/G33*100,1)</f>
        <v>0</v>
      </c>
    </row>
    <row r="34" spans="1:9">
      <c r="A34" s="194"/>
      <c r="B34" s="48">
        <v>219</v>
      </c>
      <c r="C34" s="48">
        <v>156</v>
      </c>
      <c r="D34" s="48">
        <v>3089</v>
      </c>
      <c r="E34" s="48">
        <v>1358608</v>
      </c>
      <c r="F34" s="153"/>
      <c r="G34" s="155"/>
      <c r="H34" s="49">
        <f>ROUND(B34/F33*100,1)</f>
        <v>7.1</v>
      </c>
      <c r="I34" s="49">
        <f>ROUND(C34/G33*100,1)</f>
        <v>0</v>
      </c>
    </row>
    <row r="35" spans="1:9">
      <c r="A35" s="193" t="s">
        <v>175</v>
      </c>
      <c r="B35" s="48">
        <v>210</v>
      </c>
      <c r="C35" s="48">
        <v>201</v>
      </c>
      <c r="D35" s="48">
        <v>1385</v>
      </c>
      <c r="E35" s="48">
        <v>733072</v>
      </c>
      <c r="F35" s="152">
        <f>ROUND(AVERAGE(D35:D36),0)</f>
        <v>1480</v>
      </c>
      <c r="G35" s="154">
        <f>ROUND(AVERAGE(E35:E36),0)</f>
        <v>720561</v>
      </c>
      <c r="H35" s="49">
        <f>ROUND(B35/F35*100,1)</f>
        <v>14.2</v>
      </c>
      <c r="I35" s="49">
        <f>ROUND(C35/G35*100,1)</f>
        <v>0</v>
      </c>
    </row>
    <row r="36" spans="1:9">
      <c r="A36" s="194"/>
      <c r="B36" s="48">
        <v>336</v>
      </c>
      <c r="C36" s="48">
        <v>529</v>
      </c>
      <c r="D36" s="48">
        <v>1574</v>
      </c>
      <c r="E36" s="48">
        <v>708050</v>
      </c>
      <c r="F36" s="153"/>
      <c r="G36" s="155"/>
      <c r="H36" s="49">
        <f>ROUND(B36/F35*100,1)</f>
        <v>22.7</v>
      </c>
      <c r="I36" s="49">
        <f>ROUND(C36/G35*100,1)</f>
        <v>0.1</v>
      </c>
    </row>
    <row r="37" spans="1:9">
      <c r="A37" s="193" t="s">
        <v>176</v>
      </c>
      <c r="B37" s="48">
        <v>269</v>
      </c>
      <c r="C37" s="48">
        <v>101</v>
      </c>
      <c r="D37" s="48">
        <v>1445</v>
      </c>
      <c r="E37" s="48">
        <v>547970</v>
      </c>
      <c r="F37" s="152">
        <f>ROUND(AVERAGE(D37:D38),0)</f>
        <v>1326</v>
      </c>
      <c r="G37" s="154">
        <f>ROUND(AVERAGE(E37:E38),0)</f>
        <v>550367</v>
      </c>
      <c r="H37" s="49">
        <f>ROUND(B37/F37*100,1)</f>
        <v>20.3</v>
      </c>
      <c r="I37" s="49">
        <f>ROUND(C37/G37*100,1)</f>
        <v>0</v>
      </c>
    </row>
    <row r="38" spans="1:9">
      <c r="A38" s="194"/>
      <c r="B38" s="48">
        <v>194</v>
      </c>
      <c r="C38" s="48">
        <v>218</v>
      </c>
      <c r="D38" s="48">
        <v>1207</v>
      </c>
      <c r="E38" s="48">
        <v>552764</v>
      </c>
      <c r="F38" s="153"/>
      <c r="G38" s="155"/>
      <c r="H38" s="49">
        <f>ROUND(B38/F37*100,1)</f>
        <v>14.6</v>
      </c>
      <c r="I38" s="49">
        <f>ROUND(C38/G37*100,1)</f>
        <v>0</v>
      </c>
    </row>
    <row r="39" spans="1:9">
      <c r="A39" s="195" t="s">
        <v>177</v>
      </c>
      <c r="B39" s="4"/>
      <c r="C39" s="4"/>
    </row>
    <row r="40" spans="1:9">
      <c r="A40" s="195" t="s">
        <v>192</v>
      </c>
    </row>
    <row r="43" spans="1:9">
      <c r="D43" s="56"/>
    </row>
  </sheetData>
  <mergeCells count="45">
    <mergeCell ref="F37:F38"/>
    <mergeCell ref="G37:G38"/>
    <mergeCell ref="A33:A34"/>
    <mergeCell ref="A35:A36"/>
    <mergeCell ref="A37:A38"/>
    <mergeCell ref="F33:F34"/>
    <mergeCell ref="G33:G34"/>
    <mergeCell ref="F35:F36"/>
    <mergeCell ref="G35:G36"/>
    <mergeCell ref="A23:C23"/>
    <mergeCell ref="A31:A32"/>
    <mergeCell ref="F31:F32"/>
    <mergeCell ref="G31:G32"/>
    <mergeCell ref="A27:A28"/>
    <mergeCell ref="F27:F28"/>
    <mergeCell ref="G27:G28"/>
    <mergeCell ref="A25:A26"/>
    <mergeCell ref="F25:F26"/>
    <mergeCell ref="G25:G26"/>
    <mergeCell ref="A29:A30"/>
    <mergeCell ref="F29:F30"/>
    <mergeCell ref="G29:G30"/>
    <mergeCell ref="F18:F19"/>
    <mergeCell ref="G6:G7"/>
    <mergeCell ref="G8:G9"/>
    <mergeCell ref="G14:G15"/>
    <mergeCell ref="G18:G19"/>
    <mergeCell ref="F6:F7"/>
    <mergeCell ref="F8:F9"/>
    <mergeCell ref="F14:F15"/>
    <mergeCell ref="F10:F11"/>
    <mergeCell ref="G10:G11"/>
    <mergeCell ref="F12:F13"/>
    <mergeCell ref="G12:G13"/>
    <mergeCell ref="F16:F17"/>
    <mergeCell ref="G16:G17"/>
    <mergeCell ref="A18:A19"/>
    <mergeCell ref="A2:C2"/>
    <mergeCell ref="A4:C4"/>
    <mergeCell ref="A6:A7"/>
    <mergeCell ref="A8:A9"/>
    <mergeCell ref="A14:A15"/>
    <mergeCell ref="A10:A11"/>
    <mergeCell ref="A12:A13"/>
    <mergeCell ref="A16:A17"/>
  </mergeCells>
  <phoneticPr fontId="4" type="noConversion"/>
  <printOptions headings="1" gridLines="1"/>
  <pageMargins left="0.70866141732283472" right="0.70866141732283472" top="0.74803149606299213" bottom="0.74803149606299213" header="0.31496062992125984" footer="0.31496062992125984"/>
  <pageSetup scale="64" orientation="portrait" r:id="rId1"/>
  <headerFooter>
    <oddHeader>&amp;C 1632MV7生物分析方法学验证数据</oddHeader>
    <oddFooter>&amp;C第&amp;P页，共&amp;N页</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pageSetUpPr fitToPage="1"/>
  </sheetPr>
  <dimension ref="A2:G63"/>
  <sheetViews>
    <sheetView topLeftCell="B1" zoomScaleNormal="100" zoomScaleSheetLayoutView="100" zoomScalePageLayoutView="90" workbookViewId="0">
      <selection activeCell="G22" sqref="G22"/>
    </sheetView>
  </sheetViews>
  <sheetFormatPr defaultColWidth="8.875" defaultRowHeight="13.5"/>
  <cols>
    <col min="1" max="1" width="12.5" style="3" customWidth="1"/>
    <col min="2" max="2" width="12.25" style="3" customWidth="1"/>
    <col min="3" max="3" width="14" style="3" customWidth="1"/>
    <col min="4" max="4" width="17.125" style="3" customWidth="1"/>
    <col min="5" max="5" width="9.375" style="3" customWidth="1"/>
    <col min="6" max="6" width="20.5" style="3" customWidth="1"/>
    <col min="7" max="7" width="20.25" style="3" customWidth="1"/>
    <col min="8" max="16384" width="8.875" style="3"/>
  </cols>
  <sheetData>
    <row r="2" spans="1:7" ht="15.75" customHeight="1">
      <c r="A2" s="156" t="s">
        <v>92</v>
      </c>
      <c r="B2" s="156"/>
      <c r="C2" s="156"/>
      <c r="D2" s="156"/>
    </row>
    <row r="3" spans="1:7" ht="15.75" customHeight="1">
      <c r="A3" s="18"/>
      <c r="B3" s="18"/>
      <c r="C3" s="18"/>
      <c r="D3" s="18"/>
    </row>
    <row r="4" spans="1:7" ht="15.75" customHeight="1">
      <c r="A4" s="143"/>
      <c r="B4" s="143"/>
      <c r="C4" s="143"/>
      <c r="D4" s="143"/>
      <c r="E4" s="6"/>
      <c r="F4" s="6"/>
      <c r="G4" s="6"/>
    </row>
    <row r="5" spans="1:7" ht="15.75" customHeight="1">
      <c r="A5" s="9" t="s">
        <v>170</v>
      </c>
      <c r="B5" s="9"/>
      <c r="C5" s="9"/>
      <c r="D5" s="9"/>
      <c r="E5" s="6"/>
      <c r="F5" s="6"/>
      <c r="G5" s="6"/>
    </row>
    <row r="6" spans="1:7" s="15" customFormat="1" ht="30" customHeight="1">
      <c r="A6" s="34" t="s">
        <v>82</v>
      </c>
      <c r="B6" s="34" t="s">
        <v>131</v>
      </c>
      <c r="C6" s="34" t="s">
        <v>224</v>
      </c>
      <c r="D6" s="34" t="s">
        <v>225</v>
      </c>
      <c r="E6" s="34" t="s">
        <v>226</v>
      </c>
      <c r="F6" s="34" t="s">
        <v>107</v>
      </c>
      <c r="G6" s="34" t="s">
        <v>108</v>
      </c>
    </row>
    <row r="7" spans="1:7" s="15" customFormat="1" ht="16.5" customHeight="1">
      <c r="A7" s="58">
        <v>45792</v>
      </c>
      <c r="B7" s="55">
        <v>1</v>
      </c>
      <c r="C7" s="54">
        <v>2.241E-4</v>
      </c>
      <c r="D7" s="54">
        <v>-2.1919999999999999E-4</v>
      </c>
      <c r="E7" s="53">
        <v>0.99480000000000002</v>
      </c>
      <c r="F7" s="52">
        <v>10</v>
      </c>
      <c r="G7" s="52">
        <v>10000</v>
      </c>
    </row>
    <row r="8" spans="1:7" s="15" customFormat="1" ht="16.5" customHeight="1">
      <c r="A8" s="58">
        <v>45794</v>
      </c>
      <c r="B8" s="55">
        <v>3</v>
      </c>
      <c r="C8" s="54">
        <v>2.5169999999999999E-4</v>
      </c>
      <c r="D8" s="51">
        <v>-4.7559999999999999E-5</v>
      </c>
      <c r="E8" s="53">
        <v>0.99829999999999997</v>
      </c>
      <c r="F8" s="52">
        <v>10</v>
      </c>
      <c r="G8" s="52">
        <v>10000</v>
      </c>
    </row>
    <row r="9" spans="1:7" s="15" customFormat="1" ht="16.5" customHeight="1">
      <c r="A9" s="58">
        <v>45805</v>
      </c>
      <c r="B9" s="55">
        <v>5</v>
      </c>
      <c r="C9" s="54">
        <v>2.1709999999999999E-4</v>
      </c>
      <c r="D9" s="54">
        <v>1.156E-4</v>
      </c>
      <c r="E9" s="53">
        <v>0.99860000000000004</v>
      </c>
      <c r="F9" s="52">
        <v>10</v>
      </c>
      <c r="G9" s="52">
        <v>10000</v>
      </c>
    </row>
    <row r="10" spans="1:7" s="15" customFormat="1" ht="16.5" customHeight="1">
      <c r="A10" s="58">
        <v>45811</v>
      </c>
      <c r="B10" s="55">
        <v>6</v>
      </c>
      <c r="C10" s="54">
        <v>2.2580000000000001E-4</v>
      </c>
      <c r="D10" s="54">
        <v>-2.429E-4</v>
      </c>
      <c r="E10" s="53">
        <v>0.99750000000000005</v>
      </c>
      <c r="F10" s="52">
        <v>10</v>
      </c>
      <c r="G10" s="52">
        <v>10000</v>
      </c>
    </row>
    <row r="11" spans="1:7" s="15" customFormat="1" ht="16.5" customHeight="1">
      <c r="A11" s="58">
        <v>45819</v>
      </c>
      <c r="B11" s="55">
        <v>7</v>
      </c>
      <c r="C11" s="54">
        <v>2.173E-4</v>
      </c>
      <c r="D11" s="51">
        <v>-8.9019999999999998E-5</v>
      </c>
      <c r="E11" s="53">
        <v>0.99760000000000004</v>
      </c>
      <c r="F11" s="52">
        <v>10</v>
      </c>
      <c r="G11" s="52">
        <v>10000</v>
      </c>
    </row>
    <row r="12" spans="1:7" s="15" customFormat="1" ht="16.5" customHeight="1">
      <c r="A12" s="58">
        <v>45897</v>
      </c>
      <c r="B12" s="55">
        <v>9</v>
      </c>
      <c r="C12" s="54">
        <v>2.8889999999999997E-4</v>
      </c>
      <c r="D12" s="54">
        <v>1.83E-4</v>
      </c>
      <c r="E12" s="53">
        <v>0.99739999999999995</v>
      </c>
      <c r="F12" s="52">
        <v>10</v>
      </c>
      <c r="G12" s="52">
        <v>10000</v>
      </c>
    </row>
    <row r="13" spans="1:7" s="15" customFormat="1" ht="16.5" customHeight="1">
      <c r="A13" s="58">
        <v>45898</v>
      </c>
      <c r="B13" s="55">
        <v>10</v>
      </c>
      <c r="C13" s="54">
        <v>2.901E-4</v>
      </c>
      <c r="D13" s="54">
        <v>1.148E-4</v>
      </c>
      <c r="E13" s="53">
        <v>0.99870000000000003</v>
      </c>
      <c r="F13" s="52">
        <v>10</v>
      </c>
      <c r="G13" s="52">
        <v>10000</v>
      </c>
    </row>
    <row r="14" spans="1:7" s="15" customFormat="1" ht="16.5" customHeight="1">
      <c r="A14" s="34" t="s">
        <v>227</v>
      </c>
      <c r="B14" s="157"/>
      <c r="C14" s="54">
        <v>2.4499999999999999E-4</v>
      </c>
      <c r="D14" s="51">
        <v>-2.6469999999999999E-5</v>
      </c>
      <c r="E14" s="53">
        <v>0.99760000000000004</v>
      </c>
      <c r="F14" s="157"/>
      <c r="G14" s="157"/>
    </row>
    <row r="15" spans="1:7" s="15" customFormat="1" ht="16.5" customHeight="1">
      <c r="A15" s="34" t="s">
        <v>5</v>
      </c>
      <c r="B15" s="157"/>
      <c r="C15" s="51">
        <v>3.2549999999999998E-5</v>
      </c>
      <c r="D15" s="54">
        <v>1.695E-4</v>
      </c>
      <c r="E15" s="53">
        <v>1.2999999999999999E-3</v>
      </c>
      <c r="F15" s="157"/>
      <c r="G15" s="157"/>
    </row>
    <row r="16" spans="1:7" s="15" customFormat="1" ht="16.5" customHeight="1">
      <c r="A16" s="34" t="s">
        <v>103</v>
      </c>
      <c r="B16" s="157"/>
      <c r="C16" s="57">
        <v>13.3</v>
      </c>
      <c r="D16" s="57">
        <v>-640.29999999999995</v>
      </c>
      <c r="E16" s="57">
        <v>0.1</v>
      </c>
      <c r="F16" s="157"/>
      <c r="G16" s="157"/>
    </row>
    <row r="17" spans="1:7" s="15" customFormat="1" ht="16.5" customHeight="1">
      <c r="A17" s="34" t="s">
        <v>6</v>
      </c>
      <c r="B17" s="157"/>
      <c r="C17" s="55">
        <v>7</v>
      </c>
      <c r="D17" s="55">
        <v>7</v>
      </c>
      <c r="E17" s="55">
        <v>7</v>
      </c>
      <c r="F17" s="157"/>
      <c r="G17" s="157"/>
    </row>
    <row r="18" spans="1:7">
      <c r="A18" s="6" t="s">
        <v>93</v>
      </c>
      <c r="B18" s="6"/>
      <c r="C18" s="6"/>
      <c r="D18" s="6"/>
      <c r="E18" s="6"/>
      <c r="F18" s="6"/>
      <c r="G18" s="6"/>
    </row>
    <row r="19" spans="1:7">
      <c r="A19" s="6"/>
      <c r="B19" s="6"/>
      <c r="C19" s="6"/>
      <c r="D19" s="6"/>
      <c r="E19" s="6"/>
      <c r="F19" s="6"/>
      <c r="G19" s="6"/>
    </row>
    <row r="20" spans="1:7">
      <c r="A20" s="6"/>
      <c r="B20" s="6"/>
      <c r="C20" s="6"/>
      <c r="D20" s="6"/>
      <c r="E20" s="6"/>
      <c r="F20" s="6"/>
      <c r="G20" s="6"/>
    </row>
    <row r="21" spans="1:7">
      <c r="A21" s="9" t="s">
        <v>171</v>
      </c>
      <c r="B21" s="9"/>
      <c r="C21" s="9"/>
      <c r="D21" s="9"/>
      <c r="E21" s="6"/>
      <c r="F21" s="6"/>
      <c r="G21" s="6"/>
    </row>
    <row r="22" spans="1:7" s="15" customFormat="1" ht="30" customHeight="1">
      <c r="A22" s="34" t="s">
        <v>82</v>
      </c>
      <c r="B22" s="34" t="s">
        <v>131</v>
      </c>
      <c r="C22" s="34" t="s">
        <v>224</v>
      </c>
      <c r="D22" s="34" t="s">
        <v>225</v>
      </c>
      <c r="E22" s="34" t="s">
        <v>226</v>
      </c>
      <c r="F22" s="34" t="s">
        <v>107</v>
      </c>
      <c r="G22" s="34" t="s">
        <v>108</v>
      </c>
    </row>
    <row r="23" spans="1:7" s="15" customFormat="1" ht="16.5" customHeight="1">
      <c r="A23" s="58">
        <v>45792</v>
      </c>
      <c r="B23" s="55">
        <v>1</v>
      </c>
      <c r="C23" s="54">
        <v>2.031E-4</v>
      </c>
      <c r="D23" s="98">
        <v>-7.6059999999999997E-6</v>
      </c>
      <c r="E23" s="53">
        <v>0.99450000000000005</v>
      </c>
      <c r="F23" s="52">
        <v>10</v>
      </c>
      <c r="G23" s="52">
        <v>10000</v>
      </c>
    </row>
    <row r="24" spans="1:7" s="15" customFormat="1" ht="16.5" customHeight="1">
      <c r="A24" s="58">
        <v>45794</v>
      </c>
      <c r="B24" s="55">
        <v>3</v>
      </c>
      <c r="C24" s="54">
        <v>1.9120000000000001E-4</v>
      </c>
      <c r="D24" s="51">
        <v>-8.5719999999999999E-5</v>
      </c>
      <c r="E24" s="53">
        <v>0.99609999999999999</v>
      </c>
      <c r="F24" s="52">
        <v>10</v>
      </c>
      <c r="G24" s="52">
        <v>10000</v>
      </c>
    </row>
    <row r="25" spans="1:7" s="15" customFormat="1" ht="16.5" customHeight="1">
      <c r="A25" s="58">
        <v>45805</v>
      </c>
      <c r="B25" s="55">
        <v>5</v>
      </c>
      <c r="C25" s="54">
        <v>1.9000000000000001E-4</v>
      </c>
      <c r="D25" s="54">
        <v>-1.785E-4</v>
      </c>
      <c r="E25" s="53">
        <v>0.99580000000000002</v>
      </c>
      <c r="F25" s="52">
        <v>10</v>
      </c>
      <c r="G25" s="52">
        <v>10000</v>
      </c>
    </row>
    <row r="26" spans="1:7" s="15" customFormat="1" ht="16.5" customHeight="1">
      <c r="A26" s="58">
        <v>45811</v>
      </c>
      <c r="B26" s="55">
        <v>6</v>
      </c>
      <c r="C26" s="54">
        <v>2.0359999999999999E-4</v>
      </c>
      <c r="D26" s="54">
        <v>-2.4120000000000001E-4</v>
      </c>
      <c r="E26" s="53">
        <v>0.99790000000000001</v>
      </c>
      <c r="F26" s="52">
        <v>10</v>
      </c>
      <c r="G26" s="52">
        <v>10000</v>
      </c>
    </row>
    <row r="27" spans="1:7" s="15" customFormat="1" ht="16.5" customHeight="1">
      <c r="A27" s="58">
        <v>45819</v>
      </c>
      <c r="B27" s="55">
        <v>7</v>
      </c>
      <c r="C27" s="54">
        <v>2.2770000000000001E-4</v>
      </c>
      <c r="D27" s="51">
        <v>-5.028E-5</v>
      </c>
      <c r="E27" s="53">
        <v>0.99760000000000004</v>
      </c>
      <c r="F27" s="52">
        <v>10</v>
      </c>
      <c r="G27" s="52">
        <v>10000</v>
      </c>
    </row>
    <row r="28" spans="1:7" s="15" customFormat="1" ht="16.5" customHeight="1">
      <c r="A28" s="58">
        <v>45897</v>
      </c>
      <c r="B28" s="55">
        <v>9</v>
      </c>
      <c r="C28" s="54">
        <v>2.3719999999999999E-4</v>
      </c>
      <c r="D28" s="54">
        <v>-2.7900000000000001E-4</v>
      </c>
      <c r="E28" s="53">
        <v>0.998</v>
      </c>
      <c r="F28" s="52">
        <v>10</v>
      </c>
      <c r="G28" s="52">
        <v>10000</v>
      </c>
    </row>
    <row r="29" spans="1:7" s="15" customFormat="1" ht="16.5" customHeight="1">
      <c r="A29" s="58">
        <v>45898</v>
      </c>
      <c r="B29" s="55">
        <v>10</v>
      </c>
      <c r="C29" s="54">
        <v>2.3719999999999999E-4</v>
      </c>
      <c r="D29" s="51">
        <v>-4.5000000000000003E-5</v>
      </c>
      <c r="E29" s="53">
        <v>0.99609999999999999</v>
      </c>
      <c r="F29" s="52">
        <v>10</v>
      </c>
      <c r="G29" s="52">
        <v>10000</v>
      </c>
    </row>
    <row r="30" spans="1:7" s="15" customFormat="1" ht="16.5" customHeight="1">
      <c r="A30" s="34" t="s">
        <v>227</v>
      </c>
      <c r="B30" s="157"/>
      <c r="C30" s="54">
        <v>2.129E-4</v>
      </c>
      <c r="D30" s="54">
        <v>-1.2679999999999999E-4</v>
      </c>
      <c r="E30" s="53">
        <v>0.99660000000000004</v>
      </c>
      <c r="F30" s="157"/>
      <c r="G30" s="157"/>
    </row>
    <row r="31" spans="1:7">
      <c r="A31" s="34" t="s">
        <v>5</v>
      </c>
      <c r="B31" s="157"/>
      <c r="C31" s="51">
        <v>2.073E-5</v>
      </c>
      <c r="D31" s="54">
        <v>1.06E-4</v>
      </c>
      <c r="E31" s="53">
        <v>1.2999999999999999E-3</v>
      </c>
      <c r="F31" s="157"/>
      <c r="G31" s="157"/>
    </row>
    <row r="32" spans="1:7">
      <c r="A32" s="34" t="s">
        <v>103</v>
      </c>
      <c r="B32" s="157"/>
      <c r="C32" s="57">
        <v>9.6999999999999993</v>
      </c>
      <c r="D32" s="57">
        <v>-83.6</v>
      </c>
      <c r="E32" s="57">
        <v>0.1</v>
      </c>
      <c r="F32" s="157"/>
      <c r="G32" s="157"/>
    </row>
    <row r="33" spans="1:7">
      <c r="A33" s="34" t="s">
        <v>6</v>
      </c>
      <c r="B33" s="157"/>
      <c r="C33" s="55">
        <v>7</v>
      </c>
      <c r="D33" s="55">
        <v>7</v>
      </c>
      <c r="E33" s="55">
        <v>7</v>
      </c>
      <c r="F33" s="157"/>
      <c r="G33" s="157"/>
    </row>
    <row r="34" spans="1:7">
      <c r="A34" s="6" t="s">
        <v>93</v>
      </c>
      <c r="B34" s="6"/>
      <c r="C34" s="6"/>
      <c r="D34" s="6"/>
      <c r="E34" s="6"/>
      <c r="F34" s="6"/>
      <c r="G34" s="6"/>
    </row>
    <row r="35" spans="1:7">
      <c r="A35" s="6"/>
      <c r="B35" s="6"/>
      <c r="C35" s="6"/>
      <c r="D35" s="6"/>
      <c r="E35" s="6"/>
      <c r="F35" s="6"/>
      <c r="G35" s="6"/>
    </row>
    <row r="36" spans="1:7">
      <c r="A36" s="6"/>
      <c r="B36" s="6"/>
      <c r="C36" s="6"/>
      <c r="D36" s="6"/>
      <c r="E36" s="6"/>
      <c r="F36" s="6"/>
      <c r="G36" s="6"/>
    </row>
    <row r="37" spans="1:7">
      <c r="A37" s="6"/>
      <c r="B37" s="6"/>
      <c r="C37" s="6"/>
      <c r="D37" s="6"/>
      <c r="E37" s="6"/>
      <c r="F37" s="6"/>
      <c r="G37" s="6"/>
    </row>
    <row r="38" spans="1:7">
      <c r="A38" s="6"/>
      <c r="B38" s="6"/>
      <c r="C38" s="6"/>
      <c r="D38" s="6"/>
      <c r="E38" s="6"/>
      <c r="F38" s="6"/>
      <c r="G38" s="6"/>
    </row>
    <row r="39" spans="1:7">
      <c r="A39" s="6"/>
      <c r="B39" s="6"/>
      <c r="C39" s="6"/>
      <c r="D39" s="6"/>
      <c r="E39" s="6"/>
      <c r="F39" s="6"/>
      <c r="G39" s="6"/>
    </row>
    <row r="40" spans="1:7">
      <c r="A40" s="6"/>
      <c r="B40" s="6"/>
      <c r="C40" s="6"/>
      <c r="D40" s="6"/>
      <c r="E40" s="6"/>
      <c r="F40" s="6"/>
      <c r="G40" s="6"/>
    </row>
    <row r="41" spans="1:7">
      <c r="A41" s="6"/>
      <c r="B41" s="6"/>
      <c r="C41" s="6"/>
      <c r="D41" s="6"/>
      <c r="E41" s="6"/>
      <c r="F41" s="6"/>
      <c r="G41" s="6"/>
    </row>
    <row r="42" spans="1:7">
      <c r="A42" s="6"/>
      <c r="B42" s="6"/>
      <c r="C42" s="6"/>
      <c r="D42" s="6"/>
      <c r="E42" s="6"/>
      <c r="F42" s="6"/>
      <c r="G42" s="6"/>
    </row>
    <row r="43" spans="1:7">
      <c r="A43" s="6"/>
      <c r="B43" s="6"/>
      <c r="C43" s="6"/>
      <c r="D43" s="6"/>
      <c r="E43" s="6"/>
      <c r="F43" s="6"/>
      <c r="G43" s="6"/>
    </row>
    <row r="44" spans="1:7">
      <c r="A44" s="6"/>
      <c r="B44" s="6"/>
      <c r="C44" s="6"/>
      <c r="D44" s="6"/>
      <c r="E44" s="6"/>
      <c r="F44" s="6"/>
      <c r="G44" s="6"/>
    </row>
    <row r="45" spans="1:7">
      <c r="A45" s="6"/>
      <c r="B45" s="6"/>
      <c r="C45" s="6"/>
      <c r="D45" s="6"/>
      <c r="E45" s="6"/>
      <c r="F45" s="6"/>
      <c r="G45" s="6"/>
    </row>
    <row r="46" spans="1:7">
      <c r="A46" s="6"/>
      <c r="B46" s="6"/>
      <c r="C46" s="6"/>
      <c r="D46" s="6"/>
      <c r="E46" s="6"/>
      <c r="F46" s="6"/>
      <c r="G46" s="6"/>
    </row>
    <row r="47" spans="1:7">
      <c r="A47" s="6"/>
      <c r="B47" s="6"/>
      <c r="C47" s="6"/>
      <c r="D47" s="6"/>
      <c r="E47" s="6"/>
      <c r="F47" s="6"/>
      <c r="G47" s="6"/>
    </row>
    <row r="62" spans="2:2">
      <c r="B62" s="6"/>
    </row>
    <row r="63" spans="2:2">
      <c r="B63" s="6"/>
    </row>
  </sheetData>
  <mergeCells count="6">
    <mergeCell ref="A4:D4"/>
    <mergeCell ref="A2:D2"/>
    <mergeCell ref="B14:B17"/>
    <mergeCell ref="F14:G17"/>
    <mergeCell ref="B30:B33"/>
    <mergeCell ref="F30:G33"/>
  </mergeCells>
  <phoneticPr fontId="4" type="noConversion"/>
  <printOptions headings="1" gridLines="1"/>
  <pageMargins left="0.70866141732283472" right="0.70866141732283472" top="0.74803149606299213" bottom="0.74803149606299213" header="0.31496062992125984" footer="0.31496062992125984"/>
  <pageSetup scale="80" orientation="portrait" r:id="rId1"/>
  <headerFooter>
    <oddHeader>&amp;C 1632MV7生物分析方法学验证数据</oddHeader>
    <oddFooter>&amp;C第&amp;P页，共&amp;N页</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pageSetUpPr fitToPage="1"/>
  </sheetPr>
  <dimension ref="A2:R65"/>
  <sheetViews>
    <sheetView topLeftCell="G7" zoomScaleNormal="100" zoomScaleSheetLayoutView="100" workbookViewId="0">
      <selection activeCell="S7" sqref="S1:BB1048576"/>
    </sheetView>
  </sheetViews>
  <sheetFormatPr defaultColWidth="8.875" defaultRowHeight="13.5"/>
  <cols>
    <col min="1" max="1" width="19" style="1" customWidth="1"/>
    <col min="2" max="2" width="7.375" style="1" customWidth="1"/>
    <col min="3" max="3" width="8.875" style="105" customWidth="1"/>
    <col min="4" max="4" width="6.875" style="107" customWidth="1"/>
    <col min="5" max="5" width="8.125" style="105" customWidth="1"/>
    <col min="6" max="6" width="9.25" style="107" customWidth="1"/>
    <col min="7" max="7" width="13.5" style="105" customWidth="1"/>
    <col min="8" max="8" width="7.375" style="107" customWidth="1"/>
    <col min="9" max="9" width="8.625" style="105" customWidth="1"/>
    <col min="10" max="10" width="6.75" style="107" customWidth="1"/>
    <col min="11" max="11" width="12.5" style="105" customWidth="1"/>
    <col min="12" max="12" width="7.25" style="107" customWidth="1"/>
    <col min="13" max="13" width="9.375" style="105" customWidth="1"/>
    <col min="14" max="14" width="7" style="107" customWidth="1"/>
    <col min="15" max="15" width="12.625" style="105" customWidth="1"/>
    <col min="16" max="16" width="6.625" style="107" customWidth="1"/>
    <col min="17" max="17" width="11.625" style="105" customWidth="1"/>
    <col min="18" max="18" width="6.875" style="107" customWidth="1"/>
    <col min="19" max="16384" width="8.875" style="1"/>
  </cols>
  <sheetData>
    <row r="2" spans="1:18">
      <c r="A2" s="162" t="s">
        <v>91</v>
      </c>
      <c r="B2" s="162"/>
      <c r="C2" s="162"/>
      <c r="D2" s="162"/>
      <c r="E2" s="162"/>
    </row>
    <row r="3" spans="1:18">
      <c r="A3" s="31"/>
      <c r="B3" s="31"/>
      <c r="C3" s="100"/>
      <c r="D3" s="108"/>
      <c r="E3" s="100"/>
    </row>
    <row r="4" spans="1:18" ht="14.25">
      <c r="A4" s="31"/>
      <c r="B4" s="31"/>
      <c r="C4" s="101"/>
      <c r="D4" s="109"/>
      <c r="E4" s="101"/>
      <c r="F4" s="109"/>
      <c r="G4" s="101"/>
      <c r="H4" s="109"/>
      <c r="I4" s="101"/>
      <c r="J4" s="109"/>
      <c r="K4" s="101"/>
      <c r="L4" s="109"/>
      <c r="M4" s="101"/>
      <c r="N4" s="109"/>
      <c r="O4" s="101"/>
      <c r="P4" s="109"/>
      <c r="Q4" s="101"/>
      <c r="R4" s="109"/>
    </row>
    <row r="5" spans="1:18">
      <c r="A5" s="163"/>
      <c r="B5" s="142"/>
      <c r="C5" s="142"/>
      <c r="D5" s="142"/>
      <c r="E5" s="142"/>
    </row>
    <row r="6" spans="1:18">
      <c r="A6" s="50" t="s">
        <v>170</v>
      </c>
      <c r="B6" s="43"/>
      <c r="C6" s="102"/>
      <c r="D6" s="110"/>
      <c r="E6" s="102"/>
    </row>
    <row r="7" spans="1:18" ht="14.1" customHeight="1">
      <c r="A7" s="144" t="s">
        <v>48</v>
      </c>
      <c r="B7" s="144" t="s">
        <v>46</v>
      </c>
      <c r="C7" s="30" t="s">
        <v>7</v>
      </c>
      <c r="D7" s="160" t="s">
        <v>106</v>
      </c>
      <c r="E7" s="30" t="s">
        <v>30</v>
      </c>
      <c r="F7" s="160" t="s">
        <v>106</v>
      </c>
      <c r="G7" s="30" t="s">
        <v>31</v>
      </c>
      <c r="H7" s="160" t="s">
        <v>106</v>
      </c>
      <c r="I7" s="30" t="s">
        <v>32</v>
      </c>
      <c r="J7" s="160" t="s">
        <v>106</v>
      </c>
      <c r="K7" s="30" t="s">
        <v>33</v>
      </c>
      <c r="L7" s="160" t="s">
        <v>98</v>
      </c>
      <c r="M7" s="30" t="s">
        <v>34</v>
      </c>
      <c r="N7" s="160" t="s">
        <v>98</v>
      </c>
      <c r="O7" s="30" t="s">
        <v>35</v>
      </c>
      <c r="P7" s="160" t="s">
        <v>98</v>
      </c>
      <c r="Q7" s="30" t="s">
        <v>37</v>
      </c>
      <c r="R7" s="160" t="s">
        <v>98</v>
      </c>
    </row>
    <row r="8" spans="1:18">
      <c r="A8" s="144"/>
      <c r="B8" s="144"/>
      <c r="C8" s="74">
        <v>10</v>
      </c>
      <c r="D8" s="160"/>
      <c r="E8" s="74">
        <v>20</v>
      </c>
      <c r="F8" s="160"/>
      <c r="G8" s="74">
        <v>80</v>
      </c>
      <c r="H8" s="160"/>
      <c r="I8" s="74">
        <v>400</v>
      </c>
      <c r="J8" s="160"/>
      <c r="K8" s="74">
        <v>1000</v>
      </c>
      <c r="L8" s="160"/>
      <c r="M8" s="74">
        <v>4000</v>
      </c>
      <c r="N8" s="160"/>
      <c r="O8" s="74">
        <v>8000</v>
      </c>
      <c r="P8" s="160"/>
      <c r="Q8" s="74">
        <v>10000</v>
      </c>
      <c r="R8" s="160"/>
    </row>
    <row r="9" spans="1:18">
      <c r="A9" s="144"/>
      <c r="B9" s="144"/>
      <c r="C9" s="103" t="s">
        <v>36</v>
      </c>
      <c r="D9" s="160"/>
      <c r="E9" s="103" t="s">
        <v>36</v>
      </c>
      <c r="F9" s="160"/>
      <c r="G9" s="103" t="s">
        <v>36</v>
      </c>
      <c r="H9" s="160"/>
      <c r="I9" s="103" t="s">
        <v>36</v>
      </c>
      <c r="J9" s="160"/>
      <c r="K9" s="103" t="s">
        <v>36</v>
      </c>
      <c r="L9" s="160"/>
      <c r="M9" s="103" t="s">
        <v>36</v>
      </c>
      <c r="N9" s="160"/>
      <c r="O9" s="103" t="s">
        <v>36</v>
      </c>
      <c r="P9" s="160"/>
      <c r="Q9" s="103" t="s">
        <v>36</v>
      </c>
      <c r="R9" s="160"/>
    </row>
    <row r="10" spans="1:18">
      <c r="A10" s="158">
        <v>45792</v>
      </c>
      <c r="B10" s="159">
        <v>1</v>
      </c>
      <c r="C10" s="104">
        <v>9.3979999999999997</v>
      </c>
      <c r="D10" s="106">
        <v>-6</v>
      </c>
      <c r="E10" s="104" t="s">
        <v>228</v>
      </c>
      <c r="F10" s="112"/>
      <c r="G10" s="104">
        <v>80.290000000000006</v>
      </c>
      <c r="H10" s="106">
        <v>0.4</v>
      </c>
      <c r="I10" s="104">
        <v>447.90800000000002</v>
      </c>
      <c r="J10" s="106">
        <v>12</v>
      </c>
      <c r="K10" s="104">
        <v>1071.05</v>
      </c>
      <c r="L10" s="106">
        <v>7.1</v>
      </c>
      <c r="M10" s="104">
        <v>3957.97</v>
      </c>
      <c r="N10" s="106">
        <v>-1.1000000000000001</v>
      </c>
      <c r="O10" s="104">
        <v>6946.9120000000003</v>
      </c>
      <c r="P10" s="106">
        <v>-13.2</v>
      </c>
      <c r="Q10" s="104">
        <v>9430.384</v>
      </c>
      <c r="R10" s="106">
        <v>-5.7</v>
      </c>
    </row>
    <row r="11" spans="1:18">
      <c r="A11" s="158"/>
      <c r="B11" s="159"/>
      <c r="C11" s="104">
        <v>10.254</v>
      </c>
      <c r="D11" s="106">
        <v>2.5</v>
      </c>
      <c r="E11" s="104">
        <v>21.311</v>
      </c>
      <c r="F11" s="106">
        <v>6.6</v>
      </c>
      <c r="G11" s="104">
        <v>78.001000000000005</v>
      </c>
      <c r="H11" s="106">
        <v>-2.5</v>
      </c>
      <c r="I11" s="104">
        <v>409.78500000000003</v>
      </c>
      <c r="J11" s="106">
        <v>2.4</v>
      </c>
      <c r="K11" s="104">
        <v>1070.4839999999999</v>
      </c>
      <c r="L11" s="106">
        <v>7</v>
      </c>
      <c r="M11" s="104">
        <v>3985.17</v>
      </c>
      <c r="N11" s="106">
        <v>-0.4</v>
      </c>
      <c r="O11" s="104">
        <v>7832.7139999999999</v>
      </c>
      <c r="P11" s="106">
        <v>-2.1</v>
      </c>
      <c r="Q11" s="104">
        <v>9285.4140000000007</v>
      </c>
      <c r="R11" s="106">
        <v>-7.1</v>
      </c>
    </row>
    <row r="12" spans="1:18">
      <c r="A12" s="158">
        <v>45794</v>
      </c>
      <c r="B12" s="159">
        <v>3</v>
      </c>
      <c r="C12" s="104">
        <v>9.7289999999999992</v>
      </c>
      <c r="D12" s="106">
        <v>-2.7</v>
      </c>
      <c r="E12" s="104">
        <v>19.408000000000001</v>
      </c>
      <c r="F12" s="106">
        <v>-3</v>
      </c>
      <c r="G12" s="104">
        <v>75.209999999999994</v>
      </c>
      <c r="H12" s="106">
        <v>-6</v>
      </c>
      <c r="I12" s="104">
        <v>405.20699999999999</v>
      </c>
      <c r="J12" s="106">
        <v>1.3</v>
      </c>
      <c r="K12" s="104">
        <v>1000.7859999999999</v>
      </c>
      <c r="L12" s="106">
        <v>0.1</v>
      </c>
      <c r="M12" s="104">
        <v>3976.174</v>
      </c>
      <c r="N12" s="106">
        <v>-0.6</v>
      </c>
      <c r="O12" s="104">
        <v>7868.5770000000002</v>
      </c>
      <c r="P12" s="106">
        <v>-1.6</v>
      </c>
      <c r="Q12" s="104">
        <v>9434.4449999999997</v>
      </c>
      <c r="R12" s="106">
        <v>-5.7</v>
      </c>
    </row>
    <row r="13" spans="1:18">
      <c r="A13" s="158"/>
      <c r="B13" s="159"/>
      <c r="C13" s="104">
        <v>10.222</v>
      </c>
      <c r="D13" s="106">
        <v>2.2000000000000002</v>
      </c>
      <c r="E13" s="104">
        <v>21.212</v>
      </c>
      <c r="F13" s="106">
        <v>6.1</v>
      </c>
      <c r="G13" s="104">
        <v>77.668999999999997</v>
      </c>
      <c r="H13" s="106">
        <v>-2.9</v>
      </c>
      <c r="I13" s="104">
        <v>401.452</v>
      </c>
      <c r="J13" s="106">
        <v>0.4</v>
      </c>
      <c r="K13" s="104">
        <v>1009.086</v>
      </c>
      <c r="L13" s="106">
        <v>0.9</v>
      </c>
      <c r="M13" s="104">
        <v>4048.0279999999998</v>
      </c>
      <c r="N13" s="106">
        <v>1.2</v>
      </c>
      <c r="O13" s="104">
        <v>8546.0580000000009</v>
      </c>
      <c r="P13" s="106">
        <v>6.8</v>
      </c>
      <c r="Q13" s="104">
        <v>10351.236000000001</v>
      </c>
      <c r="R13" s="106">
        <v>3.5</v>
      </c>
    </row>
    <row r="14" spans="1:18">
      <c r="A14" s="158">
        <v>45805</v>
      </c>
      <c r="B14" s="159">
        <v>5</v>
      </c>
      <c r="C14" s="104">
        <v>10.513</v>
      </c>
      <c r="D14" s="106">
        <v>5.0999999999999996</v>
      </c>
      <c r="E14" s="104">
        <v>19.678999999999998</v>
      </c>
      <c r="F14" s="106">
        <v>-1.6</v>
      </c>
      <c r="G14" s="104">
        <v>75.581000000000003</v>
      </c>
      <c r="H14" s="106">
        <v>-5.5</v>
      </c>
      <c r="I14" s="104">
        <v>387.73</v>
      </c>
      <c r="J14" s="106">
        <v>-3.1</v>
      </c>
      <c r="K14" s="104">
        <v>1028.1769999999999</v>
      </c>
      <c r="L14" s="106">
        <v>2.8</v>
      </c>
      <c r="M14" s="104">
        <v>3974.241</v>
      </c>
      <c r="N14" s="106">
        <v>-0.6</v>
      </c>
      <c r="O14" s="104">
        <v>7855.9430000000002</v>
      </c>
      <c r="P14" s="106">
        <v>-1.8</v>
      </c>
      <c r="Q14" s="104">
        <v>9650.1219999999994</v>
      </c>
      <c r="R14" s="106">
        <v>-3.5</v>
      </c>
    </row>
    <row r="15" spans="1:18">
      <c r="A15" s="158"/>
      <c r="B15" s="159"/>
      <c r="C15" s="104">
        <v>9.6010000000000009</v>
      </c>
      <c r="D15" s="106">
        <v>-4</v>
      </c>
      <c r="E15" s="104">
        <v>20.175999999999998</v>
      </c>
      <c r="F15" s="106">
        <v>0.9</v>
      </c>
      <c r="G15" s="104">
        <v>79.546999999999997</v>
      </c>
      <c r="H15" s="106">
        <v>-0.6</v>
      </c>
      <c r="I15" s="104">
        <v>398.72899999999998</v>
      </c>
      <c r="J15" s="106">
        <v>-0.3</v>
      </c>
      <c r="K15" s="104">
        <v>1040.009</v>
      </c>
      <c r="L15" s="106">
        <v>4</v>
      </c>
      <c r="M15" s="104">
        <v>4147.18</v>
      </c>
      <c r="N15" s="106">
        <v>3.7</v>
      </c>
      <c r="O15" s="104">
        <v>8360.7669999999998</v>
      </c>
      <c r="P15" s="106">
        <v>4.5</v>
      </c>
      <c r="Q15" s="104">
        <v>10000.546</v>
      </c>
      <c r="R15" s="106">
        <v>0</v>
      </c>
    </row>
    <row r="16" spans="1:18">
      <c r="A16" s="158">
        <v>45811</v>
      </c>
      <c r="B16" s="159">
        <v>6</v>
      </c>
      <c r="C16" s="104" t="s">
        <v>229</v>
      </c>
      <c r="D16" s="112"/>
      <c r="E16" s="104">
        <v>22.484000000000002</v>
      </c>
      <c r="F16" s="106">
        <v>12.4</v>
      </c>
      <c r="G16" s="104">
        <v>81.668000000000006</v>
      </c>
      <c r="H16" s="106">
        <v>2.1</v>
      </c>
      <c r="I16" s="104">
        <v>409.98099999999999</v>
      </c>
      <c r="J16" s="106">
        <v>2.5</v>
      </c>
      <c r="K16" s="104">
        <v>992.13199999999995</v>
      </c>
      <c r="L16" s="106">
        <v>-0.8</v>
      </c>
      <c r="M16" s="104">
        <v>4039.723</v>
      </c>
      <c r="N16" s="106">
        <v>1</v>
      </c>
      <c r="O16" s="104">
        <v>7956.6319999999996</v>
      </c>
      <c r="P16" s="106">
        <v>-0.5</v>
      </c>
      <c r="Q16" s="104">
        <v>9892.7479999999996</v>
      </c>
      <c r="R16" s="106">
        <v>-1.1000000000000001</v>
      </c>
    </row>
    <row r="17" spans="1:18">
      <c r="A17" s="158"/>
      <c r="B17" s="159"/>
      <c r="C17" s="104">
        <v>9.8040000000000003</v>
      </c>
      <c r="D17" s="106">
        <v>-2</v>
      </c>
      <c r="E17" s="104">
        <v>18.085999999999999</v>
      </c>
      <c r="F17" s="106">
        <v>-9.6</v>
      </c>
      <c r="G17" s="104">
        <v>81.207999999999998</v>
      </c>
      <c r="H17" s="106">
        <v>1.5</v>
      </c>
      <c r="I17" s="104">
        <v>406.49599999999998</v>
      </c>
      <c r="J17" s="106">
        <v>1.6</v>
      </c>
      <c r="K17" s="104">
        <v>993.78800000000001</v>
      </c>
      <c r="L17" s="106">
        <v>-0.6</v>
      </c>
      <c r="M17" s="104">
        <v>3998.4479999999999</v>
      </c>
      <c r="N17" s="106">
        <v>0</v>
      </c>
      <c r="O17" s="104">
        <v>7701.125</v>
      </c>
      <c r="P17" s="106">
        <v>-3.7</v>
      </c>
      <c r="Q17" s="104">
        <v>9719.7559999999994</v>
      </c>
      <c r="R17" s="106">
        <v>-2.8</v>
      </c>
    </row>
    <row r="18" spans="1:18">
      <c r="A18" s="158">
        <v>45819</v>
      </c>
      <c r="B18" s="159">
        <v>7</v>
      </c>
      <c r="C18" s="104">
        <v>10.526</v>
      </c>
      <c r="D18" s="106">
        <v>5.3</v>
      </c>
      <c r="E18" s="104">
        <v>19.684999999999999</v>
      </c>
      <c r="F18" s="106">
        <v>-1.6</v>
      </c>
      <c r="G18" s="104">
        <v>77.966999999999999</v>
      </c>
      <c r="H18" s="106">
        <v>-2.5</v>
      </c>
      <c r="I18" s="104">
        <v>378.48200000000003</v>
      </c>
      <c r="J18" s="106">
        <v>-5.4</v>
      </c>
      <c r="K18" s="104">
        <v>1080.788</v>
      </c>
      <c r="L18" s="106">
        <v>8.1</v>
      </c>
      <c r="M18" s="104">
        <v>4242.2759999999998</v>
      </c>
      <c r="N18" s="106">
        <v>6.1</v>
      </c>
      <c r="O18" s="104">
        <v>7559.509</v>
      </c>
      <c r="P18" s="106">
        <v>-5.5</v>
      </c>
      <c r="Q18" s="104">
        <v>10090.564</v>
      </c>
      <c r="R18" s="106">
        <v>0.9</v>
      </c>
    </row>
    <row r="19" spans="1:18">
      <c r="A19" s="158"/>
      <c r="B19" s="159"/>
      <c r="C19" s="104">
        <v>9.734</v>
      </c>
      <c r="D19" s="106">
        <v>-2.7</v>
      </c>
      <c r="E19" s="104">
        <v>19.574999999999999</v>
      </c>
      <c r="F19" s="106">
        <v>-2.1</v>
      </c>
      <c r="G19" s="104">
        <v>77.143000000000001</v>
      </c>
      <c r="H19" s="106">
        <v>-3.6</v>
      </c>
      <c r="I19" s="104">
        <v>405.149</v>
      </c>
      <c r="J19" s="106">
        <v>1.3</v>
      </c>
      <c r="K19" s="104">
        <v>1017.55</v>
      </c>
      <c r="L19" s="106">
        <v>1.8</v>
      </c>
      <c r="M19" s="104">
        <v>4204.4989999999998</v>
      </c>
      <c r="N19" s="106">
        <v>5.0999999999999996</v>
      </c>
      <c r="O19" s="104">
        <v>7594.143</v>
      </c>
      <c r="P19" s="106">
        <v>-5.0999999999999996</v>
      </c>
      <c r="Q19" s="104">
        <v>9997.4789999999994</v>
      </c>
      <c r="R19" s="106">
        <v>0</v>
      </c>
    </row>
    <row r="20" spans="1:18">
      <c r="A20" s="158">
        <v>45897</v>
      </c>
      <c r="B20" s="159">
        <v>9</v>
      </c>
      <c r="C20" s="104">
        <v>9.2680000000000007</v>
      </c>
      <c r="D20" s="106">
        <v>-7.3</v>
      </c>
      <c r="E20" s="104">
        <v>20.242999999999999</v>
      </c>
      <c r="F20" s="106">
        <v>1.2</v>
      </c>
      <c r="G20" s="104">
        <v>76.766000000000005</v>
      </c>
      <c r="H20" s="106">
        <v>-4</v>
      </c>
      <c r="I20" s="104">
        <v>386.82400000000001</v>
      </c>
      <c r="J20" s="106">
        <v>-3.3</v>
      </c>
      <c r="K20" s="104">
        <v>1003.399</v>
      </c>
      <c r="L20" s="106">
        <v>0.3</v>
      </c>
      <c r="M20" s="104">
        <v>4081.944</v>
      </c>
      <c r="N20" s="106">
        <v>2</v>
      </c>
      <c r="O20" s="104">
        <v>7805.7349999999997</v>
      </c>
      <c r="P20" s="106">
        <v>-2.4</v>
      </c>
      <c r="Q20" s="104">
        <v>9778.4459999999999</v>
      </c>
      <c r="R20" s="106">
        <v>-2.2000000000000002</v>
      </c>
    </row>
    <row r="21" spans="1:18">
      <c r="A21" s="158"/>
      <c r="B21" s="159"/>
      <c r="C21" s="104">
        <v>10.94</v>
      </c>
      <c r="D21" s="106">
        <v>9.4</v>
      </c>
      <c r="E21" s="104">
        <v>18.940999999999999</v>
      </c>
      <c r="F21" s="106">
        <v>-5.3</v>
      </c>
      <c r="G21" s="104">
        <v>82.802000000000007</v>
      </c>
      <c r="H21" s="106">
        <v>3.5</v>
      </c>
      <c r="I21" s="104">
        <v>405.86200000000002</v>
      </c>
      <c r="J21" s="106">
        <v>1.5</v>
      </c>
      <c r="K21" s="104">
        <v>1062.4970000000001</v>
      </c>
      <c r="L21" s="106">
        <v>6.2</v>
      </c>
      <c r="M21" s="104">
        <v>4176.5619999999999</v>
      </c>
      <c r="N21" s="106">
        <v>4.4000000000000004</v>
      </c>
      <c r="O21" s="104">
        <v>7707.9610000000002</v>
      </c>
      <c r="P21" s="106">
        <v>-3.7</v>
      </c>
      <c r="Q21" s="104">
        <v>9960.9110000000001</v>
      </c>
      <c r="R21" s="106">
        <v>-0.4</v>
      </c>
    </row>
    <row r="22" spans="1:18">
      <c r="A22" s="158">
        <v>45898</v>
      </c>
      <c r="B22" s="159">
        <v>10</v>
      </c>
      <c r="C22" s="104">
        <v>10.385999999999999</v>
      </c>
      <c r="D22" s="106">
        <v>3.9</v>
      </c>
      <c r="E22" s="104">
        <v>19.641999999999999</v>
      </c>
      <c r="F22" s="106">
        <v>-1.8</v>
      </c>
      <c r="G22" s="104">
        <v>77.254000000000005</v>
      </c>
      <c r="H22" s="106">
        <v>-3.4</v>
      </c>
      <c r="I22" s="104">
        <v>395.03800000000001</v>
      </c>
      <c r="J22" s="106">
        <v>-1.2</v>
      </c>
      <c r="K22" s="104">
        <v>1026.827</v>
      </c>
      <c r="L22" s="106">
        <v>2.7</v>
      </c>
      <c r="M22" s="104">
        <v>4077.1869999999999</v>
      </c>
      <c r="N22" s="106">
        <v>1.9</v>
      </c>
      <c r="O22" s="104">
        <v>7852.3729999999996</v>
      </c>
      <c r="P22" s="106">
        <v>-1.8</v>
      </c>
      <c r="Q22" s="104">
        <v>9816.2459999999992</v>
      </c>
      <c r="R22" s="106">
        <v>-1.8</v>
      </c>
    </row>
    <row r="23" spans="1:18">
      <c r="A23" s="158"/>
      <c r="B23" s="159"/>
      <c r="C23" s="104">
        <v>9.5380000000000003</v>
      </c>
      <c r="D23" s="106">
        <v>-4.5999999999999996</v>
      </c>
      <c r="E23" s="104">
        <v>21.016999999999999</v>
      </c>
      <c r="F23" s="106">
        <v>5.0999999999999996</v>
      </c>
      <c r="G23" s="104">
        <v>76.861000000000004</v>
      </c>
      <c r="H23" s="106">
        <v>-3.9</v>
      </c>
      <c r="I23" s="104">
        <v>397.15800000000002</v>
      </c>
      <c r="J23" s="106">
        <v>-0.7</v>
      </c>
      <c r="K23" s="104">
        <v>1039.336</v>
      </c>
      <c r="L23" s="106">
        <v>3.9</v>
      </c>
      <c r="M23" s="104">
        <v>4160.9549999999999</v>
      </c>
      <c r="N23" s="106">
        <v>4</v>
      </c>
      <c r="O23" s="104">
        <v>7878.1080000000002</v>
      </c>
      <c r="P23" s="106">
        <v>-1.5</v>
      </c>
      <c r="Q23" s="104">
        <v>9940.3610000000008</v>
      </c>
      <c r="R23" s="106">
        <v>-0.6</v>
      </c>
    </row>
    <row r="24" spans="1:18" ht="14.1" customHeight="1">
      <c r="A24" s="20" t="s">
        <v>53</v>
      </c>
      <c r="B24" s="164"/>
      <c r="C24" s="104">
        <v>9.9930000000000003</v>
      </c>
      <c r="D24" s="167"/>
      <c r="E24" s="104">
        <v>20.111999999999998</v>
      </c>
      <c r="F24" s="167"/>
      <c r="G24" s="104">
        <v>78.426000000000002</v>
      </c>
      <c r="H24" s="167"/>
      <c r="I24" s="104">
        <v>402.55700000000002</v>
      </c>
      <c r="J24" s="167"/>
      <c r="K24" s="104">
        <v>1031.136</v>
      </c>
      <c r="L24" s="167"/>
      <c r="M24" s="104">
        <v>4076.4540000000002</v>
      </c>
      <c r="N24" s="167"/>
      <c r="O24" s="104">
        <v>7819.04</v>
      </c>
      <c r="P24" s="167"/>
      <c r="Q24" s="104">
        <v>9810.6180000000004</v>
      </c>
      <c r="R24" s="167"/>
    </row>
    <row r="25" spans="1:18" ht="14.1" customHeight="1">
      <c r="A25" s="20" t="s">
        <v>5</v>
      </c>
      <c r="B25" s="165"/>
      <c r="C25" s="104">
        <v>0.51100000000000001</v>
      </c>
      <c r="D25" s="168"/>
      <c r="E25" s="104">
        <v>1.153</v>
      </c>
      <c r="F25" s="168"/>
      <c r="G25" s="104">
        <v>2.3159999999999998</v>
      </c>
      <c r="H25" s="168"/>
      <c r="I25" s="104">
        <v>16.059000000000001</v>
      </c>
      <c r="J25" s="168"/>
      <c r="K25" s="104">
        <v>30.434000000000001</v>
      </c>
      <c r="L25" s="168"/>
      <c r="M25" s="104">
        <v>94.950999999999993</v>
      </c>
      <c r="N25" s="168"/>
      <c r="O25" s="104">
        <v>367.37299999999999</v>
      </c>
      <c r="P25" s="168"/>
      <c r="Q25" s="104">
        <v>288.87</v>
      </c>
      <c r="R25" s="168"/>
    </row>
    <row r="26" spans="1:18" s="107" customFormat="1" ht="14.1" customHeight="1">
      <c r="A26" s="106" t="s">
        <v>103</v>
      </c>
      <c r="B26" s="165"/>
      <c r="C26" s="106">
        <v>5.0999999999999996</v>
      </c>
      <c r="D26" s="168"/>
      <c r="E26" s="106">
        <v>5.7</v>
      </c>
      <c r="F26" s="168"/>
      <c r="G26" s="106">
        <v>3</v>
      </c>
      <c r="H26" s="168"/>
      <c r="I26" s="106">
        <v>4</v>
      </c>
      <c r="J26" s="168"/>
      <c r="K26" s="106">
        <v>3</v>
      </c>
      <c r="L26" s="168"/>
      <c r="M26" s="106">
        <v>2.2999999999999998</v>
      </c>
      <c r="N26" s="168"/>
      <c r="O26" s="106">
        <v>4.7</v>
      </c>
      <c r="P26" s="168"/>
      <c r="Q26" s="106">
        <v>2.9</v>
      </c>
      <c r="R26" s="168"/>
    </row>
    <row r="27" spans="1:18" s="107" customFormat="1" ht="14.1" customHeight="1">
      <c r="A27" s="106" t="s">
        <v>106</v>
      </c>
      <c r="B27" s="165"/>
      <c r="C27" s="106">
        <v>-0.1</v>
      </c>
      <c r="D27" s="168"/>
      <c r="E27" s="106">
        <v>0.6</v>
      </c>
      <c r="F27" s="168"/>
      <c r="G27" s="106">
        <v>-2</v>
      </c>
      <c r="H27" s="168"/>
      <c r="I27" s="106">
        <v>0.6</v>
      </c>
      <c r="J27" s="168"/>
      <c r="K27" s="106">
        <v>3.1</v>
      </c>
      <c r="L27" s="168"/>
      <c r="M27" s="106">
        <v>1.9</v>
      </c>
      <c r="N27" s="168"/>
      <c r="O27" s="106">
        <v>-2.2999999999999998</v>
      </c>
      <c r="P27" s="168"/>
      <c r="Q27" s="106">
        <v>-1.9</v>
      </c>
      <c r="R27" s="168"/>
    </row>
    <row r="28" spans="1:18" s="114" customFormat="1" ht="14.1" customHeight="1">
      <c r="A28" s="113" t="s">
        <v>6</v>
      </c>
      <c r="B28" s="166"/>
      <c r="C28" s="113">
        <v>13</v>
      </c>
      <c r="D28" s="169"/>
      <c r="E28" s="113">
        <v>13</v>
      </c>
      <c r="F28" s="169"/>
      <c r="G28" s="113">
        <v>14</v>
      </c>
      <c r="H28" s="169"/>
      <c r="I28" s="113">
        <v>14</v>
      </c>
      <c r="J28" s="169"/>
      <c r="K28" s="113">
        <v>14</v>
      </c>
      <c r="L28" s="169"/>
      <c r="M28" s="113">
        <v>14</v>
      </c>
      <c r="N28" s="169"/>
      <c r="O28" s="113">
        <v>14</v>
      </c>
      <c r="P28" s="169"/>
      <c r="Q28" s="113">
        <v>14</v>
      </c>
      <c r="R28" s="169"/>
    </row>
    <row r="29" spans="1:18">
      <c r="A29" s="6" t="s">
        <v>177</v>
      </c>
    </row>
    <row r="30" spans="1:18">
      <c r="A30" s="161"/>
      <c r="B30" s="161"/>
      <c r="C30" s="161"/>
      <c r="D30" s="161"/>
    </row>
    <row r="31" spans="1:18">
      <c r="A31" s="50" t="s">
        <v>171</v>
      </c>
      <c r="B31" s="43"/>
      <c r="C31" s="102"/>
      <c r="D31" s="110"/>
      <c r="E31" s="102"/>
    </row>
    <row r="32" spans="1:18" ht="14.1" customHeight="1">
      <c r="A32" s="144" t="s">
        <v>48</v>
      </c>
      <c r="B32" s="144" t="s">
        <v>46</v>
      </c>
      <c r="C32" s="30" t="s">
        <v>7</v>
      </c>
      <c r="D32" s="160" t="s">
        <v>106</v>
      </c>
      <c r="E32" s="30" t="s">
        <v>30</v>
      </c>
      <c r="F32" s="160" t="s">
        <v>106</v>
      </c>
      <c r="G32" s="30" t="s">
        <v>31</v>
      </c>
      <c r="H32" s="160" t="s">
        <v>106</v>
      </c>
      <c r="I32" s="30" t="s">
        <v>32</v>
      </c>
      <c r="J32" s="160" t="s">
        <v>106</v>
      </c>
      <c r="K32" s="30" t="s">
        <v>33</v>
      </c>
      <c r="L32" s="160" t="s">
        <v>98</v>
      </c>
      <c r="M32" s="30" t="s">
        <v>34</v>
      </c>
      <c r="N32" s="160" t="s">
        <v>98</v>
      </c>
      <c r="O32" s="30" t="s">
        <v>35</v>
      </c>
      <c r="P32" s="160" t="s">
        <v>98</v>
      </c>
      <c r="Q32" s="30" t="s">
        <v>37</v>
      </c>
      <c r="R32" s="160" t="s">
        <v>98</v>
      </c>
    </row>
    <row r="33" spans="1:18">
      <c r="A33" s="144"/>
      <c r="B33" s="144"/>
      <c r="C33" s="74">
        <v>10</v>
      </c>
      <c r="D33" s="160"/>
      <c r="E33" s="74">
        <v>20</v>
      </c>
      <c r="F33" s="160"/>
      <c r="G33" s="74">
        <v>80</v>
      </c>
      <c r="H33" s="160"/>
      <c r="I33" s="74">
        <v>400</v>
      </c>
      <c r="J33" s="160"/>
      <c r="K33" s="74">
        <v>1000</v>
      </c>
      <c r="L33" s="160"/>
      <c r="M33" s="74">
        <v>4000</v>
      </c>
      <c r="N33" s="160"/>
      <c r="O33" s="74">
        <v>8000</v>
      </c>
      <c r="P33" s="160"/>
      <c r="Q33" s="74">
        <v>10000</v>
      </c>
      <c r="R33" s="160"/>
    </row>
    <row r="34" spans="1:18">
      <c r="A34" s="144"/>
      <c r="B34" s="144"/>
      <c r="C34" s="103" t="s">
        <v>36</v>
      </c>
      <c r="D34" s="160"/>
      <c r="E34" s="103" t="s">
        <v>36</v>
      </c>
      <c r="F34" s="160"/>
      <c r="G34" s="103" t="s">
        <v>36</v>
      </c>
      <c r="H34" s="160"/>
      <c r="I34" s="103" t="s">
        <v>36</v>
      </c>
      <c r="J34" s="160"/>
      <c r="K34" s="103" t="s">
        <v>36</v>
      </c>
      <c r="L34" s="160"/>
      <c r="M34" s="103" t="s">
        <v>36</v>
      </c>
      <c r="N34" s="160"/>
      <c r="O34" s="103" t="s">
        <v>36</v>
      </c>
      <c r="P34" s="160"/>
      <c r="Q34" s="103" t="s">
        <v>36</v>
      </c>
      <c r="R34" s="160"/>
    </row>
    <row r="35" spans="1:18">
      <c r="A35" s="158">
        <v>45792</v>
      </c>
      <c r="B35" s="159">
        <v>1</v>
      </c>
      <c r="C35" s="104">
        <v>10.500999999999999</v>
      </c>
      <c r="D35" s="106">
        <v>5</v>
      </c>
      <c r="E35" s="104">
        <v>19.094000000000001</v>
      </c>
      <c r="F35" s="106">
        <v>-4.5</v>
      </c>
      <c r="G35" s="104">
        <v>74.742999999999995</v>
      </c>
      <c r="H35" s="106">
        <v>-6.6</v>
      </c>
      <c r="I35" s="104">
        <v>437.64100000000002</v>
      </c>
      <c r="J35" s="106">
        <v>9.4</v>
      </c>
      <c r="K35" s="104">
        <v>1110.934</v>
      </c>
      <c r="L35" s="106">
        <v>11.1</v>
      </c>
      <c r="M35" s="104">
        <v>4020.355</v>
      </c>
      <c r="N35" s="106">
        <v>0.5</v>
      </c>
      <c r="O35" s="104">
        <v>7132.7340000000004</v>
      </c>
      <c r="P35" s="106">
        <v>-10.8</v>
      </c>
      <c r="Q35" s="104">
        <v>9405.3950000000004</v>
      </c>
      <c r="R35" s="106">
        <v>-5.9</v>
      </c>
    </row>
    <row r="36" spans="1:18">
      <c r="A36" s="158"/>
      <c r="B36" s="159"/>
      <c r="C36" s="104">
        <v>9.7780000000000005</v>
      </c>
      <c r="D36" s="106">
        <v>-2.2000000000000002</v>
      </c>
      <c r="E36" s="104" t="s">
        <v>230</v>
      </c>
      <c r="F36" s="112"/>
      <c r="G36" s="104">
        <v>78.938999999999993</v>
      </c>
      <c r="H36" s="106">
        <v>-1.3</v>
      </c>
      <c r="I36" s="104">
        <v>403.93</v>
      </c>
      <c r="J36" s="106">
        <v>1</v>
      </c>
      <c r="K36" s="104">
        <v>1111.0820000000001</v>
      </c>
      <c r="L36" s="106">
        <v>11.1</v>
      </c>
      <c r="M36" s="104">
        <v>4108.5780000000004</v>
      </c>
      <c r="N36" s="106">
        <v>2.7</v>
      </c>
      <c r="O36" s="104">
        <v>7747.2709999999997</v>
      </c>
      <c r="P36" s="106">
        <v>-3.2</v>
      </c>
      <c r="Q36" s="104">
        <v>9376.3070000000007</v>
      </c>
      <c r="R36" s="106">
        <v>-6.2</v>
      </c>
    </row>
    <row r="37" spans="1:18">
      <c r="A37" s="158">
        <v>45794</v>
      </c>
      <c r="B37" s="159">
        <v>3</v>
      </c>
      <c r="C37" s="104">
        <v>9.8689999999999998</v>
      </c>
      <c r="D37" s="106">
        <v>-1.3</v>
      </c>
      <c r="E37" s="104">
        <v>21.706</v>
      </c>
      <c r="F37" s="106">
        <v>8.5</v>
      </c>
      <c r="G37" s="104">
        <v>83.879000000000005</v>
      </c>
      <c r="H37" s="106">
        <v>4.8</v>
      </c>
      <c r="I37" s="104">
        <v>415.68099999999998</v>
      </c>
      <c r="J37" s="106">
        <v>3.9</v>
      </c>
      <c r="K37" s="104">
        <v>1059.749</v>
      </c>
      <c r="L37" s="106">
        <v>6</v>
      </c>
      <c r="M37" s="104">
        <v>4219.92</v>
      </c>
      <c r="N37" s="106">
        <v>5.5</v>
      </c>
      <c r="O37" s="104">
        <v>8345.0079999999998</v>
      </c>
      <c r="P37" s="106">
        <v>4.3</v>
      </c>
      <c r="Q37" s="104">
        <v>10127.084000000001</v>
      </c>
      <c r="R37" s="106">
        <v>1.3</v>
      </c>
    </row>
    <row r="38" spans="1:18">
      <c r="A38" s="158"/>
      <c r="B38" s="159"/>
      <c r="C38" s="104">
        <v>9.7590000000000003</v>
      </c>
      <c r="D38" s="106">
        <v>-2.4</v>
      </c>
      <c r="E38" s="104">
        <v>19.609000000000002</v>
      </c>
      <c r="F38" s="106">
        <v>-2</v>
      </c>
      <c r="G38" s="104" t="s">
        <v>232</v>
      </c>
      <c r="H38" s="112"/>
      <c r="I38" s="104">
        <v>361.92500000000001</v>
      </c>
      <c r="J38" s="106">
        <v>-9.5</v>
      </c>
      <c r="K38" s="104">
        <v>902.75300000000004</v>
      </c>
      <c r="L38" s="106">
        <v>-9.6999999999999993</v>
      </c>
      <c r="M38" s="104">
        <v>3829.3809999999999</v>
      </c>
      <c r="N38" s="106">
        <v>-4.3</v>
      </c>
      <c r="O38" s="104">
        <v>7800.7629999999999</v>
      </c>
      <c r="P38" s="106">
        <v>-2.5</v>
      </c>
      <c r="Q38" s="104">
        <v>9731.973</v>
      </c>
      <c r="R38" s="106">
        <v>-2.7</v>
      </c>
    </row>
    <row r="39" spans="1:18">
      <c r="A39" s="158">
        <v>45805</v>
      </c>
      <c r="B39" s="159">
        <v>5</v>
      </c>
      <c r="C39" s="104">
        <v>10.101000000000001</v>
      </c>
      <c r="D39" s="106">
        <v>1</v>
      </c>
      <c r="E39" s="104">
        <v>20.404</v>
      </c>
      <c r="F39" s="106">
        <v>2</v>
      </c>
      <c r="G39" s="104">
        <v>69.284000000000006</v>
      </c>
      <c r="H39" s="106">
        <v>-13.4</v>
      </c>
      <c r="I39" s="104">
        <v>360.37099999999998</v>
      </c>
      <c r="J39" s="106">
        <v>-9.9</v>
      </c>
      <c r="K39" s="104">
        <v>990.13</v>
      </c>
      <c r="L39" s="106">
        <v>-1</v>
      </c>
      <c r="M39" s="104">
        <v>4035.134</v>
      </c>
      <c r="N39" s="106">
        <v>0.9</v>
      </c>
      <c r="O39" s="104">
        <v>7916.2110000000002</v>
      </c>
      <c r="P39" s="106">
        <v>-1</v>
      </c>
      <c r="Q39" s="104">
        <v>9748.3459999999995</v>
      </c>
      <c r="R39" s="106">
        <v>-2.5</v>
      </c>
    </row>
    <row r="40" spans="1:18">
      <c r="A40" s="158"/>
      <c r="B40" s="159"/>
      <c r="C40" s="104">
        <v>9.9320000000000004</v>
      </c>
      <c r="D40" s="106">
        <v>-0.7</v>
      </c>
      <c r="E40" s="104">
        <v>20.288</v>
      </c>
      <c r="F40" s="106">
        <v>1.4</v>
      </c>
      <c r="G40" s="104">
        <v>78.823999999999998</v>
      </c>
      <c r="H40" s="106">
        <v>-1.5</v>
      </c>
      <c r="I40" s="104">
        <v>401.31</v>
      </c>
      <c r="J40" s="106">
        <v>0.3</v>
      </c>
      <c r="K40" s="104">
        <v>1011.836</v>
      </c>
      <c r="L40" s="106">
        <v>1.2</v>
      </c>
      <c r="M40" s="104">
        <v>4291.6689999999999</v>
      </c>
      <c r="N40" s="106">
        <v>7.3</v>
      </c>
      <c r="O40" s="104">
        <v>8796.8590000000004</v>
      </c>
      <c r="P40" s="106">
        <v>10</v>
      </c>
      <c r="Q40" s="104">
        <v>10588.923000000001</v>
      </c>
      <c r="R40" s="106">
        <v>5.9</v>
      </c>
    </row>
    <row r="41" spans="1:18">
      <c r="A41" s="158">
        <v>45811</v>
      </c>
      <c r="B41" s="159">
        <v>6</v>
      </c>
      <c r="C41" s="104" t="s">
        <v>233</v>
      </c>
      <c r="D41" s="112"/>
      <c r="E41" s="104">
        <v>20.925999999999998</v>
      </c>
      <c r="F41" s="106">
        <v>4.5999999999999996</v>
      </c>
      <c r="G41" s="104">
        <v>74.435000000000002</v>
      </c>
      <c r="H41" s="106">
        <v>-7</v>
      </c>
      <c r="I41" s="104">
        <v>382.56799999999998</v>
      </c>
      <c r="J41" s="106">
        <v>-4.4000000000000004</v>
      </c>
      <c r="K41" s="104">
        <v>973.60199999999998</v>
      </c>
      <c r="L41" s="106">
        <v>-2.6</v>
      </c>
      <c r="M41" s="104">
        <v>3999.6010000000001</v>
      </c>
      <c r="N41" s="106">
        <v>0</v>
      </c>
      <c r="O41" s="104">
        <v>7865.1540000000005</v>
      </c>
      <c r="P41" s="106">
        <v>-1.7</v>
      </c>
      <c r="Q41" s="104">
        <v>9836.14</v>
      </c>
      <c r="R41" s="106">
        <v>-1.6</v>
      </c>
    </row>
    <row r="42" spans="1:18">
      <c r="A42" s="158"/>
      <c r="B42" s="159"/>
      <c r="C42" s="104">
        <v>9.3960000000000008</v>
      </c>
      <c r="D42" s="106">
        <v>-6</v>
      </c>
      <c r="E42" s="104">
        <v>21.81</v>
      </c>
      <c r="F42" s="106">
        <v>9.1</v>
      </c>
      <c r="G42" s="104">
        <v>80.956999999999994</v>
      </c>
      <c r="H42" s="106">
        <v>1.2</v>
      </c>
      <c r="I42" s="104">
        <v>404.75099999999998</v>
      </c>
      <c r="J42" s="106">
        <v>1.2</v>
      </c>
      <c r="K42" s="104">
        <v>1023.3049999999999</v>
      </c>
      <c r="L42" s="106">
        <v>2.2999999999999998</v>
      </c>
      <c r="M42" s="104">
        <v>4112.8850000000002</v>
      </c>
      <c r="N42" s="106">
        <v>2.8</v>
      </c>
      <c r="O42" s="104">
        <v>8084.9650000000001</v>
      </c>
      <c r="P42" s="106">
        <v>1.1000000000000001</v>
      </c>
      <c r="Q42" s="104">
        <v>10105.147999999999</v>
      </c>
      <c r="R42" s="106">
        <v>1.1000000000000001</v>
      </c>
    </row>
    <row r="43" spans="1:18" ht="14.1" customHeight="1">
      <c r="A43" s="158">
        <v>45819</v>
      </c>
      <c r="B43" s="159">
        <v>7</v>
      </c>
      <c r="C43" s="104">
        <v>9.7309999999999999</v>
      </c>
      <c r="D43" s="106">
        <v>-2.7</v>
      </c>
      <c r="E43" s="104" t="s">
        <v>231</v>
      </c>
      <c r="F43" s="112"/>
      <c r="G43" s="104">
        <v>75.731999999999999</v>
      </c>
      <c r="H43" s="106">
        <v>-5.3</v>
      </c>
      <c r="I43" s="104">
        <v>390.839</v>
      </c>
      <c r="J43" s="106">
        <v>-2.2999999999999998</v>
      </c>
      <c r="K43" s="104">
        <v>1102.82</v>
      </c>
      <c r="L43" s="106">
        <v>10.3</v>
      </c>
      <c r="M43" s="104">
        <v>4246.1859999999997</v>
      </c>
      <c r="N43" s="106">
        <v>6.2</v>
      </c>
      <c r="O43" s="104">
        <v>7579.4520000000002</v>
      </c>
      <c r="P43" s="106">
        <v>-5.3</v>
      </c>
      <c r="Q43" s="104">
        <v>9831.4089999999997</v>
      </c>
      <c r="R43" s="106">
        <v>-1.7</v>
      </c>
    </row>
    <row r="44" spans="1:18" ht="14.1" customHeight="1">
      <c r="A44" s="158"/>
      <c r="B44" s="159"/>
      <c r="C44" s="104">
        <v>10.209</v>
      </c>
      <c r="D44" s="106">
        <v>2.1</v>
      </c>
      <c r="E44" s="104">
        <v>20.76</v>
      </c>
      <c r="F44" s="106">
        <v>3.8</v>
      </c>
      <c r="G44" s="104">
        <v>75.741</v>
      </c>
      <c r="H44" s="106">
        <v>-5.3</v>
      </c>
      <c r="I44" s="104">
        <v>395.37200000000001</v>
      </c>
      <c r="J44" s="106">
        <v>-1.2</v>
      </c>
      <c r="K44" s="104">
        <v>1005.465</v>
      </c>
      <c r="L44" s="106">
        <v>0.5</v>
      </c>
      <c r="M44" s="104">
        <v>4110.5200000000004</v>
      </c>
      <c r="N44" s="106">
        <v>2.8</v>
      </c>
      <c r="O44" s="104">
        <v>7788.4679999999998</v>
      </c>
      <c r="P44" s="106">
        <v>-2.6</v>
      </c>
      <c r="Q44" s="104">
        <v>10074.800999999999</v>
      </c>
      <c r="R44" s="106">
        <v>0.7</v>
      </c>
    </row>
    <row r="45" spans="1:18" ht="14.1" customHeight="1">
      <c r="A45" s="158">
        <v>45897</v>
      </c>
      <c r="B45" s="159">
        <v>9</v>
      </c>
      <c r="C45" s="104">
        <v>9.14</v>
      </c>
      <c r="D45" s="106">
        <v>-8.6</v>
      </c>
      <c r="E45" s="104">
        <v>20.847999999999999</v>
      </c>
      <c r="F45" s="106">
        <v>4.2</v>
      </c>
      <c r="G45" s="104">
        <v>75.164000000000001</v>
      </c>
      <c r="H45" s="106">
        <v>-6</v>
      </c>
      <c r="I45" s="104">
        <v>394.24700000000001</v>
      </c>
      <c r="J45" s="106">
        <v>-1.4</v>
      </c>
      <c r="K45" s="104">
        <v>991.82500000000005</v>
      </c>
      <c r="L45" s="106">
        <v>-0.8</v>
      </c>
      <c r="M45" s="104">
        <v>4066.3890000000001</v>
      </c>
      <c r="N45" s="106">
        <v>1.7</v>
      </c>
      <c r="O45" s="104">
        <v>7882.02</v>
      </c>
      <c r="P45" s="106">
        <v>-1.5</v>
      </c>
      <c r="Q45" s="104">
        <v>9724.2720000000008</v>
      </c>
      <c r="R45" s="106">
        <v>-2.8</v>
      </c>
    </row>
    <row r="46" spans="1:18" ht="14.1" customHeight="1">
      <c r="A46" s="158"/>
      <c r="B46" s="159"/>
      <c r="C46" s="104">
        <v>10.548</v>
      </c>
      <c r="D46" s="106">
        <v>5.5</v>
      </c>
      <c r="E46" s="104">
        <v>20.510999999999999</v>
      </c>
      <c r="F46" s="106">
        <v>2.6</v>
      </c>
      <c r="G46" s="104">
        <v>83.271000000000001</v>
      </c>
      <c r="H46" s="106">
        <v>4.0999999999999996</v>
      </c>
      <c r="I46" s="104">
        <v>394.43599999999998</v>
      </c>
      <c r="J46" s="106">
        <v>-1.4</v>
      </c>
      <c r="K46" s="104">
        <v>1036.2280000000001</v>
      </c>
      <c r="L46" s="106">
        <v>3.6</v>
      </c>
      <c r="M46" s="104">
        <v>4094.1260000000002</v>
      </c>
      <c r="N46" s="106">
        <v>2.4</v>
      </c>
      <c r="O46" s="104">
        <v>7767.1329999999998</v>
      </c>
      <c r="P46" s="106">
        <v>-2.9</v>
      </c>
      <c r="Q46" s="104">
        <v>10142.912</v>
      </c>
      <c r="R46" s="106">
        <v>1.4</v>
      </c>
    </row>
    <row r="47" spans="1:18" ht="14.1" customHeight="1">
      <c r="A47" s="158">
        <v>45898</v>
      </c>
      <c r="B47" s="159">
        <v>10</v>
      </c>
      <c r="C47" s="104">
        <v>11.305999999999999</v>
      </c>
      <c r="D47" s="106">
        <v>13.1</v>
      </c>
      <c r="E47" s="104">
        <v>17.507000000000001</v>
      </c>
      <c r="F47" s="106">
        <v>-12.5</v>
      </c>
      <c r="G47" s="104">
        <v>78.989999999999995</v>
      </c>
      <c r="H47" s="106">
        <v>-1.3</v>
      </c>
      <c r="I47" s="104">
        <v>402.82299999999998</v>
      </c>
      <c r="J47" s="106">
        <v>0.7</v>
      </c>
      <c r="K47" s="104">
        <v>1007.037</v>
      </c>
      <c r="L47" s="106">
        <v>0.7</v>
      </c>
      <c r="M47" s="104">
        <v>4034.3589999999999</v>
      </c>
      <c r="N47" s="106">
        <v>0.9</v>
      </c>
      <c r="O47" s="104">
        <v>7896.9560000000001</v>
      </c>
      <c r="P47" s="106">
        <v>-1.3</v>
      </c>
      <c r="Q47" s="104">
        <v>9834.6290000000008</v>
      </c>
      <c r="R47" s="106">
        <v>-1.7</v>
      </c>
    </row>
    <row r="48" spans="1:18" s="3" customFormat="1">
      <c r="A48" s="158"/>
      <c r="B48" s="159"/>
      <c r="C48" s="104">
        <v>9.3960000000000008</v>
      </c>
      <c r="D48" s="106">
        <v>-6</v>
      </c>
      <c r="E48" s="104">
        <v>19.96</v>
      </c>
      <c r="F48" s="106">
        <v>-0.2</v>
      </c>
      <c r="G48" s="104">
        <v>76.031000000000006</v>
      </c>
      <c r="H48" s="106">
        <v>-5</v>
      </c>
      <c r="I48" s="104">
        <v>398.649</v>
      </c>
      <c r="J48" s="106">
        <v>-0.3</v>
      </c>
      <c r="K48" s="104">
        <v>1055.5119999999999</v>
      </c>
      <c r="L48" s="106">
        <v>5.6</v>
      </c>
      <c r="M48" s="104">
        <v>4187.2259999999997</v>
      </c>
      <c r="N48" s="106">
        <v>4.7</v>
      </c>
      <c r="O48" s="104">
        <v>8037.7</v>
      </c>
      <c r="P48" s="106">
        <v>0.5</v>
      </c>
      <c r="Q48" s="104">
        <v>10216.955</v>
      </c>
      <c r="R48" s="106">
        <v>2.2000000000000002</v>
      </c>
    </row>
    <row r="49" spans="1:18">
      <c r="A49" s="20" t="s">
        <v>53</v>
      </c>
      <c r="B49" s="164"/>
      <c r="C49" s="104">
        <v>9.9740000000000002</v>
      </c>
      <c r="D49" s="167"/>
      <c r="E49" s="104">
        <v>20.285</v>
      </c>
      <c r="F49" s="167"/>
      <c r="G49" s="104">
        <v>77.384</v>
      </c>
      <c r="H49" s="167"/>
      <c r="I49" s="104">
        <v>396.03899999999999</v>
      </c>
      <c r="J49" s="167"/>
      <c r="K49" s="104">
        <v>1027.306</v>
      </c>
      <c r="L49" s="167"/>
      <c r="M49" s="104">
        <v>4096.8810000000003</v>
      </c>
      <c r="N49" s="167"/>
      <c r="O49" s="104">
        <v>7902.9070000000002</v>
      </c>
      <c r="P49" s="167"/>
      <c r="Q49" s="104">
        <v>9910.3070000000007</v>
      </c>
      <c r="R49" s="167"/>
    </row>
    <row r="50" spans="1:18">
      <c r="A50" s="20" t="s">
        <v>5</v>
      </c>
      <c r="B50" s="165"/>
      <c r="C50" s="104">
        <v>0.57499999999999996</v>
      </c>
      <c r="D50" s="168"/>
      <c r="E50" s="104">
        <v>1.17</v>
      </c>
      <c r="F50" s="168"/>
      <c r="G50" s="104">
        <v>3.9809999999999999</v>
      </c>
      <c r="H50" s="168"/>
      <c r="I50" s="104">
        <v>19.584</v>
      </c>
      <c r="J50" s="168"/>
      <c r="K50" s="104">
        <v>58.061</v>
      </c>
      <c r="L50" s="168"/>
      <c r="M50" s="104">
        <v>117.55500000000001</v>
      </c>
      <c r="N50" s="168"/>
      <c r="O50" s="104">
        <v>373.339</v>
      </c>
      <c r="P50" s="168"/>
      <c r="Q50" s="104">
        <v>324.73200000000003</v>
      </c>
      <c r="R50" s="168"/>
    </row>
    <row r="51" spans="1:18" s="107" customFormat="1">
      <c r="A51" s="106" t="s">
        <v>103</v>
      </c>
      <c r="B51" s="165"/>
      <c r="C51" s="106">
        <v>5.8</v>
      </c>
      <c r="D51" s="168"/>
      <c r="E51" s="106">
        <v>5.8</v>
      </c>
      <c r="F51" s="168"/>
      <c r="G51" s="106">
        <v>5.0999999999999996</v>
      </c>
      <c r="H51" s="168"/>
      <c r="I51" s="106">
        <v>4.9000000000000004</v>
      </c>
      <c r="J51" s="168"/>
      <c r="K51" s="106">
        <v>5.7</v>
      </c>
      <c r="L51" s="168"/>
      <c r="M51" s="106">
        <v>2.9</v>
      </c>
      <c r="N51" s="168"/>
      <c r="O51" s="106">
        <v>4.7</v>
      </c>
      <c r="P51" s="168"/>
      <c r="Q51" s="106">
        <v>3.3</v>
      </c>
      <c r="R51" s="168"/>
    </row>
    <row r="52" spans="1:18" s="107" customFormat="1">
      <c r="A52" s="106" t="s">
        <v>106</v>
      </c>
      <c r="B52" s="165"/>
      <c r="C52" s="106">
        <v>-0.3</v>
      </c>
      <c r="D52" s="168"/>
      <c r="E52" s="106">
        <v>1.4</v>
      </c>
      <c r="F52" s="168"/>
      <c r="G52" s="106">
        <v>-3.3</v>
      </c>
      <c r="H52" s="168"/>
      <c r="I52" s="106">
        <v>-1</v>
      </c>
      <c r="J52" s="168"/>
      <c r="K52" s="106">
        <v>2.7</v>
      </c>
      <c r="L52" s="168"/>
      <c r="M52" s="106">
        <v>2.4</v>
      </c>
      <c r="N52" s="168"/>
      <c r="O52" s="106">
        <v>-1.2</v>
      </c>
      <c r="P52" s="168"/>
      <c r="Q52" s="106">
        <v>-0.9</v>
      </c>
      <c r="R52" s="168"/>
    </row>
    <row r="53" spans="1:18" s="114" customFormat="1">
      <c r="A53" s="113" t="s">
        <v>6</v>
      </c>
      <c r="B53" s="166"/>
      <c r="C53" s="113">
        <v>13</v>
      </c>
      <c r="D53" s="169"/>
      <c r="E53" s="113">
        <v>12</v>
      </c>
      <c r="F53" s="169"/>
      <c r="G53" s="113">
        <v>13</v>
      </c>
      <c r="H53" s="169"/>
      <c r="I53" s="113">
        <v>14</v>
      </c>
      <c r="J53" s="169"/>
      <c r="K53" s="113">
        <v>14</v>
      </c>
      <c r="L53" s="169"/>
      <c r="M53" s="113">
        <v>14</v>
      </c>
      <c r="N53" s="169"/>
      <c r="O53" s="113">
        <v>14</v>
      </c>
      <c r="P53" s="169"/>
      <c r="Q53" s="113">
        <v>14</v>
      </c>
      <c r="R53" s="169"/>
    </row>
    <row r="54" spans="1:18">
      <c r="A54" s="6" t="s">
        <v>177</v>
      </c>
    </row>
    <row r="64" spans="1:18">
      <c r="B64" s="7"/>
    </row>
    <row r="65" spans="2:2">
      <c r="B65" s="7"/>
    </row>
  </sheetData>
  <mergeCells count="69">
    <mergeCell ref="L49:L53"/>
    <mergeCell ref="N49:N53"/>
    <mergeCell ref="P49:P53"/>
    <mergeCell ref="R49:R53"/>
    <mergeCell ref="B49:B53"/>
    <mergeCell ref="D49:D53"/>
    <mergeCell ref="F49:F53"/>
    <mergeCell ref="H49:H53"/>
    <mergeCell ref="J49:J53"/>
    <mergeCell ref="A43:A44"/>
    <mergeCell ref="B43:B44"/>
    <mergeCell ref="A45:A46"/>
    <mergeCell ref="B45:B46"/>
    <mergeCell ref="A47:A48"/>
    <mergeCell ref="B47:B48"/>
    <mergeCell ref="A37:A38"/>
    <mergeCell ref="B37:B38"/>
    <mergeCell ref="A39:A40"/>
    <mergeCell ref="B39:B40"/>
    <mergeCell ref="A41:A42"/>
    <mergeCell ref="B41:B42"/>
    <mergeCell ref="P24:P28"/>
    <mergeCell ref="R24:R28"/>
    <mergeCell ref="A32:A34"/>
    <mergeCell ref="B32:B34"/>
    <mergeCell ref="D32:D34"/>
    <mergeCell ref="F32:F34"/>
    <mergeCell ref="H32:H34"/>
    <mergeCell ref="J32:J34"/>
    <mergeCell ref="L32:L34"/>
    <mergeCell ref="N32:N34"/>
    <mergeCell ref="P32:P34"/>
    <mergeCell ref="R32:R34"/>
    <mergeCell ref="F24:F28"/>
    <mergeCell ref="H24:H28"/>
    <mergeCell ref="J24:J28"/>
    <mergeCell ref="L24:L28"/>
    <mergeCell ref="N24:N28"/>
    <mergeCell ref="A20:A21"/>
    <mergeCell ref="B20:B21"/>
    <mergeCell ref="A22:A23"/>
    <mergeCell ref="B22:B23"/>
    <mergeCell ref="D24:D28"/>
    <mergeCell ref="A2:E2"/>
    <mergeCell ref="A5:E5"/>
    <mergeCell ref="A7:A9"/>
    <mergeCell ref="B7:B9"/>
    <mergeCell ref="B24:B28"/>
    <mergeCell ref="B14:B15"/>
    <mergeCell ref="A16:A17"/>
    <mergeCell ref="B16:B17"/>
    <mergeCell ref="A18:A19"/>
    <mergeCell ref="B18:B19"/>
    <mergeCell ref="A35:A36"/>
    <mergeCell ref="B35:B36"/>
    <mergeCell ref="P7:P9"/>
    <mergeCell ref="J7:J9"/>
    <mergeCell ref="R7:R9"/>
    <mergeCell ref="L7:L9"/>
    <mergeCell ref="N7:N9"/>
    <mergeCell ref="A30:D30"/>
    <mergeCell ref="D7:D9"/>
    <mergeCell ref="F7:F9"/>
    <mergeCell ref="H7:H9"/>
    <mergeCell ref="A10:A11"/>
    <mergeCell ref="B10:B11"/>
    <mergeCell ref="A12:A13"/>
    <mergeCell ref="B12:B13"/>
    <mergeCell ref="A14:A15"/>
  </mergeCells>
  <phoneticPr fontId="4" type="noConversion"/>
  <printOptions headings="1" gridLines="1"/>
  <pageMargins left="0.70866141732283472" right="0.70866141732283472" top="0.74803149606299213" bottom="0.74803149606299213" header="0.31496062992125984" footer="0.31496062992125984"/>
  <pageSetup scale="50" orientation="portrait" r:id="rId1"/>
  <headerFooter>
    <oddHeader>&amp;C 1632MV7生物分析方法学验证数据</oddHeader>
    <oddFooter>&amp;C第&amp;P页，共&amp;N页</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pageSetUpPr fitToPage="1"/>
  </sheetPr>
  <dimension ref="A2:L58"/>
  <sheetViews>
    <sheetView topLeftCell="A28" zoomScaleNormal="100" zoomScaleSheetLayoutView="100" workbookViewId="0">
      <selection activeCell="Q28" sqref="Q28"/>
    </sheetView>
  </sheetViews>
  <sheetFormatPr defaultColWidth="8.875" defaultRowHeight="13.5"/>
  <cols>
    <col min="1" max="1" width="16" style="1" customWidth="1"/>
    <col min="2" max="3" width="10.875" style="1" customWidth="1"/>
    <col min="4" max="4" width="10.875" style="107" customWidth="1"/>
    <col min="5" max="5" width="10.875" style="1" customWidth="1"/>
    <col min="6" max="6" width="10.875" style="107" customWidth="1"/>
    <col min="7" max="7" width="10.875" style="1" customWidth="1"/>
    <col min="8" max="8" width="10.875" style="107" customWidth="1"/>
    <col min="9" max="9" width="10.875" style="1" customWidth="1"/>
    <col min="10" max="10" width="10.875" style="107" customWidth="1"/>
    <col min="11" max="11" width="11.75" style="1" customWidth="1"/>
    <col min="12" max="12" width="8.875" style="107"/>
    <col min="13" max="16384" width="8.875" style="1"/>
  </cols>
  <sheetData>
    <row r="2" spans="1:12" s="16" customFormat="1" ht="15">
      <c r="A2" s="142" t="s">
        <v>90</v>
      </c>
      <c r="B2" s="142"/>
      <c r="C2" s="142"/>
      <c r="D2" s="142"/>
      <c r="E2" s="12"/>
      <c r="F2" s="117"/>
      <c r="G2" s="12"/>
      <c r="H2" s="117"/>
      <c r="I2" s="7"/>
      <c r="J2" s="119"/>
      <c r="L2" s="119"/>
    </row>
    <row r="3" spans="1:12" s="16" customFormat="1" ht="15">
      <c r="A3" s="10"/>
      <c r="B3" s="10"/>
      <c r="C3" s="10"/>
      <c r="D3" s="116"/>
      <c r="E3" s="12"/>
      <c r="F3" s="117"/>
      <c r="G3" s="12"/>
      <c r="H3" s="117"/>
      <c r="I3" s="7"/>
      <c r="J3" s="119"/>
      <c r="L3" s="119"/>
    </row>
    <row r="4" spans="1:12" s="16" customFormat="1" ht="15">
      <c r="A4" s="75"/>
      <c r="B4" s="12"/>
      <c r="C4" s="12"/>
      <c r="D4" s="117"/>
      <c r="E4" s="12"/>
      <c r="F4" s="117"/>
      <c r="G4" s="12"/>
      <c r="H4" s="117"/>
      <c r="I4" s="7"/>
      <c r="J4" s="119"/>
      <c r="L4" s="119"/>
    </row>
    <row r="5" spans="1:12" s="16" customFormat="1" ht="15">
      <c r="A5" s="12" t="s">
        <v>240</v>
      </c>
      <c r="B5" s="12"/>
      <c r="C5" s="12"/>
      <c r="D5" s="117"/>
      <c r="E5" s="12"/>
      <c r="F5" s="117"/>
      <c r="G5" s="12"/>
      <c r="H5" s="117"/>
      <c r="I5" s="7"/>
      <c r="J5" s="119"/>
      <c r="L5" s="119"/>
    </row>
    <row r="6" spans="1:12">
      <c r="A6" s="159" t="s">
        <v>51</v>
      </c>
      <c r="B6" s="159" t="s">
        <v>52</v>
      </c>
      <c r="C6" s="34" t="s">
        <v>235</v>
      </c>
      <c r="D6" s="160" t="s">
        <v>106</v>
      </c>
      <c r="E6" s="34" t="s">
        <v>236</v>
      </c>
      <c r="F6" s="160" t="s">
        <v>106</v>
      </c>
      <c r="G6" s="34" t="s">
        <v>237</v>
      </c>
      <c r="H6" s="160" t="s">
        <v>106</v>
      </c>
      <c r="I6" s="34" t="s">
        <v>238</v>
      </c>
      <c r="J6" s="160" t="s">
        <v>106</v>
      </c>
      <c r="K6" s="34" t="s">
        <v>239</v>
      </c>
      <c r="L6" s="160" t="s">
        <v>106</v>
      </c>
    </row>
    <row r="7" spans="1:12">
      <c r="A7" s="159"/>
      <c r="B7" s="159"/>
      <c r="C7" s="74">
        <v>30</v>
      </c>
      <c r="D7" s="160"/>
      <c r="E7" s="74">
        <v>300</v>
      </c>
      <c r="F7" s="160"/>
      <c r="G7" s="74">
        <v>3000</v>
      </c>
      <c r="H7" s="160"/>
      <c r="I7" s="74">
        <v>7500</v>
      </c>
      <c r="J7" s="160"/>
      <c r="K7" s="74">
        <v>100000</v>
      </c>
      <c r="L7" s="160"/>
    </row>
    <row r="8" spans="1:12">
      <c r="A8" s="159"/>
      <c r="B8" s="159"/>
      <c r="C8" s="45" t="s">
        <v>36</v>
      </c>
      <c r="D8" s="160"/>
      <c r="E8" s="45" t="s">
        <v>36</v>
      </c>
      <c r="F8" s="160"/>
      <c r="G8" s="45" t="s">
        <v>36</v>
      </c>
      <c r="H8" s="160"/>
      <c r="I8" s="45" t="s">
        <v>36</v>
      </c>
      <c r="J8" s="160"/>
      <c r="K8" s="45" t="s">
        <v>36</v>
      </c>
      <c r="L8" s="160"/>
    </row>
    <row r="9" spans="1:12">
      <c r="A9" s="170">
        <v>45811</v>
      </c>
      <c r="B9" s="173">
        <v>6</v>
      </c>
      <c r="C9" s="52">
        <v>30.265000000000001</v>
      </c>
      <c r="D9" s="118">
        <v>0.9</v>
      </c>
      <c r="E9" s="52">
        <v>296.08999999999997</v>
      </c>
      <c r="F9" s="118">
        <v>-1.3</v>
      </c>
      <c r="G9" s="52">
        <v>3110.6990000000001</v>
      </c>
      <c r="H9" s="118">
        <v>3.7</v>
      </c>
      <c r="I9" s="52">
        <v>7684.3320000000003</v>
      </c>
      <c r="J9" s="118">
        <v>2.5</v>
      </c>
      <c r="K9" s="65"/>
      <c r="L9" s="120"/>
    </row>
    <row r="10" spans="1:12">
      <c r="A10" s="171"/>
      <c r="B10" s="174"/>
      <c r="C10" s="52">
        <v>30.495000000000001</v>
      </c>
      <c r="D10" s="118">
        <v>1.7</v>
      </c>
      <c r="E10" s="52">
        <v>318.029</v>
      </c>
      <c r="F10" s="118">
        <v>6</v>
      </c>
      <c r="G10" s="52">
        <v>3086.3679999999999</v>
      </c>
      <c r="H10" s="118">
        <v>2.9</v>
      </c>
      <c r="I10" s="52">
        <v>7483.143</v>
      </c>
      <c r="J10" s="118">
        <v>-0.2</v>
      </c>
      <c r="K10" s="65"/>
      <c r="L10" s="120"/>
    </row>
    <row r="11" spans="1:12">
      <c r="A11" s="171"/>
      <c r="B11" s="174"/>
      <c r="C11" s="52">
        <v>31.638000000000002</v>
      </c>
      <c r="D11" s="118">
        <v>5.5</v>
      </c>
      <c r="E11" s="52" t="s">
        <v>234</v>
      </c>
      <c r="F11" s="118">
        <v>17.899999999999999</v>
      </c>
      <c r="G11" s="52">
        <v>2997.9059999999999</v>
      </c>
      <c r="H11" s="118">
        <v>-0.1</v>
      </c>
      <c r="I11" s="52">
        <v>7326.4040000000005</v>
      </c>
      <c r="J11" s="118">
        <v>-2.2999999999999998</v>
      </c>
      <c r="K11" s="65"/>
      <c r="L11" s="120"/>
    </row>
    <row r="12" spans="1:12">
      <c r="A12" s="172"/>
      <c r="B12" s="175"/>
      <c r="C12" s="52">
        <v>29.22</v>
      </c>
      <c r="D12" s="118">
        <v>-2.6</v>
      </c>
      <c r="E12" s="52">
        <v>297.17899999999997</v>
      </c>
      <c r="F12" s="118">
        <v>-0.9</v>
      </c>
      <c r="G12" s="52">
        <v>3095.9029999999998</v>
      </c>
      <c r="H12" s="118">
        <v>3.2</v>
      </c>
      <c r="I12" s="52">
        <v>7395.3230000000003</v>
      </c>
      <c r="J12" s="118">
        <v>-1.4</v>
      </c>
      <c r="K12" s="65"/>
      <c r="L12" s="120"/>
    </row>
    <row r="13" spans="1:12">
      <c r="A13" s="170">
        <v>45819</v>
      </c>
      <c r="B13" s="173">
        <v>7</v>
      </c>
      <c r="C13" s="52">
        <v>30.588000000000001</v>
      </c>
      <c r="D13" s="118">
        <v>2</v>
      </c>
      <c r="E13" s="52">
        <v>299.87200000000001</v>
      </c>
      <c r="F13" s="118">
        <v>0</v>
      </c>
      <c r="G13" s="52">
        <v>3088.3589999999999</v>
      </c>
      <c r="H13" s="118">
        <v>2.9</v>
      </c>
      <c r="I13" s="52">
        <v>7413.4669999999996</v>
      </c>
      <c r="J13" s="118">
        <v>-1.2</v>
      </c>
      <c r="K13" s="65"/>
      <c r="L13" s="120"/>
    </row>
    <row r="14" spans="1:12">
      <c r="A14" s="171"/>
      <c r="B14" s="174"/>
      <c r="C14" s="52">
        <v>27.896000000000001</v>
      </c>
      <c r="D14" s="118">
        <v>-7</v>
      </c>
      <c r="E14" s="52">
        <v>298.03100000000001</v>
      </c>
      <c r="F14" s="118">
        <v>-0.7</v>
      </c>
      <c r="G14" s="52">
        <v>3188.6289999999999</v>
      </c>
      <c r="H14" s="118">
        <v>6.3</v>
      </c>
      <c r="I14" s="52">
        <v>7545.2129999999997</v>
      </c>
      <c r="J14" s="118">
        <v>0.6</v>
      </c>
      <c r="K14" s="65"/>
      <c r="L14" s="120"/>
    </row>
    <row r="15" spans="1:12">
      <c r="A15" s="171"/>
      <c r="B15" s="174"/>
      <c r="C15" s="52">
        <v>29.134</v>
      </c>
      <c r="D15" s="118">
        <v>-2.9</v>
      </c>
      <c r="E15" s="52">
        <v>294.63400000000001</v>
      </c>
      <c r="F15" s="118">
        <v>-1.8</v>
      </c>
      <c r="G15" s="52">
        <v>3029.6959999999999</v>
      </c>
      <c r="H15" s="118">
        <v>1</v>
      </c>
      <c r="I15" s="52">
        <v>7311.3280000000004</v>
      </c>
      <c r="J15" s="118">
        <v>-2.5</v>
      </c>
      <c r="K15" s="65"/>
      <c r="L15" s="120"/>
    </row>
    <row r="16" spans="1:12">
      <c r="A16" s="172"/>
      <c r="B16" s="175"/>
      <c r="C16" s="52">
        <v>27.988</v>
      </c>
      <c r="D16" s="118">
        <v>-6.7</v>
      </c>
      <c r="E16" s="52">
        <v>288.577</v>
      </c>
      <c r="F16" s="118">
        <v>-3.8</v>
      </c>
      <c r="G16" s="52">
        <v>3071.4169999999999</v>
      </c>
      <c r="H16" s="118">
        <v>2.4</v>
      </c>
      <c r="I16" s="52">
        <v>7517.1570000000002</v>
      </c>
      <c r="J16" s="118">
        <v>0.2</v>
      </c>
      <c r="K16" s="65"/>
      <c r="L16" s="120"/>
    </row>
    <row r="17" spans="1:12">
      <c r="A17" s="170">
        <v>45897</v>
      </c>
      <c r="B17" s="173">
        <v>9</v>
      </c>
      <c r="C17" s="52">
        <v>31.39</v>
      </c>
      <c r="D17" s="118">
        <v>4.5999999999999996</v>
      </c>
      <c r="E17" s="52">
        <v>304.65499999999997</v>
      </c>
      <c r="F17" s="118">
        <v>1.6</v>
      </c>
      <c r="G17" s="52">
        <v>2899.41</v>
      </c>
      <c r="H17" s="118">
        <v>-3.4</v>
      </c>
      <c r="I17" s="52">
        <v>7197.5590000000002</v>
      </c>
      <c r="J17" s="118">
        <v>-4</v>
      </c>
      <c r="K17" s="65"/>
      <c r="L17" s="120"/>
    </row>
    <row r="18" spans="1:12">
      <c r="A18" s="171"/>
      <c r="B18" s="174"/>
      <c r="C18" s="52">
        <v>31.117000000000001</v>
      </c>
      <c r="D18" s="118">
        <v>3.7</v>
      </c>
      <c r="E18" s="52">
        <v>291.89499999999998</v>
      </c>
      <c r="F18" s="118">
        <v>-2.7</v>
      </c>
      <c r="G18" s="52">
        <v>2884.0639999999999</v>
      </c>
      <c r="H18" s="118">
        <v>-3.9</v>
      </c>
      <c r="I18" s="52">
        <v>7325.7719999999999</v>
      </c>
      <c r="J18" s="118">
        <v>-2.2999999999999998</v>
      </c>
      <c r="K18" s="65"/>
      <c r="L18" s="120"/>
    </row>
    <row r="19" spans="1:12">
      <c r="A19" s="171"/>
      <c r="B19" s="174"/>
      <c r="C19" s="52">
        <v>30.895</v>
      </c>
      <c r="D19" s="118">
        <v>3</v>
      </c>
      <c r="E19" s="52">
        <v>294.24799999999999</v>
      </c>
      <c r="F19" s="118">
        <v>-1.9</v>
      </c>
      <c r="G19" s="52">
        <v>3087.3670000000002</v>
      </c>
      <c r="H19" s="118">
        <v>2.9</v>
      </c>
      <c r="I19" s="52">
        <v>7349.3540000000003</v>
      </c>
      <c r="J19" s="118">
        <v>-2</v>
      </c>
      <c r="K19" s="65"/>
      <c r="L19" s="120"/>
    </row>
    <row r="20" spans="1:12">
      <c r="A20" s="172"/>
      <c r="B20" s="175"/>
      <c r="C20" s="52">
        <v>28.728999999999999</v>
      </c>
      <c r="D20" s="118">
        <v>-4.2</v>
      </c>
      <c r="E20" s="52">
        <v>296.505</v>
      </c>
      <c r="F20" s="118">
        <v>-1.2</v>
      </c>
      <c r="G20" s="52">
        <v>2982.52</v>
      </c>
      <c r="H20" s="118">
        <v>-0.6</v>
      </c>
      <c r="I20" s="52">
        <v>7304.6459999999997</v>
      </c>
      <c r="J20" s="118">
        <v>-2.6</v>
      </c>
      <c r="K20" s="65"/>
      <c r="L20" s="120"/>
    </row>
    <row r="21" spans="1:12">
      <c r="A21" s="170">
        <v>45898</v>
      </c>
      <c r="B21" s="173">
        <v>10</v>
      </c>
      <c r="C21" s="52">
        <v>33.408999999999999</v>
      </c>
      <c r="D21" s="118">
        <v>11.4</v>
      </c>
      <c r="E21" s="52">
        <v>294.91699999999997</v>
      </c>
      <c r="F21" s="118">
        <v>-1.7</v>
      </c>
      <c r="G21" s="52">
        <v>2916.9070000000002</v>
      </c>
      <c r="H21" s="118">
        <v>-2.8</v>
      </c>
      <c r="I21" s="52">
        <v>7352.6790000000001</v>
      </c>
      <c r="J21" s="118">
        <v>-2</v>
      </c>
      <c r="K21" s="52">
        <v>96098.437000000005</v>
      </c>
      <c r="L21" s="118">
        <v>-3.9</v>
      </c>
    </row>
    <row r="22" spans="1:12">
      <c r="A22" s="171"/>
      <c r="B22" s="174"/>
      <c r="C22" s="52">
        <v>29.902999999999999</v>
      </c>
      <c r="D22" s="118">
        <v>-0.3</v>
      </c>
      <c r="E22" s="52">
        <v>290.26400000000001</v>
      </c>
      <c r="F22" s="118">
        <v>-3.2</v>
      </c>
      <c r="G22" s="52">
        <v>2829.433</v>
      </c>
      <c r="H22" s="118">
        <v>-5.7</v>
      </c>
      <c r="I22" s="52">
        <v>7410.0159999999996</v>
      </c>
      <c r="J22" s="118">
        <v>-1.2</v>
      </c>
      <c r="K22" s="52">
        <v>95001.264999999999</v>
      </c>
      <c r="L22" s="118">
        <v>-5</v>
      </c>
    </row>
    <row r="23" spans="1:12">
      <c r="A23" s="171"/>
      <c r="B23" s="174"/>
      <c r="C23" s="52">
        <v>29.045000000000002</v>
      </c>
      <c r="D23" s="118">
        <v>-3.2</v>
      </c>
      <c r="E23" s="52">
        <v>301.84500000000003</v>
      </c>
      <c r="F23" s="118">
        <v>0.6</v>
      </c>
      <c r="G23" s="52">
        <v>2908.931</v>
      </c>
      <c r="H23" s="118">
        <v>-3</v>
      </c>
      <c r="I23" s="52">
        <v>7179.13</v>
      </c>
      <c r="J23" s="118">
        <v>-4.3</v>
      </c>
      <c r="K23" s="52">
        <v>92649.737999999998</v>
      </c>
      <c r="L23" s="118">
        <v>-7.4</v>
      </c>
    </row>
    <row r="24" spans="1:12">
      <c r="A24" s="172"/>
      <c r="B24" s="175"/>
      <c r="C24" s="52">
        <v>28.751999999999999</v>
      </c>
      <c r="D24" s="118">
        <v>-4.2</v>
      </c>
      <c r="E24" s="52">
        <v>297.899</v>
      </c>
      <c r="F24" s="118">
        <v>-0.7</v>
      </c>
      <c r="G24" s="52">
        <v>2902.5259999999998</v>
      </c>
      <c r="H24" s="118">
        <v>-3.2</v>
      </c>
      <c r="I24" s="52">
        <v>7003.2759999999998</v>
      </c>
      <c r="J24" s="118">
        <v>-6.6</v>
      </c>
      <c r="K24" s="115"/>
      <c r="L24" s="120"/>
    </row>
    <row r="25" spans="1:12">
      <c r="A25" s="34" t="s">
        <v>227</v>
      </c>
      <c r="B25" s="157"/>
      <c r="C25" s="52">
        <v>30.029</v>
      </c>
      <c r="D25" s="176"/>
      <c r="E25" s="52">
        <v>301.13900000000001</v>
      </c>
      <c r="F25" s="176"/>
      <c r="G25" s="52">
        <v>3005.0079999999998</v>
      </c>
      <c r="H25" s="176"/>
      <c r="I25" s="52">
        <v>7362.4250000000002</v>
      </c>
      <c r="J25" s="176"/>
      <c r="K25" s="52">
        <v>94583.146999999997</v>
      </c>
      <c r="L25" s="176"/>
    </row>
    <row r="26" spans="1:12">
      <c r="A26" s="34" t="s">
        <v>5</v>
      </c>
      <c r="B26" s="157"/>
      <c r="C26" s="52">
        <v>1.48</v>
      </c>
      <c r="D26" s="177"/>
      <c r="E26" s="52">
        <v>15.54</v>
      </c>
      <c r="F26" s="177"/>
      <c r="G26" s="52">
        <v>104.29900000000001</v>
      </c>
      <c r="H26" s="177"/>
      <c r="I26" s="52">
        <v>159.191</v>
      </c>
      <c r="J26" s="177"/>
      <c r="K26" s="52">
        <v>1761.9590000000001</v>
      </c>
      <c r="L26" s="177"/>
    </row>
    <row r="27" spans="1:12" s="107" customFormat="1">
      <c r="A27" s="111" t="s">
        <v>103</v>
      </c>
      <c r="B27" s="157"/>
      <c r="C27" s="118">
        <v>4.9000000000000004</v>
      </c>
      <c r="D27" s="177"/>
      <c r="E27" s="118">
        <v>5.2</v>
      </c>
      <c r="F27" s="177"/>
      <c r="G27" s="118">
        <v>3.5</v>
      </c>
      <c r="H27" s="177"/>
      <c r="I27" s="118">
        <v>2.2000000000000002</v>
      </c>
      <c r="J27" s="177"/>
      <c r="K27" s="118">
        <v>1.9</v>
      </c>
      <c r="L27" s="177"/>
    </row>
    <row r="28" spans="1:12" s="107" customFormat="1">
      <c r="A28" s="111" t="s">
        <v>106</v>
      </c>
      <c r="B28" s="157"/>
      <c r="C28" s="118">
        <v>0.1</v>
      </c>
      <c r="D28" s="177"/>
      <c r="E28" s="118">
        <v>0.4</v>
      </c>
      <c r="F28" s="177"/>
      <c r="G28" s="118">
        <v>0.2</v>
      </c>
      <c r="H28" s="177"/>
      <c r="I28" s="118">
        <v>-1.8</v>
      </c>
      <c r="J28" s="177"/>
      <c r="K28" s="118">
        <v>-5.4</v>
      </c>
      <c r="L28" s="177"/>
    </row>
    <row r="29" spans="1:12">
      <c r="A29" s="34" t="s">
        <v>6</v>
      </c>
      <c r="B29" s="157"/>
      <c r="C29" s="55">
        <v>16</v>
      </c>
      <c r="D29" s="178"/>
      <c r="E29" s="55">
        <v>16</v>
      </c>
      <c r="F29" s="178"/>
      <c r="G29" s="55">
        <v>16</v>
      </c>
      <c r="H29" s="178"/>
      <c r="I29" s="55">
        <v>16</v>
      </c>
      <c r="J29" s="178"/>
      <c r="K29" s="55">
        <v>3</v>
      </c>
      <c r="L29" s="178"/>
    </row>
    <row r="30" spans="1:12">
      <c r="A30" s="31" t="s">
        <v>243</v>
      </c>
    </row>
    <row r="33" spans="1:12" ht="15">
      <c r="A33" s="12" t="s">
        <v>241</v>
      </c>
      <c r="B33" s="12"/>
      <c r="C33" s="12"/>
      <c r="D33" s="117"/>
      <c r="E33" s="12"/>
      <c r="F33" s="117"/>
      <c r="G33" s="12"/>
      <c r="H33" s="117"/>
      <c r="I33" s="7"/>
      <c r="J33" s="119"/>
      <c r="K33" s="16"/>
      <c r="L33" s="119"/>
    </row>
    <row r="34" spans="1:12">
      <c r="A34" s="159" t="s">
        <v>51</v>
      </c>
      <c r="B34" s="159" t="s">
        <v>52</v>
      </c>
      <c r="C34" s="34" t="s">
        <v>235</v>
      </c>
      <c r="D34" s="160" t="s">
        <v>106</v>
      </c>
      <c r="E34" s="34" t="s">
        <v>236</v>
      </c>
      <c r="F34" s="160" t="s">
        <v>106</v>
      </c>
      <c r="G34" s="34" t="s">
        <v>237</v>
      </c>
      <c r="H34" s="160" t="s">
        <v>106</v>
      </c>
      <c r="I34" s="34" t="s">
        <v>238</v>
      </c>
      <c r="J34" s="160" t="s">
        <v>106</v>
      </c>
      <c r="K34" s="34" t="s">
        <v>239</v>
      </c>
      <c r="L34" s="160" t="s">
        <v>106</v>
      </c>
    </row>
    <row r="35" spans="1:12">
      <c r="A35" s="159"/>
      <c r="B35" s="159"/>
      <c r="C35" s="74">
        <v>30</v>
      </c>
      <c r="D35" s="160"/>
      <c r="E35" s="74">
        <v>300</v>
      </c>
      <c r="F35" s="160"/>
      <c r="G35" s="74">
        <v>3000</v>
      </c>
      <c r="H35" s="160"/>
      <c r="I35" s="74">
        <v>7500</v>
      </c>
      <c r="J35" s="160"/>
      <c r="K35" s="74">
        <v>100000</v>
      </c>
      <c r="L35" s="160"/>
    </row>
    <row r="36" spans="1:12">
      <c r="A36" s="159"/>
      <c r="B36" s="159"/>
      <c r="C36" s="45" t="s">
        <v>36</v>
      </c>
      <c r="D36" s="160"/>
      <c r="E36" s="45" t="s">
        <v>36</v>
      </c>
      <c r="F36" s="160"/>
      <c r="G36" s="45" t="s">
        <v>36</v>
      </c>
      <c r="H36" s="160"/>
      <c r="I36" s="45" t="s">
        <v>36</v>
      </c>
      <c r="J36" s="160"/>
      <c r="K36" s="45" t="s">
        <v>36</v>
      </c>
      <c r="L36" s="160"/>
    </row>
    <row r="37" spans="1:12">
      <c r="A37" s="170">
        <v>45811</v>
      </c>
      <c r="B37" s="173">
        <v>6</v>
      </c>
      <c r="C37" s="52">
        <v>29.884</v>
      </c>
      <c r="D37" s="118">
        <v>-0.4</v>
      </c>
      <c r="E37" s="52">
        <v>300.88600000000002</v>
      </c>
      <c r="F37" s="118">
        <v>0.3</v>
      </c>
      <c r="G37" s="52">
        <v>3165.931</v>
      </c>
      <c r="H37" s="118">
        <v>5.5</v>
      </c>
      <c r="I37" s="52">
        <v>7288.1850000000004</v>
      </c>
      <c r="J37" s="118">
        <v>-2.8</v>
      </c>
      <c r="K37" s="65"/>
      <c r="L37" s="120"/>
    </row>
    <row r="38" spans="1:12">
      <c r="A38" s="171"/>
      <c r="B38" s="174"/>
      <c r="C38" s="52">
        <v>29</v>
      </c>
      <c r="D38" s="118">
        <v>-3.3</v>
      </c>
      <c r="E38" s="52">
        <v>296.45100000000002</v>
      </c>
      <c r="F38" s="118">
        <v>-1.2</v>
      </c>
      <c r="G38" s="52" t="s">
        <v>242</v>
      </c>
      <c r="H38" s="118">
        <v>31.1</v>
      </c>
      <c r="I38" s="52">
        <v>7571.99</v>
      </c>
      <c r="J38" s="118">
        <v>1</v>
      </c>
      <c r="K38" s="65"/>
      <c r="L38" s="120"/>
    </row>
    <row r="39" spans="1:12">
      <c r="A39" s="171"/>
      <c r="B39" s="174"/>
      <c r="C39" s="52">
        <v>30.895</v>
      </c>
      <c r="D39" s="118">
        <v>3</v>
      </c>
      <c r="E39" s="52">
        <v>255.804</v>
      </c>
      <c r="F39" s="118">
        <v>-14.7</v>
      </c>
      <c r="G39" s="52">
        <v>3190.3870000000002</v>
      </c>
      <c r="H39" s="118">
        <v>6.3</v>
      </c>
      <c r="I39" s="52">
        <v>7592.1930000000002</v>
      </c>
      <c r="J39" s="118">
        <v>1.2</v>
      </c>
      <c r="K39" s="65"/>
      <c r="L39" s="120"/>
    </row>
    <row r="40" spans="1:12">
      <c r="A40" s="172"/>
      <c r="B40" s="175"/>
      <c r="C40" s="52">
        <v>30.1</v>
      </c>
      <c r="D40" s="118">
        <v>0.3</v>
      </c>
      <c r="E40" s="52">
        <v>313.65899999999999</v>
      </c>
      <c r="F40" s="118">
        <v>4.5999999999999996</v>
      </c>
      <c r="G40" s="52">
        <v>3140.9589999999998</v>
      </c>
      <c r="H40" s="118">
        <v>4.7</v>
      </c>
      <c r="I40" s="52">
        <v>7629.6970000000001</v>
      </c>
      <c r="J40" s="118">
        <v>1.7</v>
      </c>
      <c r="K40" s="65"/>
      <c r="L40" s="120"/>
    </row>
    <row r="41" spans="1:12">
      <c r="A41" s="170">
        <v>45819</v>
      </c>
      <c r="B41" s="173">
        <v>7</v>
      </c>
      <c r="C41" s="52">
        <v>25.561</v>
      </c>
      <c r="D41" s="118">
        <v>-14.8</v>
      </c>
      <c r="E41" s="52">
        <v>290.41899999999998</v>
      </c>
      <c r="F41" s="118">
        <v>-3.2</v>
      </c>
      <c r="G41" s="52">
        <v>3130.998</v>
      </c>
      <c r="H41" s="118">
        <v>4.4000000000000004</v>
      </c>
      <c r="I41" s="52">
        <v>7297.9080000000004</v>
      </c>
      <c r="J41" s="118">
        <v>-2.7</v>
      </c>
      <c r="K41" s="65"/>
      <c r="L41" s="120"/>
    </row>
    <row r="42" spans="1:12">
      <c r="A42" s="171"/>
      <c r="B42" s="174"/>
      <c r="C42" s="52">
        <v>28.960999999999999</v>
      </c>
      <c r="D42" s="118">
        <v>-3.5</v>
      </c>
      <c r="E42" s="52">
        <v>277.64999999999998</v>
      </c>
      <c r="F42" s="118">
        <v>-7.5</v>
      </c>
      <c r="G42" s="52">
        <v>3149.0859999999998</v>
      </c>
      <c r="H42" s="118">
        <v>5</v>
      </c>
      <c r="I42" s="52">
        <v>7450.0190000000002</v>
      </c>
      <c r="J42" s="118">
        <v>-0.7</v>
      </c>
      <c r="K42" s="65"/>
      <c r="L42" s="120"/>
    </row>
    <row r="43" spans="1:12">
      <c r="A43" s="171"/>
      <c r="B43" s="174"/>
      <c r="C43" s="52">
        <v>30.827999999999999</v>
      </c>
      <c r="D43" s="118">
        <v>2.8</v>
      </c>
      <c r="E43" s="52">
        <v>278.77</v>
      </c>
      <c r="F43" s="118">
        <v>-7.1</v>
      </c>
      <c r="G43" s="52">
        <v>3062.1370000000002</v>
      </c>
      <c r="H43" s="118">
        <v>2.1</v>
      </c>
      <c r="I43" s="52">
        <v>7315.7190000000001</v>
      </c>
      <c r="J43" s="118">
        <v>-2.5</v>
      </c>
      <c r="K43" s="65"/>
      <c r="L43" s="120"/>
    </row>
    <row r="44" spans="1:12">
      <c r="A44" s="172"/>
      <c r="B44" s="175"/>
      <c r="C44" s="52">
        <v>26.725000000000001</v>
      </c>
      <c r="D44" s="118">
        <v>-10.9</v>
      </c>
      <c r="E44" s="52">
        <v>274.42099999999999</v>
      </c>
      <c r="F44" s="118">
        <v>-8.5</v>
      </c>
      <c r="G44" s="52">
        <v>3051.143</v>
      </c>
      <c r="H44" s="118">
        <v>1.7</v>
      </c>
      <c r="I44" s="52">
        <v>7457.39</v>
      </c>
      <c r="J44" s="118">
        <v>-0.6</v>
      </c>
      <c r="K44" s="65"/>
      <c r="L44" s="120"/>
    </row>
    <row r="45" spans="1:12">
      <c r="A45" s="170">
        <v>45897</v>
      </c>
      <c r="B45" s="173">
        <v>9</v>
      </c>
      <c r="C45" s="52">
        <v>30.44</v>
      </c>
      <c r="D45" s="118">
        <v>1.5</v>
      </c>
      <c r="E45" s="52">
        <v>296.50200000000001</v>
      </c>
      <c r="F45" s="118">
        <v>-1.2</v>
      </c>
      <c r="G45" s="52">
        <v>2913.2330000000002</v>
      </c>
      <c r="H45" s="118">
        <v>-2.9</v>
      </c>
      <c r="I45" s="52">
        <v>7267.2870000000003</v>
      </c>
      <c r="J45" s="118">
        <v>-3.1</v>
      </c>
      <c r="K45" s="65"/>
      <c r="L45" s="120"/>
    </row>
    <row r="46" spans="1:12">
      <c r="A46" s="171"/>
      <c r="B46" s="174"/>
      <c r="C46" s="52">
        <v>32.122</v>
      </c>
      <c r="D46" s="118">
        <v>7.1</v>
      </c>
      <c r="E46" s="52">
        <v>289.51600000000002</v>
      </c>
      <c r="F46" s="118">
        <v>-3.5</v>
      </c>
      <c r="G46" s="52">
        <v>2928.3809999999999</v>
      </c>
      <c r="H46" s="118">
        <v>-2.4</v>
      </c>
      <c r="I46" s="52">
        <v>7323.8109999999997</v>
      </c>
      <c r="J46" s="118">
        <v>-2.2999999999999998</v>
      </c>
      <c r="K46" s="65"/>
      <c r="L46" s="120"/>
    </row>
    <row r="47" spans="1:12">
      <c r="A47" s="171"/>
      <c r="B47" s="174"/>
      <c r="C47" s="52">
        <v>31.064</v>
      </c>
      <c r="D47" s="118">
        <v>3.5</v>
      </c>
      <c r="E47" s="52">
        <v>297.17200000000003</v>
      </c>
      <c r="F47" s="118">
        <v>-0.9</v>
      </c>
      <c r="G47" s="52">
        <v>3027.5929999999998</v>
      </c>
      <c r="H47" s="118">
        <v>0.9</v>
      </c>
      <c r="I47" s="52">
        <v>7426.4380000000001</v>
      </c>
      <c r="J47" s="118">
        <v>-1</v>
      </c>
      <c r="K47" s="65"/>
      <c r="L47" s="120"/>
    </row>
    <row r="48" spans="1:12">
      <c r="A48" s="172"/>
      <c r="B48" s="175"/>
      <c r="C48" s="52">
        <v>29.529</v>
      </c>
      <c r="D48" s="118">
        <v>-1.6</v>
      </c>
      <c r="E48" s="52">
        <v>286.96899999999999</v>
      </c>
      <c r="F48" s="118">
        <v>-4.3</v>
      </c>
      <c r="G48" s="52">
        <v>2936.8339999999998</v>
      </c>
      <c r="H48" s="118">
        <v>-2.1</v>
      </c>
      <c r="I48" s="52">
        <v>7268.0879999999997</v>
      </c>
      <c r="J48" s="118">
        <v>-3.1</v>
      </c>
      <c r="K48" s="65"/>
      <c r="L48" s="120"/>
    </row>
    <row r="49" spans="1:12">
      <c r="A49" s="170">
        <v>45898</v>
      </c>
      <c r="B49" s="173">
        <v>10</v>
      </c>
      <c r="C49" s="52">
        <v>30.452999999999999</v>
      </c>
      <c r="D49" s="118">
        <v>1.5</v>
      </c>
      <c r="E49" s="52">
        <v>293.96899999999999</v>
      </c>
      <c r="F49" s="118">
        <v>-2</v>
      </c>
      <c r="G49" s="52">
        <v>2926.76</v>
      </c>
      <c r="H49" s="118">
        <v>-2.4</v>
      </c>
      <c r="I49" s="52">
        <v>7343.3019999999997</v>
      </c>
      <c r="J49" s="118">
        <v>-2.1</v>
      </c>
      <c r="K49" s="52">
        <v>95761.456000000006</v>
      </c>
      <c r="L49" s="118">
        <v>-4.2</v>
      </c>
    </row>
    <row r="50" spans="1:12">
      <c r="A50" s="171"/>
      <c r="B50" s="174"/>
      <c r="C50" s="52">
        <v>28.666</v>
      </c>
      <c r="D50" s="118">
        <v>-4.4000000000000004</v>
      </c>
      <c r="E50" s="52">
        <v>298.15499999999997</v>
      </c>
      <c r="F50" s="118">
        <v>-0.6</v>
      </c>
      <c r="G50" s="52">
        <v>2870.268</v>
      </c>
      <c r="H50" s="118">
        <v>-4.3</v>
      </c>
      <c r="I50" s="52">
        <v>7382.2160000000003</v>
      </c>
      <c r="J50" s="118">
        <v>-1.6</v>
      </c>
      <c r="K50" s="52">
        <v>94276.327999999994</v>
      </c>
      <c r="L50" s="118">
        <v>-5.7</v>
      </c>
    </row>
    <row r="51" spans="1:12">
      <c r="A51" s="171"/>
      <c r="B51" s="174"/>
      <c r="C51" s="52">
        <v>29.504000000000001</v>
      </c>
      <c r="D51" s="118">
        <v>-1.7</v>
      </c>
      <c r="E51" s="52">
        <v>297.738</v>
      </c>
      <c r="F51" s="118">
        <v>-0.8</v>
      </c>
      <c r="G51" s="52">
        <v>3030.6480000000001</v>
      </c>
      <c r="H51" s="118">
        <v>1</v>
      </c>
      <c r="I51" s="52">
        <v>7334.18</v>
      </c>
      <c r="J51" s="118">
        <v>-2.2000000000000002</v>
      </c>
      <c r="K51" s="52">
        <v>94642.657000000007</v>
      </c>
      <c r="L51" s="118">
        <v>-5.4</v>
      </c>
    </row>
    <row r="52" spans="1:12">
      <c r="A52" s="172"/>
      <c r="B52" s="175"/>
      <c r="C52" s="52">
        <v>29.585000000000001</v>
      </c>
      <c r="D52" s="118">
        <v>-1.4</v>
      </c>
      <c r="E52" s="52">
        <v>305.05599999999998</v>
      </c>
      <c r="F52" s="118">
        <v>1.7</v>
      </c>
      <c r="G52" s="52">
        <v>2942.64</v>
      </c>
      <c r="H52" s="118">
        <v>-1.9</v>
      </c>
      <c r="I52" s="52">
        <v>7162.6080000000002</v>
      </c>
      <c r="J52" s="118">
        <v>-4.5</v>
      </c>
      <c r="K52" s="115"/>
      <c r="L52" s="120"/>
    </row>
    <row r="53" spans="1:12">
      <c r="A53" s="34" t="s">
        <v>227</v>
      </c>
      <c r="B53" s="157"/>
      <c r="C53" s="52">
        <v>29.582000000000001</v>
      </c>
      <c r="D53" s="176"/>
      <c r="E53" s="52">
        <v>290.82100000000003</v>
      </c>
      <c r="F53" s="176"/>
      <c r="G53" s="52">
        <v>3087.509</v>
      </c>
      <c r="H53" s="176"/>
      <c r="I53" s="52">
        <v>7381.9390000000003</v>
      </c>
      <c r="J53" s="176"/>
      <c r="K53" s="52">
        <v>94893.48</v>
      </c>
      <c r="L53" s="176"/>
    </row>
    <row r="54" spans="1:12">
      <c r="A54" s="34" t="s">
        <v>5</v>
      </c>
      <c r="B54" s="157"/>
      <c r="C54" s="52">
        <v>1.6259999999999999</v>
      </c>
      <c r="D54" s="177"/>
      <c r="E54" s="52">
        <v>13.837</v>
      </c>
      <c r="F54" s="177"/>
      <c r="G54" s="52">
        <v>247.86699999999999</v>
      </c>
      <c r="H54" s="177"/>
      <c r="I54" s="52">
        <v>130.542</v>
      </c>
      <c r="J54" s="177"/>
      <c r="K54" s="52">
        <v>773.68299999999999</v>
      </c>
      <c r="L54" s="177"/>
    </row>
    <row r="55" spans="1:12" s="107" customFormat="1">
      <c r="A55" s="111" t="s">
        <v>103</v>
      </c>
      <c r="B55" s="157"/>
      <c r="C55" s="118">
        <v>5.5</v>
      </c>
      <c r="D55" s="177"/>
      <c r="E55" s="118">
        <v>4.8</v>
      </c>
      <c r="F55" s="177"/>
      <c r="G55" s="118">
        <v>8</v>
      </c>
      <c r="H55" s="177"/>
      <c r="I55" s="118">
        <v>1.8</v>
      </c>
      <c r="J55" s="177"/>
      <c r="K55" s="118">
        <v>0.8</v>
      </c>
      <c r="L55" s="177"/>
    </row>
    <row r="56" spans="1:12" s="107" customFormat="1">
      <c r="A56" s="111" t="s">
        <v>106</v>
      </c>
      <c r="B56" s="157"/>
      <c r="C56" s="118">
        <v>-1.4</v>
      </c>
      <c r="D56" s="177"/>
      <c r="E56" s="118">
        <v>-3.1</v>
      </c>
      <c r="F56" s="177"/>
      <c r="G56" s="118">
        <v>2.9</v>
      </c>
      <c r="H56" s="177"/>
      <c r="I56" s="118">
        <v>-1.6</v>
      </c>
      <c r="J56" s="177"/>
      <c r="K56" s="118">
        <v>-5.0999999999999996</v>
      </c>
      <c r="L56" s="177"/>
    </row>
    <row r="57" spans="1:12">
      <c r="A57" s="34" t="s">
        <v>6</v>
      </c>
      <c r="B57" s="157"/>
      <c r="C57" s="55">
        <v>16</v>
      </c>
      <c r="D57" s="178"/>
      <c r="E57" s="55">
        <v>16</v>
      </c>
      <c r="F57" s="178"/>
      <c r="G57" s="55">
        <v>16</v>
      </c>
      <c r="H57" s="178"/>
      <c r="I57" s="55">
        <v>16</v>
      </c>
      <c r="J57" s="178"/>
      <c r="K57" s="55">
        <v>3</v>
      </c>
      <c r="L57" s="178"/>
    </row>
    <row r="58" spans="1:12">
      <c r="A58" s="31" t="s">
        <v>243</v>
      </c>
    </row>
  </sheetData>
  <mergeCells count="43">
    <mergeCell ref="H53:H57"/>
    <mergeCell ref="J53:J57"/>
    <mergeCell ref="L53:L57"/>
    <mergeCell ref="A49:A52"/>
    <mergeCell ref="B49:B52"/>
    <mergeCell ref="B53:B57"/>
    <mergeCell ref="D53:D57"/>
    <mergeCell ref="F53:F57"/>
    <mergeCell ref="A37:A40"/>
    <mergeCell ref="B37:B40"/>
    <mergeCell ref="A41:A44"/>
    <mergeCell ref="B41:B44"/>
    <mergeCell ref="A45:A48"/>
    <mergeCell ref="B45:B48"/>
    <mergeCell ref="L25:L29"/>
    <mergeCell ref="A34:A36"/>
    <mergeCell ref="B34:B36"/>
    <mergeCell ref="D34:D36"/>
    <mergeCell ref="F34:F36"/>
    <mergeCell ref="H34:H36"/>
    <mergeCell ref="J34:J36"/>
    <mergeCell ref="L34:L36"/>
    <mergeCell ref="B25:B29"/>
    <mergeCell ref="D25:D29"/>
    <mergeCell ref="F25:F29"/>
    <mergeCell ref="H25:H29"/>
    <mergeCell ref="J25:J29"/>
    <mergeCell ref="A13:A16"/>
    <mergeCell ref="B13:B16"/>
    <mergeCell ref="A17:A20"/>
    <mergeCell ref="B17:B20"/>
    <mergeCell ref="A21:A24"/>
    <mergeCell ref="B21:B24"/>
    <mergeCell ref="A2:D2"/>
    <mergeCell ref="J6:J8"/>
    <mergeCell ref="L6:L8"/>
    <mergeCell ref="A9:A12"/>
    <mergeCell ref="B9:B12"/>
    <mergeCell ref="A6:A8"/>
    <mergeCell ref="B6:B8"/>
    <mergeCell ref="D6:D8"/>
    <mergeCell ref="F6:F8"/>
    <mergeCell ref="H6:H8"/>
  </mergeCells>
  <phoneticPr fontId="20" type="noConversion"/>
  <printOptions headings="1" gridLines="1"/>
  <pageMargins left="0.70866141732283472" right="0.70866141732283472" top="0.74803149606299213" bottom="0.74803149606299213" header="0.31496062992125984" footer="0.31496062992125984"/>
  <pageSetup scale="62" orientation="portrait" r:id="rId1"/>
  <headerFooter>
    <oddHeader>&amp;C 1632MV7生物分析方法学验证数据</oddHeader>
    <oddFooter>&amp;C第&amp;P页，共&amp;N页</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pageSetUpPr fitToPage="1"/>
  </sheetPr>
  <dimension ref="A2:I54"/>
  <sheetViews>
    <sheetView zoomScaleNormal="100" zoomScaleSheetLayoutView="100" workbookViewId="0">
      <selection activeCell="P31" sqref="P31"/>
    </sheetView>
  </sheetViews>
  <sheetFormatPr defaultColWidth="8.875" defaultRowHeight="13.5"/>
  <cols>
    <col min="1" max="1" width="14.625" style="6" customWidth="1"/>
    <col min="2" max="2" width="15.5" style="6" customWidth="1"/>
    <col min="3" max="3" width="17.375" style="6" customWidth="1"/>
    <col min="4" max="4" width="13.25" style="6" customWidth="1"/>
    <col min="5" max="5" width="15.5" style="6" customWidth="1"/>
    <col min="6" max="8" width="8.875" style="6"/>
    <col min="9" max="9" width="15.25" style="6" customWidth="1"/>
    <col min="10" max="16384" width="8.875" style="6"/>
  </cols>
  <sheetData>
    <row r="2" spans="1:9">
      <c r="A2" s="9" t="s">
        <v>89</v>
      </c>
      <c r="B2" s="9"/>
    </row>
    <row r="3" spans="1:9">
      <c r="A3" s="9"/>
      <c r="B3" s="9"/>
    </row>
    <row r="4" spans="1:9">
      <c r="A4" s="6" t="s">
        <v>170</v>
      </c>
      <c r="B4" s="9"/>
      <c r="H4" s="4" t="s">
        <v>126</v>
      </c>
      <c r="I4" s="121">
        <v>45894.736111111109</v>
      </c>
    </row>
    <row r="5" spans="1:9" ht="15" customHeight="1">
      <c r="A5" s="134" t="s">
        <v>244</v>
      </c>
      <c r="B5" s="181"/>
      <c r="C5" s="181"/>
      <c r="D5" s="181"/>
      <c r="E5" s="135"/>
      <c r="H5" s="4" t="s">
        <v>127</v>
      </c>
      <c r="I5" s="121">
        <v>45895.665972222225</v>
      </c>
    </row>
    <row r="6" spans="1:9" ht="15" customHeight="1">
      <c r="A6" s="182"/>
      <c r="B6" s="145" t="s">
        <v>55</v>
      </c>
      <c r="C6" s="147"/>
      <c r="D6" s="144" t="s">
        <v>128</v>
      </c>
      <c r="E6" s="144"/>
      <c r="H6" s="4" t="s">
        <v>116</v>
      </c>
      <c r="I6" s="122">
        <f>(I5-I4)*24</f>
        <v>22.31666666676756</v>
      </c>
    </row>
    <row r="7" spans="1:9" ht="15" customHeight="1">
      <c r="A7" s="183"/>
      <c r="B7" s="179" t="s">
        <v>258</v>
      </c>
      <c r="C7" s="147"/>
      <c r="D7" s="179" t="s">
        <v>258</v>
      </c>
      <c r="E7" s="147"/>
    </row>
    <row r="8" spans="1:9" ht="15" customHeight="1">
      <c r="A8" s="183"/>
      <c r="B8" s="145" t="s">
        <v>105</v>
      </c>
      <c r="C8" s="147"/>
      <c r="D8" s="144" t="s">
        <v>105</v>
      </c>
      <c r="E8" s="144"/>
    </row>
    <row r="9" spans="1:9" ht="15" customHeight="1">
      <c r="A9" s="183"/>
      <c r="B9" s="30">
        <v>2</v>
      </c>
      <c r="C9" s="34" t="s">
        <v>79</v>
      </c>
      <c r="D9" s="30">
        <v>1</v>
      </c>
      <c r="E9" s="34" t="s">
        <v>79</v>
      </c>
    </row>
    <row r="10" spans="1:9" ht="15" customHeight="1">
      <c r="A10" s="183"/>
      <c r="B10" s="145" t="s">
        <v>57</v>
      </c>
      <c r="C10" s="147"/>
      <c r="D10" s="144" t="s">
        <v>57</v>
      </c>
      <c r="E10" s="144"/>
    </row>
    <row r="11" spans="1:9" ht="15" customHeight="1">
      <c r="A11" s="184"/>
      <c r="B11" s="34" t="s">
        <v>80</v>
      </c>
      <c r="C11" s="34" t="s">
        <v>58</v>
      </c>
      <c r="D11" s="34" t="s">
        <v>80</v>
      </c>
      <c r="E11" s="34" t="s">
        <v>58</v>
      </c>
    </row>
    <row r="12" spans="1:9" ht="15" customHeight="1">
      <c r="A12" s="34">
        <v>1</v>
      </c>
      <c r="B12" s="78">
        <v>2.9510519999999998</v>
      </c>
      <c r="C12" s="78">
        <v>3.0085700000000002</v>
      </c>
      <c r="D12" s="78">
        <v>0.335868</v>
      </c>
      <c r="E12" s="78">
        <v>0.33798</v>
      </c>
      <c r="F12"/>
      <c r="G12"/>
    </row>
    <row r="13" spans="1:9" ht="15" customHeight="1">
      <c r="A13" s="34">
        <v>2</v>
      </c>
      <c r="B13" s="78">
        <v>2.9746630000000001</v>
      </c>
      <c r="C13" s="78">
        <v>3.038573</v>
      </c>
      <c r="D13" s="78">
        <v>0.33125500000000002</v>
      </c>
      <c r="E13" s="78">
        <v>0.324494</v>
      </c>
      <c r="F13"/>
      <c r="G13"/>
    </row>
    <row r="14" spans="1:9" ht="15" customHeight="1">
      <c r="A14" s="34">
        <v>3</v>
      </c>
      <c r="B14" s="78">
        <v>3.0044930000000001</v>
      </c>
      <c r="C14" s="78">
        <v>2.959781</v>
      </c>
      <c r="D14" s="78">
        <v>0.33015499999999998</v>
      </c>
      <c r="E14" s="78">
        <v>0.32603599999999999</v>
      </c>
      <c r="F14"/>
      <c r="G14"/>
    </row>
    <row r="15" spans="1:9" ht="15" customHeight="1">
      <c r="A15" s="34">
        <v>4</v>
      </c>
      <c r="B15" s="78">
        <v>3.0011739999999998</v>
      </c>
      <c r="C15" s="78">
        <v>2.9649429999999999</v>
      </c>
      <c r="D15" s="78">
        <v>0.33465299999999998</v>
      </c>
      <c r="E15" s="78">
        <v>0.32264399999999999</v>
      </c>
      <c r="F15"/>
      <c r="G15"/>
    </row>
    <row r="16" spans="1:9" ht="15" customHeight="1">
      <c r="A16" s="34">
        <v>5</v>
      </c>
      <c r="B16" s="78">
        <v>3.0464859999999998</v>
      </c>
      <c r="C16" s="78">
        <v>2.9242680000000001</v>
      </c>
      <c r="D16" s="78">
        <v>0.328876</v>
      </c>
      <c r="E16" s="78">
        <v>0.333314</v>
      </c>
      <c r="F16"/>
      <c r="G16"/>
    </row>
    <row r="17" spans="1:7" ht="15" customHeight="1">
      <c r="A17" s="34">
        <v>6</v>
      </c>
      <c r="B17" s="78">
        <v>2.9365969999999999</v>
      </c>
      <c r="C17" s="78">
        <v>2.969919</v>
      </c>
      <c r="D17" s="78">
        <v>0.32883099999999998</v>
      </c>
      <c r="E17" s="78">
        <v>0.33122299999999999</v>
      </c>
      <c r="F17"/>
      <c r="G17"/>
    </row>
    <row r="18" spans="1:7" ht="15" customHeight="1">
      <c r="A18" s="34" t="s">
        <v>50</v>
      </c>
      <c r="B18" s="123">
        <f>ROUND(AVERAGE(B12:B17),6)</f>
        <v>2.985744</v>
      </c>
      <c r="C18" s="123">
        <f>ROUND(AVERAGE(C12:C17),6)</f>
        <v>2.9776760000000002</v>
      </c>
      <c r="D18" s="123">
        <f>ROUND(AVERAGE(D12:D17),6)</f>
        <v>0.33160600000000001</v>
      </c>
      <c r="E18" s="123">
        <f>ROUND(AVERAGE(E12:E17),6)</f>
        <v>0.32928200000000002</v>
      </c>
    </row>
    <row r="19" spans="1:7" ht="15" customHeight="1">
      <c r="A19" s="34" t="s">
        <v>5</v>
      </c>
      <c r="B19" s="123">
        <f>ROUND(STDEV(B12:B17),6)</f>
        <v>4.0051999999999997E-2</v>
      </c>
      <c r="C19" s="123">
        <f>ROUND(STDEV(C12:C17),6)</f>
        <v>4.0143999999999999E-2</v>
      </c>
      <c r="D19" s="123">
        <f>ROUND(STDEV(D12:D17),6)</f>
        <v>2.9940000000000001E-3</v>
      </c>
      <c r="E19" s="123">
        <f>ROUND(STDEV(E12:E17),6)</f>
        <v>5.8859999999999997E-3</v>
      </c>
    </row>
    <row r="20" spans="1:7" ht="15" customHeight="1">
      <c r="A20" s="34" t="s">
        <v>100</v>
      </c>
      <c r="B20" s="124">
        <f>ROUND(B19/B18*100,1)</f>
        <v>1.3</v>
      </c>
      <c r="C20" s="124">
        <f>ROUND(C19/C18*100,1)</f>
        <v>1.3</v>
      </c>
      <c r="D20" s="124">
        <f>ROUND(D19/D18*100,1)</f>
        <v>0.9</v>
      </c>
      <c r="E20" s="124">
        <f>ROUND(E19/E18*100,1)</f>
        <v>1.8</v>
      </c>
    </row>
    <row r="21" spans="1:7">
      <c r="A21" s="23" t="s">
        <v>99</v>
      </c>
      <c r="B21" s="180">
        <f>ROUND((C18-B18)/B18*100,1)</f>
        <v>-0.3</v>
      </c>
      <c r="C21" s="180"/>
      <c r="D21" s="180">
        <f>ROUND((E18-D18)/D18*100,1)</f>
        <v>-0.7</v>
      </c>
      <c r="E21" s="180"/>
    </row>
    <row r="23" spans="1:7" ht="26.25">
      <c r="B23" s="19" t="s">
        <v>120</v>
      </c>
      <c r="C23" s="20" t="s">
        <v>121</v>
      </c>
      <c r="D23" s="20" t="s">
        <v>122</v>
      </c>
      <c r="E23" s="24" t="s">
        <v>123</v>
      </c>
      <c r="G23" s="27"/>
    </row>
    <row r="24" spans="1:7" ht="14.25">
      <c r="B24" s="79" t="s">
        <v>245</v>
      </c>
      <c r="C24" s="80">
        <v>1157938</v>
      </c>
      <c r="D24" s="80">
        <v>388914</v>
      </c>
      <c r="E24" s="29">
        <f>ROUND(D24/C24,6)</f>
        <v>0.335868</v>
      </c>
      <c r="F24" s="99"/>
      <c r="G24" s="99"/>
    </row>
    <row r="25" spans="1:7" ht="14.25">
      <c r="B25" s="81" t="s">
        <v>246</v>
      </c>
      <c r="C25" s="82">
        <v>1179474</v>
      </c>
      <c r="D25" s="82">
        <v>390707</v>
      </c>
      <c r="E25" s="21">
        <f t="shared" ref="E25:E29" si="0">ROUND(D25/C25,6)</f>
        <v>0.33125500000000002</v>
      </c>
      <c r="F25" s="99"/>
      <c r="G25" s="99"/>
    </row>
    <row r="26" spans="1:7" ht="14.25">
      <c r="B26" s="81" t="s">
        <v>247</v>
      </c>
      <c r="C26" s="82">
        <v>1168231</v>
      </c>
      <c r="D26" s="82">
        <v>385697</v>
      </c>
      <c r="E26" s="21">
        <f t="shared" si="0"/>
        <v>0.33015499999999998</v>
      </c>
      <c r="F26" s="99"/>
      <c r="G26" s="99"/>
    </row>
    <row r="27" spans="1:7" ht="14.25">
      <c r="B27" s="81" t="s">
        <v>248</v>
      </c>
      <c r="C27" s="82">
        <v>1153963</v>
      </c>
      <c r="D27" s="82">
        <v>386177</v>
      </c>
      <c r="E27" s="21">
        <f t="shared" si="0"/>
        <v>0.33465299999999998</v>
      </c>
      <c r="F27" s="99"/>
      <c r="G27" s="99"/>
    </row>
    <row r="28" spans="1:7" ht="14.25">
      <c r="B28" s="81" t="s">
        <v>249</v>
      </c>
      <c r="C28" s="82">
        <v>1165665</v>
      </c>
      <c r="D28" s="82">
        <v>383359</v>
      </c>
      <c r="E28" s="21">
        <f t="shared" si="0"/>
        <v>0.328876</v>
      </c>
      <c r="F28" s="99"/>
      <c r="G28" s="99"/>
    </row>
    <row r="29" spans="1:7" ht="14.25">
      <c r="B29" s="83" t="s">
        <v>250</v>
      </c>
      <c r="C29" s="84">
        <v>1166056</v>
      </c>
      <c r="D29" s="84">
        <v>383435</v>
      </c>
      <c r="E29" s="22">
        <f t="shared" si="0"/>
        <v>0.32883099999999998</v>
      </c>
      <c r="F29" s="99"/>
      <c r="G29" s="99"/>
    </row>
    <row r="30" spans="1:7" ht="14.25">
      <c r="B30" s="79" t="s">
        <v>251</v>
      </c>
      <c r="C30" s="80">
        <v>1142814</v>
      </c>
      <c r="D30" s="80">
        <v>386248</v>
      </c>
      <c r="E30" s="29">
        <f>ROUND(D30/C30,6)</f>
        <v>0.33798</v>
      </c>
      <c r="F30" s="99"/>
      <c r="G30" s="99"/>
    </row>
    <row r="31" spans="1:7" ht="14.25">
      <c r="B31" s="81" t="s">
        <v>252</v>
      </c>
      <c r="C31" s="82">
        <v>1181696</v>
      </c>
      <c r="D31" s="82">
        <v>383453</v>
      </c>
      <c r="E31" s="21">
        <f t="shared" ref="E31:E35" si="1">ROUND(D31/C31,6)</f>
        <v>0.324494</v>
      </c>
      <c r="F31" s="99"/>
      <c r="G31" s="99"/>
    </row>
    <row r="32" spans="1:7" ht="14.25">
      <c r="B32" s="81" t="s">
        <v>253</v>
      </c>
      <c r="C32" s="82">
        <v>1181417</v>
      </c>
      <c r="D32" s="82">
        <v>385185</v>
      </c>
      <c r="E32" s="21">
        <f t="shared" si="1"/>
        <v>0.32603599999999999</v>
      </c>
      <c r="F32" s="99"/>
      <c r="G32" s="99"/>
    </row>
    <row r="33" spans="1:9" ht="14.25">
      <c r="B33" s="81" t="s">
        <v>254</v>
      </c>
      <c r="C33" s="82">
        <v>1182206</v>
      </c>
      <c r="D33" s="82">
        <v>381432</v>
      </c>
      <c r="E33" s="21">
        <f t="shared" si="1"/>
        <v>0.32264399999999999</v>
      </c>
      <c r="F33" s="99"/>
      <c r="G33" s="99"/>
    </row>
    <row r="34" spans="1:9" ht="14.25">
      <c r="B34" s="81" t="s">
        <v>255</v>
      </c>
      <c r="C34" s="82">
        <v>1169175</v>
      </c>
      <c r="D34" s="82">
        <v>389702</v>
      </c>
      <c r="E34" s="21">
        <f t="shared" si="1"/>
        <v>0.333314</v>
      </c>
      <c r="F34" s="99"/>
      <c r="G34" s="99"/>
    </row>
    <row r="35" spans="1:9" ht="14.25">
      <c r="B35" s="83" t="s">
        <v>256</v>
      </c>
      <c r="C35" s="84">
        <v>1144090</v>
      </c>
      <c r="D35" s="84">
        <v>378949</v>
      </c>
      <c r="E35" s="22">
        <f t="shared" si="1"/>
        <v>0.33122299999999999</v>
      </c>
      <c r="F35" s="99"/>
      <c r="G35" s="99"/>
    </row>
    <row r="37" spans="1:9">
      <c r="A37" s="6" t="s">
        <v>171</v>
      </c>
      <c r="B37" s="9"/>
      <c r="H37" s="4" t="s">
        <v>129</v>
      </c>
      <c r="I37" s="121">
        <v>45894.736111111109</v>
      </c>
    </row>
    <row r="38" spans="1:9" ht="15" customHeight="1">
      <c r="A38" s="132" t="s">
        <v>257</v>
      </c>
      <c r="B38" s="132"/>
      <c r="C38" s="132"/>
      <c r="H38" s="4" t="s">
        <v>130</v>
      </c>
      <c r="I38" s="121">
        <v>45895.665972222225</v>
      </c>
    </row>
    <row r="39" spans="1:9" ht="15" customHeight="1">
      <c r="A39" s="182"/>
      <c r="B39" s="145" t="s">
        <v>55</v>
      </c>
      <c r="C39" s="147"/>
      <c r="H39" s="4" t="s">
        <v>116</v>
      </c>
      <c r="I39" s="122">
        <f>(I38-I37)*24</f>
        <v>22.31666666676756</v>
      </c>
    </row>
    <row r="40" spans="1:9" ht="15" customHeight="1">
      <c r="A40" s="183"/>
      <c r="B40" s="179" t="s">
        <v>258</v>
      </c>
      <c r="C40" s="147"/>
    </row>
    <row r="41" spans="1:9" ht="15" customHeight="1">
      <c r="A41" s="183"/>
      <c r="B41" s="145" t="s">
        <v>56</v>
      </c>
      <c r="C41" s="147"/>
    </row>
    <row r="42" spans="1:9" ht="15" customHeight="1">
      <c r="A42" s="183"/>
      <c r="B42" s="30">
        <v>2</v>
      </c>
      <c r="C42" s="34" t="s">
        <v>79</v>
      </c>
    </row>
    <row r="43" spans="1:9" ht="15" customHeight="1">
      <c r="A43" s="183"/>
      <c r="B43" s="145" t="s">
        <v>57</v>
      </c>
      <c r="C43" s="147"/>
    </row>
    <row r="44" spans="1:9" ht="15" customHeight="1">
      <c r="A44" s="184"/>
      <c r="B44" s="34" t="s">
        <v>80</v>
      </c>
      <c r="C44" s="34" t="s">
        <v>58</v>
      </c>
    </row>
    <row r="45" spans="1:9" ht="15" customHeight="1">
      <c r="A45" s="34">
        <v>1</v>
      </c>
      <c r="B45" s="78">
        <v>2.7835610000000002</v>
      </c>
      <c r="C45" s="78">
        <v>2.7795000000000001</v>
      </c>
      <c r="F45"/>
      <c r="G45"/>
    </row>
    <row r="46" spans="1:9" ht="15" customHeight="1">
      <c r="A46" s="34">
        <v>2</v>
      </c>
      <c r="B46" s="78">
        <v>2.798603</v>
      </c>
      <c r="C46" s="78">
        <v>2.8218179999999999</v>
      </c>
      <c r="F46"/>
      <c r="G46"/>
    </row>
    <row r="47" spans="1:9" ht="15" customHeight="1">
      <c r="A47" s="34">
        <v>3</v>
      </c>
      <c r="B47" s="78">
        <v>2.82803</v>
      </c>
      <c r="C47" s="78">
        <v>2.727357</v>
      </c>
      <c r="F47"/>
      <c r="G47"/>
    </row>
    <row r="48" spans="1:9" ht="15" customHeight="1">
      <c r="A48" s="34">
        <v>4</v>
      </c>
      <c r="B48" s="78">
        <v>2.7995450000000002</v>
      </c>
      <c r="C48" s="78">
        <v>2.7430300000000001</v>
      </c>
      <c r="F48"/>
      <c r="G48"/>
    </row>
    <row r="49" spans="1:7" ht="15" customHeight="1">
      <c r="A49" s="34">
        <v>5</v>
      </c>
      <c r="B49" s="78">
        <v>2.8517899999999998</v>
      </c>
      <c r="C49" s="78">
        <v>2.7461950000000002</v>
      </c>
      <c r="F49"/>
      <c r="G49"/>
    </row>
    <row r="50" spans="1:7" ht="15" customHeight="1">
      <c r="A50" s="34">
        <v>6</v>
      </c>
      <c r="B50" s="78">
        <v>2.7604380000000002</v>
      </c>
      <c r="C50" s="78">
        <v>2.8104680000000002</v>
      </c>
      <c r="F50"/>
      <c r="G50"/>
    </row>
    <row r="51" spans="1:7" ht="15" customHeight="1">
      <c r="A51" s="34" t="s">
        <v>50</v>
      </c>
      <c r="B51" s="123">
        <f>ROUND(AVERAGE(B45:B50),6)</f>
        <v>2.803661</v>
      </c>
      <c r="C51" s="123">
        <f>ROUND(AVERAGE(C45:C50),6)</f>
        <v>2.7713950000000001</v>
      </c>
      <c r="G51"/>
    </row>
    <row r="52" spans="1:7" ht="15" customHeight="1">
      <c r="A52" s="34" t="s">
        <v>5</v>
      </c>
      <c r="B52" s="123">
        <f>ROUND(STDEV(B45:B50),6)</f>
        <v>3.2326000000000001E-2</v>
      </c>
      <c r="C52" s="123">
        <f>ROUND(STDEV(C45:C50),6)</f>
        <v>3.8766000000000002E-2</v>
      </c>
    </row>
    <row r="53" spans="1:7" ht="15" customHeight="1">
      <c r="A53" s="34" t="s">
        <v>96</v>
      </c>
      <c r="B53" s="124">
        <f>ROUND(B52/B51*100,1)</f>
        <v>1.2</v>
      </c>
      <c r="C53" s="124">
        <f>ROUND(C52/C51*100,1)</f>
        <v>1.4</v>
      </c>
    </row>
    <row r="54" spans="1:7">
      <c r="A54" s="23" t="s">
        <v>99</v>
      </c>
      <c r="B54" s="180">
        <f>ROUND((C51-B51)/B51*100,1)</f>
        <v>-1.2</v>
      </c>
      <c r="C54" s="180"/>
    </row>
  </sheetData>
  <mergeCells count="19">
    <mergeCell ref="A5:E5"/>
    <mergeCell ref="B54:C54"/>
    <mergeCell ref="A39:A44"/>
    <mergeCell ref="B39:C39"/>
    <mergeCell ref="B40:C40"/>
    <mergeCell ref="B41:C41"/>
    <mergeCell ref="B43:C43"/>
    <mergeCell ref="A6:A11"/>
    <mergeCell ref="A38:C38"/>
    <mergeCell ref="B6:C6"/>
    <mergeCell ref="B7:C7"/>
    <mergeCell ref="B8:C8"/>
    <mergeCell ref="D8:E8"/>
    <mergeCell ref="D10:E10"/>
    <mergeCell ref="B10:C10"/>
    <mergeCell ref="D6:E6"/>
    <mergeCell ref="D7:E7"/>
    <mergeCell ref="B21:C21"/>
    <mergeCell ref="D21:E21"/>
  </mergeCells>
  <phoneticPr fontId="4" type="noConversion"/>
  <conditionalFormatting sqref="I24:K35">
    <cfRule type="colorScale" priority="2">
      <colorScale>
        <cfvo type="num" val="0"/>
        <cfvo type="num" val="2"/>
        <color rgb="FFFF7128"/>
        <color rgb="FFFFEF9C"/>
      </colorScale>
    </cfRule>
  </conditionalFormatting>
  <conditionalFormatting sqref="J45:K50">
    <cfRule type="colorScale" priority="1">
      <colorScale>
        <cfvo type="num" val="0"/>
        <cfvo type="num" val="2"/>
        <color rgb="FFFF7128"/>
        <color rgb="FFFFEF9C"/>
      </colorScale>
    </cfRule>
  </conditionalFormatting>
  <conditionalFormatting sqref="J12:M17">
    <cfRule type="colorScale" priority="3">
      <colorScale>
        <cfvo type="num" val="0"/>
        <cfvo type="num" val="2"/>
        <color rgb="FFFF7128"/>
        <color rgb="FFFFEF9C"/>
      </colorScale>
    </cfRule>
  </conditionalFormatting>
  <printOptions headings="1" gridLines="1"/>
  <pageMargins left="0.70866141732283472" right="0.70866141732283472" top="0.74803149606299213" bottom="0.74803149606299213" header="0.31496062992125984" footer="0.31496062992125984"/>
  <pageSetup scale="55" orientation="portrait" r:id="rId1"/>
  <headerFooter>
    <oddHeader>&amp;C 1632MV7生物分析方法学验证数据</oddHeader>
    <oddFooter>&amp;C第&amp;P页，共&amp;N页</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pageSetUpPr fitToPage="1"/>
  </sheetPr>
  <dimension ref="A2:O62"/>
  <sheetViews>
    <sheetView zoomScaleNormal="100" zoomScaleSheetLayoutView="100" workbookViewId="0">
      <selection activeCell="L30" sqref="L30"/>
    </sheetView>
  </sheetViews>
  <sheetFormatPr defaultColWidth="8.875" defaultRowHeight="13.5"/>
  <cols>
    <col min="1" max="1" width="15.375" style="6" customWidth="1"/>
    <col min="2" max="2" width="12.5" style="6" customWidth="1"/>
    <col min="3" max="3" width="16.375" style="6" customWidth="1"/>
    <col min="4" max="4" width="19.125" style="6" customWidth="1"/>
    <col min="5" max="5" width="15.625" style="6" customWidth="1"/>
    <col min="6" max="6" width="15.375" style="6" customWidth="1"/>
    <col min="7" max="7" width="26.75" style="6" customWidth="1"/>
    <col min="8" max="8" width="16" style="6" customWidth="1"/>
    <col min="9" max="9" width="13.125" style="6" customWidth="1"/>
    <col min="10" max="10" width="15.875" style="6" customWidth="1"/>
    <col min="11" max="16384" width="8.875" style="6"/>
  </cols>
  <sheetData>
    <row r="2" spans="1:10">
      <c r="A2" s="94" t="s">
        <v>279</v>
      </c>
    </row>
    <row r="4" spans="1:10">
      <c r="A4" s="6" t="s">
        <v>170</v>
      </c>
      <c r="G4" s="4" t="s">
        <v>124</v>
      </c>
      <c r="H4" s="121">
        <v>45894.745138888888</v>
      </c>
    </row>
    <row r="5" spans="1:10" s="5" customFormat="1" ht="15" customHeight="1">
      <c r="A5" s="134" t="s">
        <v>244</v>
      </c>
      <c r="B5" s="181"/>
      <c r="C5" s="181"/>
      <c r="D5" s="181"/>
      <c r="E5" s="135"/>
      <c r="G5" s="4" t="s">
        <v>125</v>
      </c>
      <c r="H5" s="121">
        <v>45895.665972222225</v>
      </c>
    </row>
    <row r="6" spans="1:10" s="5" customFormat="1" ht="15" customHeight="1">
      <c r="A6" s="157"/>
      <c r="B6" s="144" t="s">
        <v>2</v>
      </c>
      <c r="C6" s="144"/>
      <c r="D6" s="144" t="s">
        <v>45</v>
      </c>
      <c r="E6" s="144"/>
      <c r="G6" s="4" t="s">
        <v>116</v>
      </c>
      <c r="H6" s="122">
        <f>(H5-H4)*24</f>
        <v>22.100000000093132</v>
      </c>
    </row>
    <row r="7" spans="1:10" s="5" customFormat="1" ht="15" customHeight="1">
      <c r="A7" s="157"/>
      <c r="B7" s="179" t="s">
        <v>258</v>
      </c>
      <c r="C7" s="147"/>
      <c r="D7" s="185" t="s">
        <v>258</v>
      </c>
      <c r="E7" s="144"/>
    </row>
    <row r="8" spans="1:10" s="5" customFormat="1" ht="15" customHeight="1">
      <c r="A8" s="157"/>
      <c r="B8" s="144" t="s">
        <v>105</v>
      </c>
      <c r="C8" s="144"/>
      <c r="D8" s="144" t="s">
        <v>105</v>
      </c>
      <c r="E8" s="144"/>
      <c r="G8" s="6"/>
      <c r="H8" s="6"/>
      <c r="I8" s="6"/>
      <c r="J8" s="6"/>
    </row>
    <row r="9" spans="1:10" s="5" customFormat="1" ht="15" customHeight="1">
      <c r="A9" s="157"/>
      <c r="B9" s="30">
        <v>200</v>
      </c>
      <c r="C9" s="34" t="s">
        <v>54</v>
      </c>
      <c r="D9" s="30">
        <v>10000</v>
      </c>
      <c r="E9" s="34" t="s">
        <v>54</v>
      </c>
      <c r="G9" s="6"/>
      <c r="H9" s="6"/>
      <c r="I9" s="6"/>
      <c r="J9" s="6"/>
    </row>
    <row r="10" spans="1:10" s="5" customFormat="1" ht="15" customHeight="1">
      <c r="A10" s="157"/>
      <c r="B10" s="144" t="s">
        <v>57</v>
      </c>
      <c r="C10" s="144"/>
      <c r="D10" s="144" t="s">
        <v>57</v>
      </c>
      <c r="E10" s="144"/>
      <c r="G10" s="6"/>
      <c r="H10" s="6"/>
      <c r="I10" s="6"/>
      <c r="J10" s="6"/>
    </row>
    <row r="11" spans="1:10" s="5" customFormat="1" ht="15" customHeight="1">
      <c r="A11" s="157"/>
      <c r="B11" s="34" t="s">
        <v>80</v>
      </c>
      <c r="C11" s="34" t="s">
        <v>58</v>
      </c>
      <c r="D11" s="34" t="s">
        <v>80</v>
      </c>
      <c r="E11" s="34" t="s">
        <v>58</v>
      </c>
      <c r="G11" s="6"/>
      <c r="H11" s="6"/>
      <c r="I11" s="6"/>
      <c r="J11" s="6"/>
    </row>
    <row r="12" spans="1:10" s="5" customFormat="1" ht="15" customHeight="1">
      <c r="A12" s="34">
        <v>1</v>
      </c>
      <c r="B12" s="78">
        <v>1.4191E-2</v>
      </c>
      <c r="C12" s="78">
        <v>1.3677E-2</v>
      </c>
      <c r="D12" s="78">
        <v>0.33004600000000001</v>
      </c>
      <c r="E12" s="78">
        <v>0.33136100000000002</v>
      </c>
      <c r="G12" s="6"/>
      <c r="H12" s="6"/>
      <c r="I12" s="6"/>
      <c r="J12" s="6"/>
    </row>
    <row r="13" spans="1:10" s="5" customFormat="1" ht="15" customHeight="1">
      <c r="A13" s="34">
        <v>2</v>
      </c>
      <c r="B13" s="78">
        <v>1.3691E-2</v>
      </c>
      <c r="C13" s="78">
        <v>1.4874999999999999E-2</v>
      </c>
      <c r="D13" s="78">
        <v>0.32937300000000003</v>
      </c>
      <c r="E13" s="78">
        <v>0.33735700000000002</v>
      </c>
      <c r="G13" s="6"/>
      <c r="H13" s="6"/>
      <c r="I13" s="6"/>
      <c r="J13" s="6"/>
    </row>
    <row r="14" spans="1:10" s="5" customFormat="1" ht="15" customHeight="1">
      <c r="A14" s="34">
        <v>3</v>
      </c>
      <c r="B14" s="78">
        <v>1.4938999999999999E-2</v>
      </c>
      <c r="C14" s="78">
        <v>1.4697999999999999E-2</v>
      </c>
      <c r="D14" s="78">
        <v>0.33080900000000002</v>
      </c>
      <c r="E14" s="78">
        <v>0.340862</v>
      </c>
      <c r="G14" s="6"/>
      <c r="H14" s="6"/>
      <c r="I14" s="6"/>
      <c r="J14" s="6"/>
    </row>
    <row r="15" spans="1:10" s="5" customFormat="1" ht="15" customHeight="1">
      <c r="A15" s="34">
        <v>4</v>
      </c>
      <c r="B15" s="78">
        <v>1.4623000000000001E-2</v>
      </c>
      <c r="C15" s="78">
        <v>1.4697E-2</v>
      </c>
      <c r="D15" s="78">
        <v>0.34027600000000002</v>
      </c>
      <c r="E15" s="78">
        <v>0.332737</v>
      </c>
      <c r="G15" s="6"/>
      <c r="H15" s="6"/>
      <c r="I15" s="6"/>
      <c r="J15" s="6"/>
    </row>
    <row r="16" spans="1:10" s="5" customFormat="1" ht="15" customHeight="1">
      <c r="A16" s="34">
        <v>5</v>
      </c>
      <c r="B16" s="78">
        <v>1.2753E-2</v>
      </c>
      <c r="C16" s="78">
        <v>1.4135999999999999E-2</v>
      </c>
      <c r="D16" s="78">
        <v>0.34771099999999999</v>
      </c>
      <c r="E16" s="78">
        <v>0.33229599999999998</v>
      </c>
      <c r="G16" s="6"/>
      <c r="H16" s="6"/>
      <c r="I16" s="6"/>
      <c r="J16" s="6"/>
    </row>
    <row r="17" spans="1:15" s="5" customFormat="1" ht="15" customHeight="1">
      <c r="A17" s="34">
        <v>6</v>
      </c>
      <c r="B17" s="78">
        <v>1.4999999999999999E-2</v>
      </c>
      <c r="C17" s="78">
        <v>1.4030000000000001E-2</v>
      </c>
      <c r="D17" s="78">
        <v>0.32880500000000001</v>
      </c>
      <c r="E17" s="78">
        <v>0.33154400000000001</v>
      </c>
      <c r="G17" s="6"/>
      <c r="H17" s="6"/>
      <c r="I17" s="6"/>
      <c r="J17" s="6"/>
    </row>
    <row r="18" spans="1:15" s="5" customFormat="1" ht="15" customHeight="1">
      <c r="A18" s="34" t="s">
        <v>50</v>
      </c>
      <c r="B18" s="123">
        <f t="shared" ref="B18:E18" si="0">ROUND(AVERAGE(B12:B17),6)</f>
        <v>1.4200000000000001E-2</v>
      </c>
      <c r="C18" s="123">
        <f t="shared" si="0"/>
        <v>1.4352E-2</v>
      </c>
      <c r="D18" s="123">
        <f t="shared" si="0"/>
        <v>0.33450299999999999</v>
      </c>
      <c r="E18" s="123">
        <f t="shared" si="0"/>
        <v>0.33435999999999999</v>
      </c>
      <c r="G18" s="6"/>
      <c r="H18" s="6"/>
      <c r="I18" s="6"/>
      <c r="J18" s="6"/>
    </row>
    <row r="19" spans="1:15" s="5" customFormat="1" ht="15" customHeight="1">
      <c r="A19" s="34" t="s">
        <v>5</v>
      </c>
      <c r="B19" s="123">
        <f t="shared" ref="B19:E19" si="1">ROUND(STDEV(B12:B17),6)</f>
        <v>8.6200000000000003E-4</v>
      </c>
      <c r="C19" s="123">
        <f t="shared" si="1"/>
        <v>4.73E-4</v>
      </c>
      <c r="D19" s="123">
        <f t="shared" si="1"/>
        <v>7.7470000000000004E-3</v>
      </c>
      <c r="E19" s="123">
        <f t="shared" si="1"/>
        <v>3.875E-3</v>
      </c>
      <c r="G19" s="6"/>
      <c r="H19" s="6"/>
      <c r="I19" s="6"/>
      <c r="J19" s="6"/>
    </row>
    <row r="20" spans="1:15" s="5" customFormat="1" ht="15" customHeight="1">
      <c r="A20" s="34" t="s">
        <v>100</v>
      </c>
      <c r="B20" s="124">
        <f>ROUND(B19/B18*100,1)</f>
        <v>6.1</v>
      </c>
      <c r="C20" s="124">
        <f>ROUND(C19/C18*100,1)</f>
        <v>3.3</v>
      </c>
      <c r="D20" s="124">
        <f>ROUND(D19/D18*100,1)</f>
        <v>2.2999999999999998</v>
      </c>
      <c r="E20" s="124">
        <f t="shared" ref="E20" si="2">ROUND(E19/E18*100,1)</f>
        <v>1.2</v>
      </c>
      <c r="G20" s="6"/>
      <c r="H20" s="6"/>
      <c r="I20" s="6"/>
      <c r="J20" s="6"/>
    </row>
    <row r="21" spans="1:15">
      <c r="A21" s="23" t="s">
        <v>99</v>
      </c>
      <c r="B21" s="180">
        <f>ROUND((C18-B18)/B18*100,1)</f>
        <v>1.1000000000000001</v>
      </c>
      <c r="C21" s="180"/>
      <c r="D21" s="180">
        <f>ROUND((E18-D18)/D18*100,1)</f>
        <v>0</v>
      </c>
      <c r="E21" s="180"/>
      <c r="F21" s="5"/>
      <c r="K21" s="5"/>
      <c r="L21" s="5"/>
      <c r="M21" s="5"/>
      <c r="N21" s="5"/>
      <c r="O21" s="5"/>
    </row>
    <row r="22" spans="1:15">
      <c r="F22" s="5"/>
      <c r="K22" s="5"/>
      <c r="L22" s="5"/>
      <c r="M22" s="5"/>
      <c r="N22" s="5"/>
      <c r="O22" s="5"/>
    </row>
    <row r="23" spans="1:15" ht="26.25">
      <c r="B23" s="19" t="s">
        <v>120</v>
      </c>
      <c r="C23" s="20" t="s">
        <v>121</v>
      </c>
      <c r="D23" s="20" t="s">
        <v>122</v>
      </c>
      <c r="E23" s="24" t="s">
        <v>123</v>
      </c>
      <c r="F23" s="5"/>
      <c r="K23" s="5"/>
      <c r="L23" s="5"/>
      <c r="M23" s="5"/>
      <c r="N23" s="5"/>
      <c r="O23" s="5"/>
    </row>
    <row r="24" spans="1:15">
      <c r="B24" s="79" t="s">
        <v>266</v>
      </c>
      <c r="C24" s="91">
        <v>1178619</v>
      </c>
      <c r="D24" s="91">
        <v>388998</v>
      </c>
      <c r="E24" s="29">
        <f>ROUND(D24/C24,6)</f>
        <v>0.33004600000000001</v>
      </c>
      <c r="F24" s="5"/>
      <c r="K24" s="5"/>
      <c r="L24" s="5"/>
      <c r="M24" s="5"/>
      <c r="N24" s="5"/>
      <c r="O24" s="5"/>
    </row>
    <row r="25" spans="1:15">
      <c r="B25" s="81" t="s">
        <v>267</v>
      </c>
      <c r="C25" s="92">
        <v>1185070</v>
      </c>
      <c r="D25" s="92">
        <v>390330</v>
      </c>
      <c r="E25" s="21">
        <f t="shared" ref="E25:E29" si="3">ROUND(D25/C25,6)</f>
        <v>0.32937300000000003</v>
      </c>
      <c r="F25" s="5"/>
      <c r="K25" s="5"/>
      <c r="L25" s="5"/>
      <c r="M25" s="5"/>
      <c r="N25" s="5"/>
      <c r="O25" s="5"/>
    </row>
    <row r="26" spans="1:15">
      <c r="B26" s="81" t="s">
        <v>268</v>
      </c>
      <c r="C26" s="92">
        <v>1183764</v>
      </c>
      <c r="D26" s="92">
        <v>391600</v>
      </c>
      <c r="E26" s="21">
        <f t="shared" si="3"/>
        <v>0.33080900000000002</v>
      </c>
      <c r="F26" s="5"/>
      <c r="K26" s="5"/>
      <c r="L26" s="5"/>
      <c r="M26" s="5"/>
      <c r="N26" s="5"/>
      <c r="O26" s="5"/>
    </row>
    <row r="27" spans="1:15">
      <c r="B27" s="81" t="s">
        <v>269</v>
      </c>
      <c r="C27" s="92">
        <v>1171519</v>
      </c>
      <c r="D27" s="92">
        <v>398640</v>
      </c>
      <c r="E27" s="21">
        <f t="shared" si="3"/>
        <v>0.34027600000000002</v>
      </c>
      <c r="F27" s="5"/>
      <c r="K27" s="5"/>
      <c r="L27" s="5"/>
      <c r="M27" s="5"/>
      <c r="N27" s="5"/>
      <c r="O27" s="5"/>
    </row>
    <row r="28" spans="1:15">
      <c r="B28" s="81" t="s">
        <v>270</v>
      </c>
      <c r="C28" s="92">
        <v>1140388</v>
      </c>
      <c r="D28" s="92">
        <v>396525</v>
      </c>
      <c r="E28" s="21">
        <f t="shared" si="3"/>
        <v>0.34771099999999999</v>
      </c>
      <c r="F28" s="5"/>
      <c r="K28" s="5"/>
      <c r="L28" s="5"/>
      <c r="M28" s="5"/>
      <c r="N28" s="5"/>
      <c r="O28" s="5"/>
    </row>
    <row r="29" spans="1:15">
      <c r="B29" s="81" t="s">
        <v>271</v>
      </c>
      <c r="C29" s="92">
        <v>1188765</v>
      </c>
      <c r="D29" s="92">
        <v>390872</v>
      </c>
      <c r="E29" s="21">
        <f t="shared" si="3"/>
        <v>0.32880500000000001</v>
      </c>
      <c r="F29" s="5"/>
      <c r="K29" s="5"/>
      <c r="L29" s="5"/>
      <c r="M29" s="5"/>
      <c r="N29" s="5"/>
      <c r="O29" s="5"/>
    </row>
    <row r="30" spans="1:15">
      <c r="B30" s="81" t="s">
        <v>272</v>
      </c>
      <c r="C30" s="92">
        <v>1168167</v>
      </c>
      <c r="D30" s="92">
        <v>387085</v>
      </c>
      <c r="E30" s="21">
        <f>ROUND(D30/C30,6)</f>
        <v>0.33136100000000002</v>
      </c>
      <c r="F30" s="5"/>
      <c r="K30" s="5"/>
      <c r="L30" s="5"/>
      <c r="M30" s="5"/>
      <c r="N30" s="5"/>
      <c r="O30" s="5"/>
    </row>
    <row r="31" spans="1:15">
      <c r="B31" s="81" t="s">
        <v>273</v>
      </c>
      <c r="C31" s="92">
        <v>1161415</v>
      </c>
      <c r="D31" s="92">
        <v>391812</v>
      </c>
      <c r="E31" s="21">
        <f t="shared" ref="E31:E35" si="4">ROUND(D31/C31,6)</f>
        <v>0.33735700000000002</v>
      </c>
      <c r="F31" s="5"/>
      <c r="K31" s="5"/>
      <c r="L31" s="5"/>
      <c r="M31" s="5"/>
      <c r="N31" s="5"/>
      <c r="O31" s="5"/>
    </row>
    <row r="32" spans="1:15">
      <c r="B32" s="81" t="s">
        <v>274</v>
      </c>
      <c r="C32" s="92">
        <v>1155666</v>
      </c>
      <c r="D32" s="92">
        <v>393923</v>
      </c>
      <c r="E32" s="21">
        <f t="shared" si="4"/>
        <v>0.340862</v>
      </c>
      <c r="F32" s="5"/>
      <c r="K32" s="5"/>
      <c r="L32" s="5"/>
      <c r="M32" s="5"/>
      <c r="N32" s="5"/>
      <c r="O32" s="5"/>
    </row>
    <row r="33" spans="1:15">
      <c r="B33" s="81" t="s">
        <v>275</v>
      </c>
      <c r="C33" s="92">
        <v>1178127</v>
      </c>
      <c r="D33" s="92">
        <v>392006</v>
      </c>
      <c r="E33" s="21">
        <f t="shared" si="4"/>
        <v>0.332737</v>
      </c>
      <c r="F33" s="5"/>
      <c r="K33" s="5"/>
      <c r="L33" s="5"/>
      <c r="M33" s="5"/>
      <c r="N33" s="5"/>
      <c r="O33" s="5"/>
    </row>
    <row r="34" spans="1:15">
      <c r="B34" s="81" t="s">
        <v>276</v>
      </c>
      <c r="C34" s="92">
        <v>1168864</v>
      </c>
      <c r="D34" s="92">
        <v>388409</v>
      </c>
      <c r="E34" s="21">
        <f t="shared" si="4"/>
        <v>0.33229599999999998</v>
      </c>
      <c r="F34" s="5"/>
      <c r="K34" s="5"/>
      <c r="L34" s="5"/>
      <c r="M34" s="5"/>
      <c r="N34" s="5"/>
      <c r="O34" s="5"/>
    </row>
    <row r="35" spans="1:15">
      <c r="B35" s="83" t="s">
        <v>277</v>
      </c>
      <c r="C35" s="93">
        <v>1176494</v>
      </c>
      <c r="D35" s="93">
        <v>390060</v>
      </c>
      <c r="E35" s="22">
        <f t="shared" si="4"/>
        <v>0.33154400000000001</v>
      </c>
      <c r="F35" s="5"/>
      <c r="K35" s="5"/>
      <c r="L35" s="5"/>
      <c r="M35" s="5"/>
      <c r="N35" s="5"/>
      <c r="O35" s="5"/>
    </row>
    <row r="36" spans="1:15">
      <c r="F36" s="5"/>
      <c r="K36" s="5"/>
      <c r="L36" s="5"/>
      <c r="M36" s="5"/>
      <c r="N36" s="5"/>
      <c r="O36" s="5"/>
    </row>
    <row r="37" spans="1:15">
      <c r="A37" s="6" t="s">
        <v>171</v>
      </c>
      <c r="F37" s="5"/>
      <c r="K37" s="5"/>
      <c r="L37" s="5"/>
      <c r="M37" s="5"/>
      <c r="N37" s="5"/>
      <c r="O37" s="5"/>
    </row>
    <row r="38" spans="1:15" s="5" customFormat="1" ht="15" customHeight="1">
      <c r="A38" s="125" t="s">
        <v>244</v>
      </c>
      <c r="B38" s="126"/>
      <c r="C38" s="126"/>
      <c r="D38" s="4" t="s">
        <v>124</v>
      </c>
      <c r="E38" s="121">
        <v>45894.745138888888</v>
      </c>
      <c r="G38" s="6"/>
      <c r="H38" s="6"/>
      <c r="I38" s="6"/>
      <c r="J38" s="6"/>
    </row>
    <row r="39" spans="1:15" s="5" customFormat="1" ht="15" customHeight="1">
      <c r="A39" s="157"/>
      <c r="B39" s="144" t="s">
        <v>2</v>
      </c>
      <c r="C39" s="144"/>
      <c r="D39" s="4" t="s">
        <v>125</v>
      </c>
      <c r="E39" s="121">
        <v>45895.665972222225</v>
      </c>
      <c r="G39" s="6"/>
      <c r="H39" s="6"/>
      <c r="I39" s="6"/>
      <c r="J39" s="6"/>
    </row>
    <row r="40" spans="1:15" s="5" customFormat="1" ht="15" customHeight="1">
      <c r="A40" s="157"/>
      <c r="B40" s="179" t="s">
        <v>258</v>
      </c>
      <c r="C40" s="147"/>
      <c r="D40" s="4" t="s">
        <v>116</v>
      </c>
      <c r="E40" s="122">
        <f>(E39-E38)*24</f>
        <v>22.100000000093132</v>
      </c>
      <c r="G40" s="6"/>
      <c r="H40" s="6"/>
      <c r="I40" s="6"/>
      <c r="J40" s="6"/>
    </row>
    <row r="41" spans="1:15" s="5" customFormat="1" ht="15" customHeight="1">
      <c r="A41" s="157"/>
      <c r="B41" s="144" t="s">
        <v>56</v>
      </c>
      <c r="C41" s="144"/>
      <c r="E41" s="6"/>
      <c r="G41" s="6"/>
      <c r="H41" s="6"/>
      <c r="I41" s="6"/>
      <c r="J41" s="6"/>
    </row>
    <row r="42" spans="1:15" s="5" customFormat="1" ht="15" customHeight="1">
      <c r="A42" s="157"/>
      <c r="B42" s="30">
        <v>200</v>
      </c>
      <c r="C42" s="34" t="s">
        <v>54</v>
      </c>
      <c r="E42" s="6"/>
      <c r="G42" s="6"/>
      <c r="H42" s="6"/>
      <c r="I42" s="6"/>
      <c r="J42" s="6"/>
    </row>
    <row r="43" spans="1:15" s="5" customFormat="1" ht="15" customHeight="1">
      <c r="A43" s="157"/>
      <c r="B43" s="144" t="s">
        <v>57</v>
      </c>
      <c r="C43" s="144"/>
      <c r="G43" s="6"/>
      <c r="H43" s="6"/>
      <c r="I43" s="6"/>
      <c r="J43" s="6"/>
    </row>
    <row r="44" spans="1:15" s="5" customFormat="1" ht="15" customHeight="1">
      <c r="A44" s="157"/>
      <c r="B44" s="34" t="s">
        <v>80</v>
      </c>
      <c r="C44" s="34" t="s">
        <v>58</v>
      </c>
      <c r="G44" s="6"/>
      <c r="H44" s="6"/>
      <c r="I44" s="6"/>
      <c r="J44" s="6"/>
    </row>
    <row r="45" spans="1:15" s="5" customFormat="1" ht="15" customHeight="1">
      <c r="A45" s="34">
        <v>1</v>
      </c>
      <c r="B45" s="78">
        <v>1.3797E-2</v>
      </c>
      <c r="C45" s="78">
        <v>1.3937E-2</v>
      </c>
      <c r="D45" s="99"/>
      <c r="G45" s="6"/>
      <c r="H45" s="6"/>
      <c r="I45" s="6"/>
      <c r="J45" s="6"/>
    </row>
    <row r="46" spans="1:15" s="5" customFormat="1" ht="15" customHeight="1">
      <c r="A46" s="34">
        <v>2</v>
      </c>
      <c r="B46" s="78">
        <v>1.3819E-2</v>
      </c>
      <c r="C46" s="78">
        <v>1.4248E-2</v>
      </c>
      <c r="D46" s="99"/>
      <c r="G46" s="6"/>
      <c r="H46" s="6"/>
      <c r="I46" s="6"/>
      <c r="J46" s="6"/>
    </row>
    <row r="47" spans="1:15" s="5" customFormat="1" ht="15" customHeight="1">
      <c r="A47" s="34">
        <v>3</v>
      </c>
      <c r="B47" s="78">
        <v>1.4318000000000001E-2</v>
      </c>
      <c r="C47" s="78">
        <v>1.3825E-2</v>
      </c>
      <c r="D47" s="99"/>
      <c r="G47" s="6"/>
      <c r="H47" s="6"/>
      <c r="I47" s="6"/>
      <c r="J47" s="6"/>
    </row>
    <row r="48" spans="1:15" s="5" customFormat="1" ht="15" customHeight="1">
      <c r="A48" s="34">
        <v>4</v>
      </c>
      <c r="B48" s="78">
        <v>1.3169999999999999E-2</v>
      </c>
      <c r="C48" s="78">
        <v>1.4475999999999999E-2</v>
      </c>
      <c r="D48" s="99"/>
      <c r="G48" s="6"/>
      <c r="H48" s="6"/>
      <c r="I48" s="6"/>
      <c r="J48" s="6"/>
    </row>
    <row r="49" spans="1:15" s="5" customFormat="1" ht="15" customHeight="1">
      <c r="A49" s="34">
        <v>5</v>
      </c>
      <c r="B49" s="78">
        <v>1.3863E-2</v>
      </c>
      <c r="C49" s="78">
        <v>1.4445E-2</v>
      </c>
      <c r="D49" s="99"/>
      <c r="G49" s="6"/>
      <c r="H49" s="6"/>
      <c r="I49" s="6"/>
      <c r="J49" s="6"/>
    </row>
    <row r="50" spans="1:15" s="5" customFormat="1" ht="15" customHeight="1">
      <c r="A50" s="34">
        <v>6</v>
      </c>
      <c r="B50" s="78">
        <v>1.4215999999999999E-2</v>
      </c>
      <c r="C50" s="78">
        <v>1.3834000000000001E-2</v>
      </c>
      <c r="D50" s="99"/>
      <c r="G50" s="6"/>
      <c r="H50" s="6"/>
      <c r="I50" s="6"/>
      <c r="J50" s="6"/>
    </row>
    <row r="51" spans="1:15" s="5" customFormat="1" ht="15" customHeight="1">
      <c r="A51" s="34" t="s">
        <v>50</v>
      </c>
      <c r="B51" s="123">
        <f t="shared" ref="B51:C51" si="5">ROUND(AVERAGE(B45:B50),6)</f>
        <v>1.3864E-2</v>
      </c>
      <c r="C51" s="123">
        <f t="shared" si="5"/>
        <v>1.4128E-2</v>
      </c>
      <c r="D51" s="99"/>
      <c r="G51" s="6"/>
      <c r="H51" s="6"/>
      <c r="I51" s="6"/>
      <c r="J51" s="6"/>
    </row>
    <row r="52" spans="1:15" s="5" customFormat="1" ht="15" customHeight="1">
      <c r="A52" s="34" t="s">
        <v>5</v>
      </c>
      <c r="B52" s="123">
        <f t="shared" ref="B52:C52" si="6">ROUND(STDEV(B45:B50),6)</f>
        <v>4.0499999999999998E-4</v>
      </c>
      <c r="C52" s="123">
        <f t="shared" si="6"/>
        <v>2.9999999999999997E-4</v>
      </c>
      <c r="D52" s="99"/>
      <c r="G52" s="6"/>
      <c r="H52" s="6"/>
      <c r="I52" s="6"/>
      <c r="J52" s="6"/>
    </row>
    <row r="53" spans="1:15" s="5" customFormat="1" ht="15" customHeight="1">
      <c r="A53" s="34" t="s">
        <v>96</v>
      </c>
      <c r="B53" s="124">
        <f>ROUND(B52/B51*100,1)</f>
        <v>2.9</v>
      </c>
      <c r="C53" s="124">
        <f>ROUND(C52/C51*100,1)</f>
        <v>2.1</v>
      </c>
      <c r="D53" s="99"/>
      <c r="G53" s="6"/>
      <c r="H53" s="6"/>
      <c r="I53" s="6"/>
      <c r="J53" s="6"/>
    </row>
    <row r="54" spans="1:15" ht="14.25">
      <c r="A54" s="23" t="s">
        <v>99</v>
      </c>
      <c r="B54" s="180">
        <f>ROUND((C51-B51)/B51*100,1)</f>
        <v>1.9</v>
      </c>
      <c r="C54" s="180"/>
      <c r="D54" s="99"/>
      <c r="F54" s="5"/>
      <c r="K54" s="5"/>
      <c r="L54" s="5"/>
      <c r="M54" s="5"/>
      <c r="N54" s="5"/>
      <c r="O54" s="5"/>
    </row>
    <row r="55" spans="1:15" ht="14.25">
      <c r="D55" s="99"/>
      <c r="F55" s="5"/>
      <c r="K55" s="5"/>
      <c r="L55" s="5"/>
      <c r="M55" s="5"/>
      <c r="N55" s="5"/>
      <c r="O55" s="5"/>
    </row>
    <row r="56" spans="1:15" ht="14.25">
      <c r="D56" s="99"/>
      <c r="F56" s="5"/>
      <c r="K56" s="5"/>
      <c r="L56" s="5"/>
      <c r="M56" s="5"/>
      <c r="N56" s="5"/>
      <c r="O56" s="5"/>
    </row>
    <row r="57" spans="1:15" ht="14.25">
      <c r="D57" s="99"/>
      <c r="F57" s="5"/>
      <c r="K57" s="5"/>
      <c r="L57" s="5"/>
      <c r="M57" s="5"/>
      <c r="N57" s="5"/>
      <c r="O57" s="5"/>
    </row>
    <row r="58" spans="1:15" ht="14.25">
      <c r="D58" s="99"/>
      <c r="F58" s="5"/>
      <c r="K58" s="5"/>
      <c r="L58" s="5"/>
      <c r="M58" s="5"/>
      <c r="N58" s="5"/>
      <c r="O58" s="5"/>
    </row>
    <row r="59" spans="1:15" ht="14.25">
      <c r="D59" s="99"/>
    </row>
    <row r="60" spans="1:15" ht="14.25">
      <c r="D60" s="99"/>
    </row>
    <row r="61" spans="1:15" ht="14.25">
      <c r="D61" s="99"/>
    </row>
    <row r="62" spans="1:15" ht="14.25">
      <c r="D62" s="99"/>
    </row>
  </sheetData>
  <mergeCells count="18">
    <mergeCell ref="A5:E5"/>
    <mergeCell ref="B54:C54"/>
    <mergeCell ref="A39:A44"/>
    <mergeCell ref="B39:C39"/>
    <mergeCell ref="B40:C40"/>
    <mergeCell ref="B41:C41"/>
    <mergeCell ref="B43:C43"/>
    <mergeCell ref="D6:E6"/>
    <mergeCell ref="D7:E7"/>
    <mergeCell ref="D8:E8"/>
    <mergeCell ref="D10:E10"/>
    <mergeCell ref="B21:C21"/>
    <mergeCell ref="D21:E21"/>
    <mergeCell ref="B8:C8"/>
    <mergeCell ref="B10:C10"/>
    <mergeCell ref="A6:A11"/>
    <mergeCell ref="B6:C6"/>
    <mergeCell ref="B7:C7"/>
  </mergeCells>
  <phoneticPr fontId="4" type="noConversion"/>
  <printOptions headings="1" gridLines="1"/>
  <pageMargins left="0.70866141732283472" right="0.70866141732283472" top="0.74803149606299213" bottom="0.74803149606299213" header="0.31496062992125984" footer="0.31496062992125984"/>
  <pageSetup scale="61" orientation="portrait" r:id="rId1"/>
  <headerFooter>
    <oddHeader>&amp;C 1632MV7生物分析方法学验证数据</oddHeader>
    <oddFooter>&amp;C第&amp;P页，共&amp;N页</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pageSetUpPr fitToPage="1"/>
  </sheetPr>
  <dimension ref="A2:N56"/>
  <sheetViews>
    <sheetView zoomScaleNormal="100" zoomScaleSheetLayoutView="100" workbookViewId="0">
      <selection activeCell="P50" sqref="P50"/>
    </sheetView>
  </sheetViews>
  <sheetFormatPr defaultColWidth="8.875" defaultRowHeight="13.5"/>
  <cols>
    <col min="1" max="1" width="14.5" style="6" customWidth="1"/>
    <col min="2" max="2" width="18.125" style="6" customWidth="1"/>
    <col min="3" max="3" width="15.625" style="6" customWidth="1"/>
    <col min="4" max="4" width="15.25" style="6" customWidth="1"/>
    <col min="5" max="5" width="15.875" style="6" customWidth="1"/>
    <col min="6" max="8" width="8.875" style="6"/>
    <col min="9" max="9" width="8.875" style="25"/>
    <col min="10" max="10" width="9.625" style="27" bestFit="1" customWidth="1"/>
    <col min="11" max="16384" width="8.875" style="6"/>
  </cols>
  <sheetData>
    <row r="2" spans="1:11">
      <c r="A2" s="143" t="s">
        <v>88</v>
      </c>
      <c r="B2" s="143"/>
    </row>
    <row r="3" spans="1:11">
      <c r="A3" s="9"/>
      <c r="B3" s="9"/>
    </row>
    <row r="4" spans="1:11">
      <c r="A4" s="6" t="s">
        <v>170</v>
      </c>
      <c r="G4" s="10"/>
      <c r="I4" s="4" t="s">
        <v>117</v>
      </c>
      <c r="J4" s="127">
        <v>45792</v>
      </c>
    </row>
    <row r="5" spans="1:11" s="5" customFormat="1" ht="15" customHeight="1">
      <c r="A5" s="134" t="s">
        <v>244</v>
      </c>
      <c r="B5" s="181"/>
      <c r="C5" s="181"/>
      <c r="D5" s="181"/>
      <c r="E5" s="135"/>
      <c r="G5" s="10"/>
      <c r="H5" s="6"/>
      <c r="I5" s="4" t="s">
        <v>86</v>
      </c>
      <c r="J5" s="127">
        <v>45895</v>
      </c>
      <c r="K5" s="6"/>
    </row>
    <row r="6" spans="1:11" s="5" customFormat="1" ht="15" customHeight="1">
      <c r="A6" s="186"/>
      <c r="B6" s="145" t="s">
        <v>55</v>
      </c>
      <c r="C6" s="147"/>
      <c r="D6" s="144" t="s">
        <v>45</v>
      </c>
      <c r="E6" s="144"/>
      <c r="G6" s="10"/>
      <c r="H6" s="6"/>
      <c r="I6" s="4" t="s">
        <v>87</v>
      </c>
      <c r="J6" s="128">
        <f>J5-J4</f>
        <v>103</v>
      </c>
      <c r="K6" s="6"/>
    </row>
    <row r="7" spans="1:11" s="5" customFormat="1" ht="15" customHeight="1">
      <c r="A7" s="183"/>
      <c r="B7" s="179" t="s">
        <v>259</v>
      </c>
      <c r="C7" s="147"/>
      <c r="D7" s="179" t="s">
        <v>259</v>
      </c>
      <c r="E7" s="147"/>
      <c r="I7" s="4"/>
      <c r="J7" s="28"/>
    </row>
    <row r="8" spans="1:11" s="5" customFormat="1" ht="15" customHeight="1">
      <c r="A8" s="183"/>
      <c r="B8" s="144" t="s">
        <v>105</v>
      </c>
      <c r="C8" s="144"/>
      <c r="D8" s="144" t="s">
        <v>105</v>
      </c>
      <c r="E8" s="144"/>
      <c r="I8" s="4"/>
      <c r="J8" s="28"/>
    </row>
    <row r="9" spans="1:11" s="5" customFormat="1" ht="15" customHeight="1">
      <c r="A9" s="183"/>
      <c r="B9" s="30">
        <v>2</v>
      </c>
      <c r="C9" s="34" t="s">
        <v>79</v>
      </c>
      <c r="D9" s="30">
        <v>1</v>
      </c>
      <c r="E9" s="34" t="s">
        <v>79</v>
      </c>
      <c r="I9" s="4"/>
      <c r="J9" s="28"/>
    </row>
    <row r="10" spans="1:11" s="5" customFormat="1" ht="15" customHeight="1">
      <c r="A10" s="183"/>
      <c r="B10" s="145" t="s">
        <v>57</v>
      </c>
      <c r="C10" s="147"/>
      <c r="D10" s="144" t="s">
        <v>57</v>
      </c>
      <c r="E10" s="144"/>
      <c r="I10" s="4"/>
      <c r="J10" s="28"/>
    </row>
    <row r="11" spans="1:11" s="5" customFormat="1" ht="15" customHeight="1">
      <c r="A11" s="184"/>
      <c r="B11" s="34" t="s">
        <v>80</v>
      </c>
      <c r="C11" s="34" t="s">
        <v>58</v>
      </c>
      <c r="D11" s="34" t="s">
        <v>80</v>
      </c>
      <c r="E11" s="34" t="s">
        <v>58</v>
      </c>
      <c r="I11" s="4"/>
      <c r="J11" s="28"/>
    </row>
    <row r="12" spans="1:11" s="5" customFormat="1" ht="15" customHeight="1">
      <c r="A12" s="34">
        <v>1</v>
      </c>
      <c r="B12" s="78">
        <v>2.9510519999999998</v>
      </c>
      <c r="C12" s="78">
        <v>3.04095</v>
      </c>
      <c r="D12" s="78">
        <v>0.335868</v>
      </c>
      <c r="E12" s="78">
        <v>0.331262</v>
      </c>
      <c r="I12" s="4"/>
      <c r="J12" s="28"/>
    </row>
    <row r="13" spans="1:11" s="5" customFormat="1" ht="15" customHeight="1">
      <c r="A13" s="34">
        <v>2</v>
      </c>
      <c r="B13" s="78">
        <v>2.9746630000000001</v>
      </c>
      <c r="C13" s="78">
        <v>2.9963639999999998</v>
      </c>
      <c r="D13" s="78">
        <v>0.33125500000000002</v>
      </c>
      <c r="E13" s="78">
        <v>0.324573</v>
      </c>
      <c r="I13" s="4"/>
      <c r="J13" s="28"/>
    </row>
    <row r="14" spans="1:11" s="5" customFormat="1" ht="15" customHeight="1">
      <c r="A14" s="34">
        <v>3</v>
      </c>
      <c r="B14" s="78">
        <v>3.0044930000000001</v>
      </c>
      <c r="C14" s="78">
        <v>2.970386</v>
      </c>
      <c r="D14" s="78">
        <v>0.33015499999999998</v>
      </c>
      <c r="E14" s="78">
        <v>0.32772299999999999</v>
      </c>
      <c r="I14" s="4"/>
      <c r="J14" s="28"/>
    </row>
    <row r="15" spans="1:11" s="5" customFormat="1" ht="15" customHeight="1">
      <c r="A15" s="34">
        <v>4</v>
      </c>
      <c r="B15" s="78">
        <v>3.0011739999999998</v>
      </c>
      <c r="C15" s="78">
        <v>2.9834429999999998</v>
      </c>
      <c r="D15" s="78">
        <v>0.33465299999999998</v>
      </c>
      <c r="E15" s="78">
        <v>0.323909</v>
      </c>
      <c r="I15" s="4"/>
      <c r="J15" s="28"/>
    </row>
    <row r="16" spans="1:11" s="5" customFormat="1" ht="15" customHeight="1">
      <c r="A16" s="34">
        <v>5</v>
      </c>
      <c r="B16" s="78">
        <v>3.0464859999999998</v>
      </c>
      <c r="C16" s="78">
        <v>2.9816039999999999</v>
      </c>
      <c r="D16" s="78">
        <v>0.328876</v>
      </c>
      <c r="E16" s="78">
        <v>0.34045199999999998</v>
      </c>
      <c r="I16" s="4"/>
      <c r="J16" s="28"/>
    </row>
    <row r="17" spans="1:14" s="5" customFormat="1" ht="15" customHeight="1">
      <c r="A17" s="34">
        <v>6</v>
      </c>
      <c r="B17" s="78">
        <v>2.9365969999999999</v>
      </c>
      <c r="C17" s="78">
        <v>2.9787490000000001</v>
      </c>
      <c r="D17" s="78">
        <v>0.32883099999999998</v>
      </c>
      <c r="E17" s="78">
        <v>0.32939800000000002</v>
      </c>
      <c r="I17" s="4"/>
      <c r="J17" s="28"/>
    </row>
    <row r="18" spans="1:14" s="5" customFormat="1" ht="15" customHeight="1">
      <c r="A18" s="34" t="s">
        <v>50</v>
      </c>
      <c r="B18" s="123">
        <f>ROUND(AVERAGE(B12:B17),6)</f>
        <v>2.985744</v>
      </c>
      <c r="C18" s="123">
        <f>ROUND(AVERAGE(C12:C17),6)</f>
        <v>2.9919159999999998</v>
      </c>
      <c r="D18" s="123">
        <f>ROUND(AVERAGE(D12:D17),6)</f>
        <v>0.33160600000000001</v>
      </c>
      <c r="E18" s="123">
        <f>ROUND(AVERAGE(E12:E17),6)</f>
        <v>0.32955299999999998</v>
      </c>
      <c r="I18" s="4"/>
      <c r="J18" s="28"/>
    </row>
    <row r="19" spans="1:14" s="5" customFormat="1" ht="15" customHeight="1">
      <c r="A19" s="34" t="s">
        <v>5</v>
      </c>
      <c r="B19" s="123">
        <f>ROUND(STDEV(B12:B17),6)</f>
        <v>4.0051999999999997E-2</v>
      </c>
      <c r="C19" s="123">
        <f>ROUND(STDEV(C12:C17),6)</f>
        <v>2.5453E-2</v>
      </c>
      <c r="D19" s="123">
        <f>ROUND(STDEV(D12:D17),6)</f>
        <v>2.9940000000000001E-3</v>
      </c>
      <c r="E19" s="123">
        <f>ROUND(STDEV(E12:E17),6)</f>
        <v>6.0289999999999996E-3</v>
      </c>
      <c r="I19" s="4"/>
      <c r="J19" s="28"/>
    </row>
    <row r="20" spans="1:14" s="5" customFormat="1" ht="15" customHeight="1">
      <c r="A20" s="34" t="s">
        <v>100</v>
      </c>
      <c r="B20" s="124">
        <f>ROUND(B19/B18*100,1)</f>
        <v>1.3</v>
      </c>
      <c r="C20" s="124">
        <f>ROUND(C19/C18*100,1)</f>
        <v>0.9</v>
      </c>
      <c r="D20" s="124">
        <f>ROUND(D19/D18*100,1)</f>
        <v>0.9</v>
      </c>
      <c r="E20" s="124">
        <f>ROUND(E19/E18*100,1)</f>
        <v>1.8</v>
      </c>
      <c r="I20" s="4"/>
      <c r="J20" s="28"/>
    </row>
    <row r="21" spans="1:14">
      <c r="A21" s="23" t="s">
        <v>99</v>
      </c>
      <c r="B21" s="180">
        <f>ROUND((C18-B18)/B18*100,1)</f>
        <v>0.2</v>
      </c>
      <c r="C21" s="180"/>
      <c r="D21" s="180">
        <f>ROUND((E18-D18)/D18*100,1)</f>
        <v>-0.6</v>
      </c>
      <c r="E21" s="180"/>
      <c r="F21" s="5"/>
      <c r="G21" s="5"/>
      <c r="H21" s="5"/>
      <c r="I21" s="4"/>
      <c r="J21" s="28"/>
      <c r="K21" s="5"/>
      <c r="L21" s="5"/>
      <c r="M21" s="5"/>
      <c r="N21" s="5"/>
    </row>
    <row r="22" spans="1:14">
      <c r="A22" s="13"/>
      <c r="B22" s="13"/>
      <c r="C22" s="13"/>
      <c r="D22" s="13"/>
      <c r="E22" s="13"/>
      <c r="F22" s="5"/>
      <c r="G22" s="5"/>
      <c r="H22" s="5"/>
      <c r="I22" s="4"/>
      <c r="J22" s="28"/>
      <c r="K22" s="5"/>
      <c r="L22" s="5"/>
      <c r="M22" s="5"/>
      <c r="N22" s="5"/>
    </row>
    <row r="23" spans="1:14">
      <c r="A23" s="13"/>
      <c r="B23" s="13"/>
      <c r="C23" s="13"/>
      <c r="D23" s="13"/>
      <c r="E23" s="13"/>
      <c r="F23" s="5"/>
      <c r="G23" s="5"/>
      <c r="H23" s="5"/>
      <c r="I23" s="4"/>
      <c r="J23" s="28"/>
      <c r="K23" s="5"/>
      <c r="L23" s="5"/>
      <c r="M23" s="5"/>
      <c r="N23" s="5"/>
    </row>
    <row r="24" spans="1:14" ht="26.25">
      <c r="B24" s="19" t="s">
        <v>120</v>
      </c>
      <c r="C24" s="20" t="s">
        <v>121</v>
      </c>
      <c r="D24" s="20" t="s">
        <v>122</v>
      </c>
      <c r="E24" s="24" t="s">
        <v>123</v>
      </c>
      <c r="F24" s="5"/>
      <c r="G24" s="5"/>
      <c r="H24" s="5"/>
      <c r="I24" s="4"/>
      <c r="J24" s="28"/>
      <c r="K24" s="5"/>
      <c r="L24" s="5"/>
      <c r="M24" s="5"/>
      <c r="N24" s="5"/>
    </row>
    <row r="25" spans="1:14">
      <c r="B25" s="85" t="s">
        <v>245</v>
      </c>
      <c r="C25" s="86">
        <v>1157938</v>
      </c>
      <c r="D25" s="86">
        <v>388914</v>
      </c>
      <c r="E25" s="29">
        <f>ROUND(D25/C25,6)</f>
        <v>0.335868</v>
      </c>
      <c r="F25" s="5"/>
      <c r="G25" s="5"/>
      <c r="H25" s="5"/>
      <c r="I25" s="4"/>
      <c r="J25" s="28"/>
      <c r="K25" s="5"/>
      <c r="L25" s="5"/>
      <c r="M25" s="5"/>
      <c r="N25" s="5"/>
    </row>
    <row r="26" spans="1:14">
      <c r="B26" s="87" t="s">
        <v>246</v>
      </c>
      <c r="C26" s="88">
        <v>1179474</v>
      </c>
      <c r="D26" s="88">
        <v>390707</v>
      </c>
      <c r="E26" s="21">
        <f t="shared" ref="E26:E30" si="0">ROUND(D26/C26,6)</f>
        <v>0.33125500000000002</v>
      </c>
      <c r="F26" s="5"/>
      <c r="G26" s="5"/>
      <c r="H26" s="5"/>
      <c r="I26" s="4"/>
      <c r="J26" s="28"/>
      <c r="K26" s="5"/>
      <c r="L26" s="5"/>
      <c r="M26" s="5"/>
      <c r="N26" s="5"/>
    </row>
    <row r="27" spans="1:14">
      <c r="B27" s="87" t="s">
        <v>247</v>
      </c>
      <c r="C27" s="88">
        <v>1168231</v>
      </c>
      <c r="D27" s="88">
        <v>385697</v>
      </c>
      <c r="E27" s="21">
        <f t="shared" si="0"/>
        <v>0.33015499999999998</v>
      </c>
      <c r="F27" s="5"/>
      <c r="G27" s="5"/>
      <c r="H27" s="5"/>
      <c r="I27" s="4"/>
      <c r="J27" s="28"/>
      <c r="K27" s="5"/>
      <c r="L27" s="5"/>
      <c r="M27" s="5"/>
      <c r="N27" s="5"/>
    </row>
    <row r="28" spans="1:14">
      <c r="B28" s="87" t="s">
        <v>248</v>
      </c>
      <c r="C28" s="88">
        <v>1153963</v>
      </c>
      <c r="D28" s="88">
        <v>386177</v>
      </c>
      <c r="E28" s="21">
        <f t="shared" si="0"/>
        <v>0.33465299999999998</v>
      </c>
      <c r="F28" s="5"/>
      <c r="G28" s="5"/>
      <c r="H28" s="5"/>
      <c r="I28" s="4"/>
      <c r="J28" s="28"/>
      <c r="K28" s="5"/>
      <c r="L28" s="5"/>
      <c r="M28" s="5"/>
      <c r="N28" s="5"/>
    </row>
    <row r="29" spans="1:14">
      <c r="B29" s="87" t="s">
        <v>249</v>
      </c>
      <c r="C29" s="88">
        <v>1165665</v>
      </c>
      <c r="D29" s="88">
        <v>383359</v>
      </c>
      <c r="E29" s="21">
        <f t="shared" si="0"/>
        <v>0.328876</v>
      </c>
      <c r="F29" s="5"/>
      <c r="G29" s="5"/>
      <c r="H29" s="5"/>
      <c r="I29" s="4"/>
      <c r="J29" s="28"/>
      <c r="K29" s="5"/>
      <c r="L29" s="5"/>
      <c r="M29" s="5"/>
      <c r="N29" s="5"/>
    </row>
    <row r="30" spans="1:14">
      <c r="B30" s="87" t="s">
        <v>250</v>
      </c>
      <c r="C30" s="88">
        <v>1166056</v>
      </c>
      <c r="D30" s="88">
        <v>383435</v>
      </c>
      <c r="E30" s="21">
        <f t="shared" si="0"/>
        <v>0.32883099999999998</v>
      </c>
      <c r="F30" s="5"/>
      <c r="G30" s="5"/>
      <c r="H30" s="5"/>
      <c r="I30" s="4"/>
      <c r="J30" s="28"/>
      <c r="K30" s="5"/>
      <c r="L30" s="5"/>
      <c r="M30" s="5"/>
      <c r="N30" s="5"/>
    </row>
    <row r="31" spans="1:14">
      <c r="B31" s="87" t="s">
        <v>260</v>
      </c>
      <c r="C31" s="88">
        <v>1174611</v>
      </c>
      <c r="D31" s="88">
        <v>389104</v>
      </c>
      <c r="E31" s="21">
        <f>ROUND(D31/C31,6)</f>
        <v>0.331262</v>
      </c>
      <c r="F31" s="5"/>
      <c r="G31" s="5"/>
      <c r="H31" s="5"/>
      <c r="I31" s="4"/>
      <c r="J31" s="28"/>
      <c r="K31" s="5"/>
      <c r="L31" s="5"/>
      <c r="M31" s="5"/>
      <c r="N31" s="5"/>
    </row>
    <row r="32" spans="1:14">
      <c r="B32" s="87" t="s">
        <v>261</v>
      </c>
      <c r="C32" s="88">
        <v>1180269</v>
      </c>
      <c r="D32" s="88">
        <v>383084</v>
      </c>
      <c r="E32" s="21">
        <f t="shared" ref="E32:E36" si="1">ROUND(D32/C32,6)</f>
        <v>0.324573</v>
      </c>
      <c r="F32" s="5"/>
      <c r="G32" s="5"/>
      <c r="H32" s="5"/>
      <c r="I32" s="4"/>
      <c r="J32" s="28"/>
      <c r="K32" s="5"/>
      <c r="L32" s="5"/>
      <c r="M32" s="5"/>
      <c r="N32" s="5"/>
    </row>
    <row r="33" spans="1:14">
      <c r="B33" s="87" t="s">
        <v>262</v>
      </c>
      <c r="C33" s="88">
        <v>1173617</v>
      </c>
      <c r="D33" s="88">
        <v>384621</v>
      </c>
      <c r="E33" s="21">
        <f t="shared" si="1"/>
        <v>0.32772299999999999</v>
      </c>
      <c r="F33" s="5"/>
      <c r="G33" s="5"/>
      <c r="H33" s="5"/>
      <c r="I33" s="4"/>
      <c r="J33" s="28"/>
      <c r="K33" s="5"/>
      <c r="L33" s="5"/>
      <c r="M33" s="5"/>
      <c r="N33" s="5"/>
    </row>
    <row r="34" spans="1:14">
      <c r="B34" s="87" t="s">
        <v>263</v>
      </c>
      <c r="C34" s="88">
        <v>1184974</v>
      </c>
      <c r="D34" s="88">
        <v>383824</v>
      </c>
      <c r="E34" s="21">
        <f t="shared" si="1"/>
        <v>0.323909</v>
      </c>
      <c r="F34" s="5"/>
      <c r="G34" s="5"/>
      <c r="H34" s="5"/>
      <c r="I34" s="4"/>
      <c r="J34" s="28"/>
      <c r="K34" s="5"/>
      <c r="L34" s="5"/>
      <c r="M34" s="5"/>
      <c r="N34" s="5"/>
    </row>
    <row r="35" spans="1:14">
      <c r="B35" s="87" t="s">
        <v>264</v>
      </c>
      <c r="C35" s="88">
        <v>1143907</v>
      </c>
      <c r="D35" s="88">
        <v>389445</v>
      </c>
      <c r="E35" s="21">
        <f t="shared" si="1"/>
        <v>0.34045199999999998</v>
      </c>
      <c r="F35" s="5"/>
      <c r="G35" s="5"/>
      <c r="H35" s="5"/>
      <c r="I35" s="4"/>
      <c r="J35" s="28"/>
      <c r="K35" s="5"/>
      <c r="L35" s="5"/>
      <c r="M35" s="5"/>
      <c r="N35" s="5"/>
    </row>
    <row r="36" spans="1:14">
      <c r="B36" s="89" t="s">
        <v>265</v>
      </c>
      <c r="C36" s="90">
        <v>1166560</v>
      </c>
      <c r="D36" s="90">
        <v>384262</v>
      </c>
      <c r="E36" s="22">
        <f t="shared" si="1"/>
        <v>0.32939800000000002</v>
      </c>
      <c r="F36" s="5"/>
      <c r="G36" s="5"/>
      <c r="H36" s="5"/>
      <c r="I36" s="4"/>
      <c r="J36" s="28"/>
      <c r="K36" s="5"/>
      <c r="L36" s="5"/>
      <c r="M36" s="5"/>
      <c r="N36" s="5"/>
    </row>
    <row r="37" spans="1:14">
      <c r="F37" s="5"/>
      <c r="G37" s="5"/>
      <c r="H37" s="5"/>
      <c r="I37" s="4"/>
      <c r="J37" s="28"/>
      <c r="K37" s="5"/>
      <c r="L37" s="5"/>
      <c r="M37" s="5"/>
      <c r="N37" s="5"/>
    </row>
    <row r="38" spans="1:14">
      <c r="A38" s="6" t="s">
        <v>171</v>
      </c>
      <c r="G38" s="10"/>
      <c r="I38" s="4" t="s">
        <v>117</v>
      </c>
      <c r="J38" s="127">
        <v>45792</v>
      </c>
      <c r="K38" s="5"/>
    </row>
    <row r="39" spans="1:14" s="5" customFormat="1" ht="15" customHeight="1">
      <c r="A39" s="125" t="s">
        <v>244</v>
      </c>
      <c r="B39" s="129"/>
      <c r="C39" s="129"/>
      <c r="D39" s="6"/>
      <c r="E39" s="6"/>
      <c r="G39" s="10"/>
      <c r="H39" s="6"/>
      <c r="I39" s="4" t="s">
        <v>86</v>
      </c>
      <c r="J39" s="127">
        <v>45895</v>
      </c>
    </row>
    <row r="40" spans="1:14" s="5" customFormat="1" ht="15" customHeight="1">
      <c r="A40" s="186"/>
      <c r="B40" s="145" t="s">
        <v>55</v>
      </c>
      <c r="C40" s="147"/>
      <c r="D40" s="6"/>
      <c r="E40" s="6"/>
      <c r="G40" s="10"/>
      <c r="H40" s="6"/>
      <c r="I40" s="4" t="s">
        <v>87</v>
      </c>
      <c r="J40" s="128">
        <f>J39-J38</f>
        <v>103</v>
      </c>
    </row>
    <row r="41" spans="1:14" s="5" customFormat="1" ht="15" customHeight="1">
      <c r="A41" s="183"/>
      <c r="B41" s="179" t="s">
        <v>259</v>
      </c>
      <c r="C41" s="147"/>
      <c r="D41" s="6"/>
      <c r="E41" s="6"/>
      <c r="I41" s="4"/>
      <c r="J41" s="28"/>
    </row>
    <row r="42" spans="1:14" s="5" customFormat="1" ht="15" customHeight="1">
      <c r="A42" s="183"/>
      <c r="B42" s="144" t="s">
        <v>81</v>
      </c>
      <c r="C42" s="144"/>
      <c r="D42" s="6"/>
      <c r="E42" s="6"/>
      <c r="I42" s="4"/>
      <c r="J42" s="28"/>
    </row>
    <row r="43" spans="1:14" s="5" customFormat="1" ht="15" customHeight="1">
      <c r="A43" s="183"/>
      <c r="B43" s="30">
        <v>2</v>
      </c>
      <c r="C43" s="34" t="s">
        <v>79</v>
      </c>
      <c r="D43" s="6"/>
      <c r="E43" s="6"/>
      <c r="I43" s="4"/>
      <c r="J43" s="28"/>
    </row>
    <row r="44" spans="1:14" s="5" customFormat="1" ht="15" customHeight="1">
      <c r="A44" s="183"/>
      <c r="B44" s="145" t="s">
        <v>57</v>
      </c>
      <c r="C44" s="147"/>
      <c r="D44" s="6"/>
      <c r="E44" s="6"/>
      <c r="I44" s="4"/>
      <c r="J44" s="28"/>
    </row>
    <row r="45" spans="1:14" s="5" customFormat="1" ht="15" customHeight="1">
      <c r="A45" s="184"/>
      <c r="B45" s="34" t="s">
        <v>80</v>
      </c>
      <c r="C45" s="34" t="s">
        <v>58</v>
      </c>
      <c r="D45" s="6"/>
      <c r="E45" s="6"/>
      <c r="I45" s="4"/>
      <c r="J45" s="28"/>
    </row>
    <row r="46" spans="1:14" s="5" customFormat="1" ht="15" customHeight="1">
      <c r="A46" s="34">
        <v>1</v>
      </c>
      <c r="B46" s="78">
        <v>2.7835610000000002</v>
      </c>
      <c r="C46" s="78">
        <v>2.8506840000000002</v>
      </c>
      <c r="D46" s="6"/>
      <c r="E46" s="6"/>
      <c r="I46" s="4"/>
      <c r="J46" s="28"/>
    </row>
    <row r="47" spans="1:14" s="5" customFormat="1" ht="15" customHeight="1">
      <c r="A47" s="34">
        <v>2</v>
      </c>
      <c r="B47" s="78">
        <v>2.798603</v>
      </c>
      <c r="C47" s="78">
        <v>2.7610130000000002</v>
      </c>
      <c r="D47" s="6"/>
      <c r="E47" s="6"/>
      <c r="I47" s="4"/>
      <c r="J47" s="28"/>
    </row>
    <row r="48" spans="1:14" s="5" customFormat="1" ht="15" customHeight="1">
      <c r="A48" s="34">
        <v>3</v>
      </c>
      <c r="B48" s="78">
        <v>2.82803</v>
      </c>
      <c r="C48" s="78">
        <v>2.7680880000000001</v>
      </c>
      <c r="D48" s="6"/>
      <c r="E48" s="6"/>
      <c r="I48" s="4"/>
      <c r="J48" s="28"/>
    </row>
    <row r="49" spans="1:11" s="5" customFormat="1" ht="15" customHeight="1">
      <c r="A49" s="34">
        <v>4</v>
      </c>
      <c r="B49" s="78">
        <v>2.7995450000000002</v>
      </c>
      <c r="C49" s="78">
        <v>2.7417060000000002</v>
      </c>
      <c r="D49" s="6"/>
      <c r="E49" s="6"/>
      <c r="I49" s="4"/>
      <c r="J49" s="28"/>
    </row>
    <row r="50" spans="1:11" s="5" customFormat="1" ht="15" customHeight="1">
      <c r="A50" s="34">
        <v>5</v>
      </c>
      <c r="B50" s="78">
        <v>2.8517899999999998</v>
      </c>
      <c r="C50" s="78">
        <v>2.7393559999999999</v>
      </c>
      <c r="D50" s="6"/>
      <c r="E50" s="6"/>
      <c r="I50" s="4"/>
      <c r="J50" s="28"/>
    </row>
    <row r="51" spans="1:11" s="5" customFormat="1" ht="15" customHeight="1">
      <c r="A51" s="34">
        <v>6</v>
      </c>
      <c r="B51" s="78">
        <v>2.7604380000000002</v>
      </c>
      <c r="C51" s="78">
        <v>2.757504</v>
      </c>
      <c r="D51" s="6"/>
      <c r="E51" s="6"/>
      <c r="I51" s="4"/>
      <c r="J51" s="28"/>
    </row>
    <row r="52" spans="1:11" s="5" customFormat="1" ht="15" customHeight="1">
      <c r="A52" s="34" t="s">
        <v>50</v>
      </c>
      <c r="B52" s="123">
        <f>ROUND(AVERAGE(B46:B51),6)</f>
        <v>2.803661</v>
      </c>
      <c r="C52" s="123">
        <f>ROUND(AVERAGE(C46:C51),6)</f>
        <v>2.7697250000000002</v>
      </c>
      <c r="D52" s="6"/>
      <c r="E52" s="6"/>
      <c r="I52" s="4"/>
      <c r="J52" s="28"/>
    </row>
    <row r="53" spans="1:11" s="5" customFormat="1" ht="15" customHeight="1">
      <c r="A53" s="34" t="s">
        <v>5</v>
      </c>
      <c r="B53" s="123">
        <f>ROUND(STDEV(B46:B51),6)</f>
        <v>3.2326000000000001E-2</v>
      </c>
      <c r="C53" s="123">
        <f>ROUND(STDEV(C46:C51),6)</f>
        <v>4.1206E-2</v>
      </c>
      <c r="D53" s="6"/>
      <c r="E53" s="6"/>
      <c r="I53" s="4"/>
      <c r="J53" s="28"/>
    </row>
    <row r="54" spans="1:11" s="5" customFormat="1" ht="15" customHeight="1">
      <c r="A54" s="34" t="s">
        <v>96</v>
      </c>
      <c r="B54" s="124">
        <f>ROUND(B53/B52*100,1)</f>
        <v>1.2</v>
      </c>
      <c r="C54" s="124">
        <f>ROUND(C53/C52*100,1)</f>
        <v>1.5</v>
      </c>
      <c r="D54" s="6"/>
      <c r="E54" s="6"/>
      <c r="I54" s="4"/>
      <c r="J54" s="28"/>
    </row>
    <row r="55" spans="1:11">
      <c r="A55" s="23" t="s">
        <v>99</v>
      </c>
      <c r="B55" s="180">
        <f>ROUND((C52-B52)/B52*100,1)</f>
        <v>-1.2</v>
      </c>
      <c r="C55" s="180"/>
      <c r="F55" s="5"/>
      <c r="G55" s="5"/>
      <c r="H55" s="5"/>
      <c r="I55" s="4"/>
      <c r="J55" s="28"/>
      <c r="K55" s="5"/>
    </row>
    <row r="56" spans="1:11">
      <c r="H56" s="5"/>
      <c r="I56" s="4"/>
      <c r="J56" s="28"/>
      <c r="K56" s="5"/>
    </row>
  </sheetData>
  <mergeCells count="19">
    <mergeCell ref="B21:C21"/>
    <mergeCell ref="D21:E21"/>
    <mergeCell ref="B55:C55"/>
    <mergeCell ref="A40:A45"/>
    <mergeCell ref="B40:C40"/>
    <mergeCell ref="B41:C41"/>
    <mergeCell ref="B42:C42"/>
    <mergeCell ref="B44:C44"/>
    <mergeCell ref="D8:E8"/>
    <mergeCell ref="B10:C10"/>
    <mergeCell ref="A2:B2"/>
    <mergeCell ref="A6:A11"/>
    <mergeCell ref="B6:C6"/>
    <mergeCell ref="D6:E6"/>
    <mergeCell ref="B7:C7"/>
    <mergeCell ref="D7:E7"/>
    <mergeCell ref="B8:C8"/>
    <mergeCell ref="D10:E10"/>
    <mergeCell ref="A5:E5"/>
  </mergeCells>
  <phoneticPr fontId="4" type="noConversion"/>
  <printOptions headings="1" gridLines="1"/>
  <pageMargins left="0.70866141732283472" right="0.70866141732283472" top="0.74803149606299213" bottom="0.74803149606299213" header="0.31496062992125984" footer="0.31496062992125984"/>
  <pageSetup scale="52" orientation="portrait" r:id="rId1"/>
  <headerFooter>
    <oddHeader>&amp;C 1632MV7生物分析方法学验证数据</oddHeader>
    <oddFooter>&amp;C第&amp;P页，共&amp;N页</oddFooter>
  </headerFooter>
  <colBreaks count="1" manualBreakCount="1">
    <brk id="5" max="39"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pageSetUpPr fitToPage="1"/>
  </sheetPr>
  <dimension ref="A2:N56"/>
  <sheetViews>
    <sheetView zoomScaleNormal="100" zoomScaleSheetLayoutView="100" workbookViewId="0">
      <selection activeCell="P39" sqref="P39"/>
    </sheetView>
  </sheetViews>
  <sheetFormatPr defaultColWidth="8.875" defaultRowHeight="13.5"/>
  <cols>
    <col min="1" max="1" width="15.875" style="6" customWidth="1"/>
    <col min="2" max="2" width="14.375" style="6" customWidth="1"/>
    <col min="3" max="3" width="21.875" style="6" customWidth="1"/>
    <col min="4" max="4" width="13.25" style="6" customWidth="1"/>
    <col min="5" max="5" width="19.75" style="6" customWidth="1"/>
    <col min="6" max="8" width="8.875" style="6"/>
    <col min="9" max="9" width="8.875" style="25"/>
    <col min="10" max="10" width="9.5" style="6" bestFit="1" customWidth="1"/>
    <col min="11" max="16384" width="8.875" style="6"/>
  </cols>
  <sheetData>
    <row r="2" spans="1:10">
      <c r="A2" s="94" t="s">
        <v>278</v>
      </c>
    </row>
    <row r="4" spans="1:10">
      <c r="A4" s="6" t="s">
        <v>170</v>
      </c>
      <c r="G4" s="10"/>
      <c r="I4" s="4"/>
      <c r="J4" s="127"/>
    </row>
    <row r="5" spans="1:10" s="5" customFormat="1" ht="15" customHeight="1">
      <c r="A5" s="134" t="s">
        <v>244</v>
      </c>
      <c r="B5" s="181"/>
      <c r="C5" s="181"/>
      <c r="D5" s="181"/>
      <c r="E5" s="135"/>
      <c r="G5" s="10"/>
      <c r="H5" s="6"/>
      <c r="I5" s="4"/>
      <c r="J5" s="127"/>
    </row>
    <row r="6" spans="1:10" s="5" customFormat="1" ht="15" customHeight="1">
      <c r="A6" s="187"/>
      <c r="B6" s="144" t="s">
        <v>2</v>
      </c>
      <c r="C6" s="144"/>
      <c r="D6" s="144" t="s">
        <v>45</v>
      </c>
      <c r="E6" s="144"/>
      <c r="F6" s="6"/>
      <c r="G6" s="4"/>
      <c r="H6" s="26"/>
      <c r="I6" s="4" t="s">
        <v>117</v>
      </c>
      <c r="J6" s="127">
        <v>45792</v>
      </c>
    </row>
    <row r="7" spans="1:10" s="5" customFormat="1" ht="15" customHeight="1">
      <c r="A7" s="157"/>
      <c r="B7" s="179" t="s">
        <v>259</v>
      </c>
      <c r="C7" s="147"/>
      <c r="D7" s="179" t="s">
        <v>259</v>
      </c>
      <c r="E7" s="147"/>
      <c r="G7" s="4"/>
      <c r="H7" s="28"/>
      <c r="I7" s="4" t="s">
        <v>86</v>
      </c>
      <c r="J7" s="127">
        <v>45895</v>
      </c>
    </row>
    <row r="8" spans="1:10" s="5" customFormat="1" ht="15" customHeight="1">
      <c r="A8" s="157"/>
      <c r="B8" s="144" t="s">
        <v>105</v>
      </c>
      <c r="C8" s="144"/>
      <c r="D8" s="144" t="s">
        <v>105</v>
      </c>
      <c r="E8" s="144"/>
      <c r="G8" s="4"/>
      <c r="H8" s="28"/>
      <c r="I8" s="4" t="s">
        <v>87</v>
      </c>
      <c r="J8" s="128">
        <f>J7-J6</f>
        <v>103</v>
      </c>
    </row>
    <row r="9" spans="1:10" s="5" customFormat="1" ht="15" customHeight="1">
      <c r="A9" s="157"/>
      <c r="B9" s="30">
        <v>200</v>
      </c>
      <c r="C9" s="34" t="s">
        <v>36</v>
      </c>
      <c r="D9" s="30">
        <v>10000</v>
      </c>
      <c r="E9" s="34" t="s">
        <v>36</v>
      </c>
      <c r="G9" s="4"/>
      <c r="H9" s="28"/>
    </row>
    <row r="10" spans="1:10" s="5" customFormat="1" ht="15" customHeight="1">
      <c r="A10" s="157"/>
      <c r="B10" s="144" t="s">
        <v>57</v>
      </c>
      <c r="C10" s="144"/>
      <c r="D10" s="144" t="s">
        <v>57</v>
      </c>
      <c r="E10" s="144"/>
      <c r="G10" s="4"/>
      <c r="H10" s="28"/>
    </row>
    <row r="11" spans="1:10" s="5" customFormat="1" ht="15" customHeight="1">
      <c r="A11" s="157"/>
      <c r="B11" s="34" t="s">
        <v>80</v>
      </c>
      <c r="C11" s="34" t="s">
        <v>58</v>
      </c>
      <c r="D11" s="34" t="s">
        <v>80</v>
      </c>
      <c r="E11" s="34" t="s">
        <v>58</v>
      </c>
      <c r="F11" s="6"/>
      <c r="G11" s="6"/>
      <c r="H11" s="28"/>
    </row>
    <row r="12" spans="1:10" s="5" customFormat="1" ht="15" customHeight="1">
      <c r="A12" s="34">
        <v>1</v>
      </c>
      <c r="B12" s="78">
        <v>1.4191E-2</v>
      </c>
      <c r="C12" s="78">
        <v>1.3967E-2</v>
      </c>
      <c r="D12" s="78">
        <v>0.33004600000000001</v>
      </c>
      <c r="E12" s="78">
        <v>0.33407500000000001</v>
      </c>
      <c r="G12" s="4"/>
      <c r="H12" s="28"/>
    </row>
    <row r="13" spans="1:10" s="5" customFormat="1" ht="15" customHeight="1">
      <c r="A13" s="34">
        <v>2</v>
      </c>
      <c r="B13" s="78">
        <v>1.3691E-2</v>
      </c>
      <c r="C13" s="78">
        <v>1.3839000000000001E-2</v>
      </c>
      <c r="D13" s="78">
        <v>0.32937300000000003</v>
      </c>
      <c r="E13" s="78">
        <v>0.33434399999999997</v>
      </c>
      <c r="F13" s="6"/>
      <c r="G13" s="6"/>
      <c r="H13" s="28"/>
    </row>
    <row r="14" spans="1:10" s="5" customFormat="1" ht="15" customHeight="1">
      <c r="A14" s="34">
        <v>3</v>
      </c>
      <c r="B14" s="78">
        <v>1.4938999999999999E-2</v>
      </c>
      <c r="C14" s="78">
        <v>1.3998999999999999E-2</v>
      </c>
      <c r="D14" s="78">
        <v>0.33080900000000002</v>
      </c>
      <c r="E14" s="78">
        <v>0.33398600000000001</v>
      </c>
      <c r="G14" s="4"/>
      <c r="H14" s="28"/>
    </row>
    <row r="15" spans="1:10" s="5" customFormat="1" ht="15" customHeight="1">
      <c r="A15" s="34">
        <v>4</v>
      </c>
      <c r="B15" s="78">
        <v>1.4623000000000001E-2</v>
      </c>
      <c r="C15" s="78">
        <v>1.3624000000000001E-2</v>
      </c>
      <c r="D15" s="78">
        <v>0.34027600000000002</v>
      </c>
      <c r="E15" s="78">
        <v>0.33407999999999999</v>
      </c>
      <c r="F15" s="6"/>
      <c r="G15" s="6"/>
      <c r="H15" s="28"/>
    </row>
    <row r="16" spans="1:10" s="5" customFormat="1" ht="15" customHeight="1">
      <c r="A16" s="34">
        <v>5</v>
      </c>
      <c r="B16" s="78">
        <v>1.2753E-2</v>
      </c>
      <c r="C16" s="78">
        <v>1.3951E-2</v>
      </c>
      <c r="D16" s="78">
        <v>0.34771099999999999</v>
      </c>
      <c r="E16" s="78">
        <v>0.33169599999999999</v>
      </c>
      <c r="G16" s="4"/>
      <c r="H16" s="28"/>
    </row>
    <row r="17" spans="1:14" s="5" customFormat="1" ht="15" customHeight="1">
      <c r="A17" s="34">
        <v>6</v>
      </c>
      <c r="B17" s="78">
        <v>1.4999999999999999E-2</v>
      </c>
      <c r="C17" s="78">
        <v>1.3676000000000001E-2</v>
      </c>
      <c r="D17" s="78">
        <v>0.32880500000000001</v>
      </c>
      <c r="E17" s="78">
        <v>0.32693299999999997</v>
      </c>
      <c r="F17" s="6"/>
      <c r="G17" s="6"/>
      <c r="H17" s="28"/>
    </row>
    <row r="18" spans="1:14" s="5" customFormat="1" ht="15" customHeight="1">
      <c r="A18" s="34" t="s">
        <v>50</v>
      </c>
      <c r="B18" s="123">
        <f t="shared" ref="B18:E18" si="0">ROUND(AVERAGE(B12:B17),6)</f>
        <v>1.4200000000000001E-2</v>
      </c>
      <c r="C18" s="123">
        <f t="shared" si="0"/>
        <v>1.3842999999999999E-2</v>
      </c>
      <c r="D18" s="123">
        <f t="shared" si="0"/>
        <v>0.33450299999999999</v>
      </c>
      <c r="E18" s="123">
        <f t="shared" si="0"/>
        <v>0.33251900000000001</v>
      </c>
      <c r="G18" s="4"/>
      <c r="H18" s="28"/>
    </row>
    <row r="19" spans="1:14" s="5" customFormat="1" ht="15" customHeight="1">
      <c r="A19" s="34" t="s">
        <v>5</v>
      </c>
      <c r="B19" s="123">
        <f t="shared" ref="B19:E19" si="1">ROUND(STDEV(B12:B17),6)</f>
        <v>8.6200000000000003E-4</v>
      </c>
      <c r="C19" s="123">
        <f t="shared" si="1"/>
        <v>1.6000000000000001E-4</v>
      </c>
      <c r="D19" s="123">
        <f t="shared" si="1"/>
        <v>7.7470000000000004E-3</v>
      </c>
      <c r="E19" s="123">
        <f t="shared" si="1"/>
        <v>2.9060000000000002E-3</v>
      </c>
      <c r="F19" s="6"/>
      <c r="G19" s="6"/>
      <c r="H19" s="28"/>
    </row>
    <row r="20" spans="1:14" s="5" customFormat="1" ht="15" customHeight="1">
      <c r="A20" s="34" t="s">
        <v>100</v>
      </c>
      <c r="B20" s="124">
        <f>ROUND(B19/B18*100,1)</f>
        <v>6.1</v>
      </c>
      <c r="C20" s="124">
        <f>ROUND(C19/C18*100,1)</f>
        <v>1.2</v>
      </c>
      <c r="D20" s="124">
        <f t="shared" ref="D20:E20" si="2">ROUND(D19/D18*100,1)</f>
        <v>2.2999999999999998</v>
      </c>
      <c r="E20" s="124">
        <f t="shared" si="2"/>
        <v>0.9</v>
      </c>
      <c r="G20" s="4"/>
      <c r="H20" s="28"/>
    </row>
    <row r="21" spans="1:14">
      <c r="A21" s="23" t="s">
        <v>99</v>
      </c>
      <c r="B21" s="180">
        <f>ROUND((C18-B18)/B18*100,1)</f>
        <v>-2.5</v>
      </c>
      <c r="C21" s="180"/>
      <c r="D21" s="180">
        <f>ROUND((E18-D18)/D18*100,1)</f>
        <v>-0.6</v>
      </c>
      <c r="E21" s="180"/>
      <c r="F21" s="5"/>
      <c r="G21" s="4"/>
      <c r="H21" s="28"/>
      <c r="I21" s="5"/>
      <c r="J21" s="5"/>
      <c r="K21" s="5"/>
      <c r="L21" s="5"/>
      <c r="M21" s="5"/>
      <c r="N21" s="5"/>
    </row>
    <row r="22" spans="1:14">
      <c r="H22" s="28"/>
      <c r="I22" s="5"/>
      <c r="J22" s="5"/>
      <c r="K22" s="5"/>
      <c r="L22" s="5"/>
      <c r="M22" s="5"/>
      <c r="N22" s="5"/>
    </row>
    <row r="23" spans="1:14" ht="26.25">
      <c r="B23" s="19" t="s">
        <v>120</v>
      </c>
      <c r="C23" s="20" t="s">
        <v>121</v>
      </c>
      <c r="D23" s="20" t="s">
        <v>122</v>
      </c>
      <c r="E23" s="24" t="s">
        <v>123</v>
      </c>
      <c r="F23" s="5"/>
      <c r="G23" s="4"/>
      <c r="H23" s="28"/>
      <c r="I23" s="5"/>
      <c r="J23" s="5"/>
      <c r="K23" s="5"/>
      <c r="L23" s="5"/>
      <c r="M23" s="5"/>
      <c r="N23" s="5"/>
    </row>
    <row r="24" spans="1:14">
      <c r="B24" s="79" t="s">
        <v>266</v>
      </c>
      <c r="C24" s="91">
        <v>1178619</v>
      </c>
      <c r="D24" s="91">
        <v>388998</v>
      </c>
      <c r="E24" s="29">
        <f>ROUND(D24/C24,6)</f>
        <v>0.33004600000000001</v>
      </c>
      <c r="H24" s="28"/>
      <c r="I24" s="5"/>
      <c r="J24" s="5"/>
      <c r="K24" s="5"/>
      <c r="L24" s="5"/>
      <c r="M24" s="5"/>
      <c r="N24" s="5"/>
    </row>
    <row r="25" spans="1:14">
      <c r="B25" s="81" t="s">
        <v>267</v>
      </c>
      <c r="C25" s="92">
        <v>1185070</v>
      </c>
      <c r="D25" s="92">
        <v>390330</v>
      </c>
      <c r="E25" s="21">
        <f t="shared" ref="E25:E29" si="3">ROUND(D25/C25,6)</f>
        <v>0.32937300000000003</v>
      </c>
      <c r="F25" s="5"/>
      <c r="G25" s="4"/>
      <c r="H25" s="28"/>
      <c r="I25" s="5"/>
      <c r="J25" s="5"/>
      <c r="K25" s="5"/>
      <c r="L25" s="5"/>
      <c r="M25" s="5"/>
      <c r="N25" s="5"/>
    </row>
    <row r="26" spans="1:14">
      <c r="B26" s="81" t="s">
        <v>268</v>
      </c>
      <c r="C26" s="92">
        <v>1183764</v>
      </c>
      <c r="D26" s="92">
        <v>391600</v>
      </c>
      <c r="E26" s="21">
        <f t="shared" si="3"/>
        <v>0.33080900000000002</v>
      </c>
      <c r="H26" s="28"/>
      <c r="I26" s="5"/>
      <c r="J26" s="5"/>
      <c r="K26" s="5"/>
      <c r="L26" s="5"/>
      <c r="M26" s="5"/>
      <c r="N26" s="5"/>
    </row>
    <row r="27" spans="1:14">
      <c r="B27" s="81" t="s">
        <v>269</v>
      </c>
      <c r="C27" s="92">
        <v>1171519</v>
      </c>
      <c r="D27" s="92">
        <v>398640</v>
      </c>
      <c r="E27" s="21">
        <f t="shared" si="3"/>
        <v>0.34027600000000002</v>
      </c>
      <c r="F27" s="5"/>
      <c r="G27" s="4"/>
      <c r="H27" s="28"/>
      <c r="I27" s="5"/>
      <c r="J27" s="5"/>
      <c r="K27" s="5"/>
      <c r="L27" s="5"/>
      <c r="M27" s="5"/>
      <c r="N27" s="5"/>
    </row>
    <row r="28" spans="1:14">
      <c r="B28" s="81" t="s">
        <v>270</v>
      </c>
      <c r="C28" s="92">
        <v>1140388</v>
      </c>
      <c r="D28" s="92">
        <v>396525</v>
      </c>
      <c r="E28" s="21">
        <f t="shared" si="3"/>
        <v>0.34771099999999999</v>
      </c>
      <c r="H28" s="28"/>
      <c r="I28" s="5"/>
      <c r="J28" s="5"/>
      <c r="K28" s="5"/>
      <c r="L28" s="5"/>
      <c r="M28" s="5"/>
      <c r="N28" s="5"/>
    </row>
    <row r="29" spans="1:14">
      <c r="B29" s="81" t="s">
        <v>271</v>
      </c>
      <c r="C29" s="92">
        <v>1188765</v>
      </c>
      <c r="D29" s="92">
        <v>390872</v>
      </c>
      <c r="E29" s="21">
        <f t="shared" si="3"/>
        <v>0.32880500000000001</v>
      </c>
      <c r="F29" s="5"/>
      <c r="G29" s="4"/>
      <c r="H29" s="28"/>
      <c r="I29" s="5"/>
      <c r="J29" s="5"/>
      <c r="K29" s="5"/>
      <c r="L29" s="5"/>
      <c r="M29" s="5"/>
      <c r="N29" s="5"/>
    </row>
    <row r="30" spans="1:14">
      <c r="B30" s="81" t="s">
        <v>280</v>
      </c>
      <c r="C30" s="92">
        <v>1164756</v>
      </c>
      <c r="D30" s="92">
        <v>389116</v>
      </c>
      <c r="E30" s="21">
        <f>ROUND(D30/C30,6)</f>
        <v>0.33407500000000001</v>
      </c>
      <c r="H30" s="28"/>
      <c r="I30" s="5"/>
      <c r="J30" s="5"/>
      <c r="K30" s="5"/>
      <c r="L30" s="5"/>
      <c r="M30" s="5"/>
      <c r="N30" s="5"/>
    </row>
    <row r="31" spans="1:14">
      <c r="B31" s="81" t="s">
        <v>281</v>
      </c>
      <c r="C31" s="92">
        <v>1174496</v>
      </c>
      <c r="D31" s="92">
        <v>392686</v>
      </c>
      <c r="E31" s="21">
        <f t="shared" ref="E31:E35" si="4">ROUND(D31/C31,6)</f>
        <v>0.33434399999999997</v>
      </c>
      <c r="F31" s="5"/>
      <c r="G31" s="4"/>
      <c r="H31" s="28"/>
      <c r="I31" s="5"/>
      <c r="J31" s="5"/>
      <c r="K31" s="5"/>
      <c r="L31" s="5"/>
      <c r="M31" s="5"/>
      <c r="N31" s="5"/>
    </row>
    <row r="32" spans="1:14">
      <c r="B32" s="81" t="s">
        <v>282</v>
      </c>
      <c r="C32" s="92">
        <v>1175766</v>
      </c>
      <c r="D32" s="92">
        <v>392689</v>
      </c>
      <c r="E32" s="21">
        <f t="shared" si="4"/>
        <v>0.33398600000000001</v>
      </c>
      <c r="F32" s="5"/>
      <c r="G32" s="4"/>
      <c r="H32" s="28"/>
      <c r="I32" s="5"/>
      <c r="J32" s="5"/>
      <c r="K32" s="5"/>
      <c r="L32" s="5"/>
      <c r="M32" s="5"/>
      <c r="N32" s="5"/>
    </row>
    <row r="33" spans="1:14">
      <c r="B33" s="81" t="s">
        <v>283</v>
      </c>
      <c r="C33" s="92">
        <v>1179010</v>
      </c>
      <c r="D33" s="92">
        <v>393884</v>
      </c>
      <c r="E33" s="21">
        <f t="shared" si="4"/>
        <v>0.33407999999999999</v>
      </c>
      <c r="H33" s="28"/>
      <c r="I33" s="5"/>
      <c r="J33" s="5"/>
      <c r="K33" s="5"/>
      <c r="L33" s="5"/>
      <c r="M33" s="5"/>
      <c r="N33" s="5"/>
    </row>
    <row r="34" spans="1:14">
      <c r="B34" s="81" t="s">
        <v>284</v>
      </c>
      <c r="C34" s="92">
        <v>1190180</v>
      </c>
      <c r="D34" s="92">
        <v>394778</v>
      </c>
      <c r="E34" s="21">
        <f t="shared" si="4"/>
        <v>0.33169599999999999</v>
      </c>
      <c r="F34" s="5"/>
      <c r="G34" s="4"/>
      <c r="H34" s="28"/>
      <c r="I34" s="5"/>
      <c r="J34" s="5"/>
      <c r="K34" s="5"/>
      <c r="L34" s="5"/>
      <c r="M34" s="5"/>
      <c r="N34" s="5"/>
    </row>
    <row r="35" spans="1:14">
      <c r="B35" s="83" t="s">
        <v>285</v>
      </c>
      <c r="C35" s="93">
        <v>1191417</v>
      </c>
      <c r="D35" s="93">
        <v>389513</v>
      </c>
      <c r="E35" s="22">
        <f t="shared" si="4"/>
        <v>0.32693299999999997</v>
      </c>
      <c r="H35" s="28"/>
      <c r="I35" s="5"/>
      <c r="J35" s="5"/>
      <c r="K35" s="5"/>
      <c r="L35" s="5"/>
      <c r="M35" s="5"/>
      <c r="N35" s="5"/>
    </row>
    <row r="36" spans="1:14">
      <c r="F36" s="5"/>
      <c r="G36" s="4"/>
      <c r="H36" s="28"/>
      <c r="I36" s="5"/>
      <c r="J36" s="5"/>
      <c r="K36" s="5"/>
      <c r="L36" s="5"/>
      <c r="M36" s="5"/>
      <c r="N36" s="5"/>
    </row>
    <row r="38" spans="1:14">
      <c r="A38" s="6" t="s">
        <v>171</v>
      </c>
      <c r="F38" s="5"/>
      <c r="G38" s="10"/>
      <c r="I38" s="4"/>
      <c r="J38" s="127"/>
    </row>
    <row r="39" spans="1:14" s="5" customFormat="1" ht="15" customHeight="1">
      <c r="A39" s="125" t="s">
        <v>244</v>
      </c>
      <c r="B39" s="126"/>
      <c r="C39" s="126"/>
      <c r="D39" s="6"/>
      <c r="E39" s="6"/>
      <c r="G39" s="10"/>
      <c r="H39" s="6"/>
      <c r="I39" s="4" t="s">
        <v>117</v>
      </c>
      <c r="J39" s="127">
        <v>45792</v>
      </c>
    </row>
    <row r="40" spans="1:14" s="5" customFormat="1" ht="15" customHeight="1">
      <c r="A40" s="187"/>
      <c r="B40" s="144" t="s">
        <v>2</v>
      </c>
      <c r="C40" s="144"/>
      <c r="D40" s="6"/>
      <c r="E40" s="6"/>
      <c r="G40" s="10"/>
      <c r="H40" s="6"/>
      <c r="I40" s="4" t="s">
        <v>86</v>
      </c>
      <c r="J40" s="127">
        <v>45895</v>
      </c>
    </row>
    <row r="41" spans="1:14" s="5" customFormat="1" ht="15" customHeight="1">
      <c r="A41" s="157"/>
      <c r="B41" s="179" t="s">
        <v>259</v>
      </c>
      <c r="C41" s="147"/>
      <c r="D41" s="6"/>
      <c r="E41" s="6"/>
      <c r="I41" s="4" t="s">
        <v>87</v>
      </c>
      <c r="J41" s="128">
        <f>J40-J39</f>
        <v>103</v>
      </c>
    </row>
    <row r="42" spans="1:14" s="5" customFormat="1" ht="15" customHeight="1">
      <c r="A42" s="157"/>
      <c r="B42" s="144" t="s">
        <v>105</v>
      </c>
      <c r="C42" s="144"/>
      <c r="D42" s="6"/>
      <c r="E42" s="6"/>
      <c r="I42" s="4"/>
    </row>
    <row r="43" spans="1:14" s="5" customFormat="1" ht="15" customHeight="1">
      <c r="A43" s="157"/>
      <c r="B43" s="30">
        <v>200</v>
      </c>
      <c r="C43" s="34" t="s">
        <v>36</v>
      </c>
      <c r="D43" s="6"/>
      <c r="E43" s="6"/>
      <c r="I43" s="4"/>
    </row>
    <row r="44" spans="1:14" s="5" customFormat="1" ht="15" customHeight="1">
      <c r="A44" s="157"/>
      <c r="B44" s="144" t="s">
        <v>57</v>
      </c>
      <c r="C44" s="144"/>
      <c r="D44" s="6"/>
      <c r="E44" s="6"/>
      <c r="I44" s="4"/>
    </row>
    <row r="45" spans="1:14" s="5" customFormat="1" ht="15" customHeight="1">
      <c r="A45" s="157"/>
      <c r="B45" s="34" t="s">
        <v>80</v>
      </c>
      <c r="C45" s="34" t="s">
        <v>58</v>
      </c>
      <c r="D45" s="6"/>
      <c r="E45" s="6"/>
      <c r="I45" s="4"/>
    </row>
    <row r="46" spans="1:14" s="5" customFormat="1" ht="15" customHeight="1">
      <c r="A46" s="34">
        <v>1</v>
      </c>
      <c r="B46" s="78">
        <v>1.3797E-2</v>
      </c>
      <c r="C46" s="78">
        <v>1.4447E-2</v>
      </c>
      <c r="D46" s="6"/>
      <c r="E46" s="6"/>
      <c r="I46" s="4"/>
    </row>
    <row r="47" spans="1:14" s="5" customFormat="1" ht="15" customHeight="1">
      <c r="A47" s="34">
        <v>2</v>
      </c>
      <c r="B47" s="78">
        <v>1.3819E-2</v>
      </c>
      <c r="C47" s="78">
        <v>1.4368000000000001E-2</v>
      </c>
      <c r="D47" s="6"/>
      <c r="E47" s="6"/>
      <c r="I47" s="4"/>
    </row>
    <row r="48" spans="1:14" s="5" customFormat="1" ht="15" customHeight="1">
      <c r="A48" s="34">
        <v>3</v>
      </c>
      <c r="B48" s="78">
        <v>1.4318000000000001E-2</v>
      </c>
      <c r="C48" s="78">
        <v>1.4104999999999999E-2</v>
      </c>
      <c r="D48" s="6"/>
      <c r="E48" s="6"/>
      <c r="I48" s="4"/>
    </row>
    <row r="49" spans="1:12" s="5" customFormat="1" ht="15" customHeight="1">
      <c r="A49" s="34">
        <v>4</v>
      </c>
      <c r="B49" s="78">
        <v>1.3169999999999999E-2</v>
      </c>
      <c r="C49" s="78">
        <v>1.4050999999999999E-2</v>
      </c>
      <c r="D49" s="6"/>
      <c r="E49" s="6"/>
      <c r="I49" s="4"/>
    </row>
    <row r="50" spans="1:12" s="5" customFormat="1" ht="15" customHeight="1">
      <c r="A50" s="34">
        <v>5</v>
      </c>
      <c r="B50" s="78">
        <v>1.3863E-2</v>
      </c>
      <c r="C50" s="78">
        <v>1.4298999999999999E-2</v>
      </c>
      <c r="D50" s="6"/>
      <c r="E50" s="6"/>
      <c r="I50" s="4"/>
    </row>
    <row r="51" spans="1:12" s="5" customFormat="1" ht="15" customHeight="1">
      <c r="A51" s="34">
        <v>6</v>
      </c>
      <c r="B51" s="78">
        <v>1.4215999999999999E-2</v>
      </c>
      <c r="C51" s="78">
        <v>1.3573E-2</v>
      </c>
      <c r="D51" s="6"/>
      <c r="E51" s="6"/>
      <c r="I51" s="4"/>
    </row>
    <row r="52" spans="1:12" s="5" customFormat="1" ht="15" customHeight="1">
      <c r="A52" s="34" t="s">
        <v>50</v>
      </c>
      <c r="B52" s="123">
        <f>ROUND(AVERAGE(B46:B51),6)</f>
        <v>1.3864E-2</v>
      </c>
      <c r="C52" s="123">
        <f>ROUND(AVERAGE(C46:C51),6)</f>
        <v>1.4141000000000001E-2</v>
      </c>
      <c r="D52" s="6"/>
      <c r="E52" s="6"/>
      <c r="I52" s="4"/>
    </row>
    <row r="53" spans="1:12" s="5" customFormat="1" ht="15" customHeight="1">
      <c r="A53" s="34" t="s">
        <v>5</v>
      </c>
      <c r="B53" s="123">
        <f>ROUND(STDEV(B46:B51),6)</f>
        <v>4.0499999999999998E-4</v>
      </c>
      <c r="C53" s="123">
        <f>ROUND(STDEV(C46:C51),6)</f>
        <v>3.1700000000000001E-4</v>
      </c>
      <c r="D53" s="6"/>
      <c r="E53" s="6"/>
      <c r="I53" s="4"/>
    </row>
    <row r="54" spans="1:12" s="5" customFormat="1" ht="15" customHeight="1">
      <c r="A54" s="34" t="s">
        <v>96</v>
      </c>
      <c r="B54" s="124">
        <f t="shared" ref="B54:C54" si="5">ROUND(B53/B52*100,1)</f>
        <v>2.9</v>
      </c>
      <c r="C54" s="124">
        <f t="shared" si="5"/>
        <v>2.2000000000000002</v>
      </c>
      <c r="D54" s="6"/>
      <c r="E54" s="6"/>
      <c r="I54" s="4"/>
    </row>
    <row r="55" spans="1:12">
      <c r="A55" s="23" t="s">
        <v>99</v>
      </c>
      <c r="B55" s="180">
        <f>ROUND((C52-B52)/B52*100,1)</f>
        <v>2</v>
      </c>
      <c r="C55" s="180"/>
      <c r="F55" s="5"/>
      <c r="G55" s="5"/>
      <c r="H55" s="5"/>
      <c r="I55" s="4"/>
      <c r="J55" s="5"/>
      <c r="K55" s="5"/>
      <c r="L55" s="5"/>
    </row>
    <row r="56" spans="1:12">
      <c r="A56" s="13"/>
      <c r="B56" s="13"/>
      <c r="C56" s="13"/>
      <c r="D56" s="13"/>
      <c r="E56" s="13"/>
    </row>
  </sheetData>
  <mergeCells count="18">
    <mergeCell ref="A5:E5"/>
    <mergeCell ref="B55:C55"/>
    <mergeCell ref="A40:A45"/>
    <mergeCell ref="B40:C40"/>
    <mergeCell ref="B41:C41"/>
    <mergeCell ref="B42:C42"/>
    <mergeCell ref="B44:C44"/>
    <mergeCell ref="A6:A11"/>
    <mergeCell ref="D6:E6"/>
    <mergeCell ref="D7:E7"/>
    <mergeCell ref="B6:C6"/>
    <mergeCell ref="B21:C21"/>
    <mergeCell ref="D21:E21"/>
    <mergeCell ref="D8:E8"/>
    <mergeCell ref="B7:C7"/>
    <mergeCell ref="B8:C8"/>
    <mergeCell ref="D10:E10"/>
    <mergeCell ref="B10:C10"/>
  </mergeCells>
  <phoneticPr fontId="4" type="noConversion"/>
  <printOptions headings="1" gridLines="1"/>
  <pageMargins left="0.70866141732283472" right="0.70866141732283472" top="0.74803149606299213" bottom="0.74803149606299213" header="0.31496062992125984" footer="0.31496062992125984"/>
  <pageSetup scale="64" orientation="portrait" r:id="rId1"/>
  <headerFooter>
    <oddHeader>&amp;C 1632MV7生物分析方法学验证数据</oddHeader>
    <oddFooter>&amp;C第&amp;P页，共&amp;N页</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pageSetUpPr fitToPage="1"/>
  </sheetPr>
  <dimension ref="A2:N77"/>
  <sheetViews>
    <sheetView zoomScaleNormal="100" zoomScaleSheetLayoutView="100" workbookViewId="0">
      <selection activeCell="L54" sqref="L54"/>
    </sheetView>
  </sheetViews>
  <sheetFormatPr defaultColWidth="8.875" defaultRowHeight="13.5"/>
  <cols>
    <col min="1" max="1" width="13.5" style="195" customWidth="1"/>
    <col min="2" max="2" width="14.625" style="6" customWidth="1"/>
    <col min="3" max="3" width="10.625" style="6" customWidth="1"/>
    <col min="4" max="4" width="14.75" style="6" customWidth="1"/>
    <col min="5" max="5" width="12.375" style="6" customWidth="1"/>
    <col min="6" max="6" width="14.5" style="6" customWidth="1"/>
    <col min="7" max="7" width="14.875" style="6" customWidth="1"/>
    <col min="8" max="8" width="11.875" style="6" customWidth="1"/>
    <col min="9" max="9" width="8.875" style="6"/>
    <col min="10" max="10" width="8.875" style="25"/>
    <col min="11" max="11" width="14" style="6" customWidth="1"/>
    <col min="12" max="12" width="16.375" style="195" customWidth="1"/>
    <col min="13" max="13" width="8.875" style="195" customWidth="1"/>
    <col min="14" max="14" width="8.875" style="6" customWidth="1"/>
    <col min="15" max="15" width="8.875" style="6"/>
    <col min="16" max="17" width="8.875" style="6" customWidth="1"/>
    <col min="18" max="16384" width="8.875" style="6"/>
  </cols>
  <sheetData>
    <row r="2" spans="1:14">
      <c r="A2" s="195" t="s">
        <v>85</v>
      </c>
    </row>
    <row r="4" spans="1:14">
      <c r="A4" s="202"/>
      <c r="B4" s="13"/>
      <c r="C4" s="13"/>
      <c r="D4" s="13"/>
      <c r="E4" s="13"/>
    </row>
    <row r="5" spans="1:14">
      <c r="A5" s="195" t="s">
        <v>351</v>
      </c>
    </row>
    <row r="6" spans="1:14">
      <c r="A6" s="195" t="s">
        <v>170</v>
      </c>
    </row>
    <row r="7" spans="1:14">
      <c r="A7" s="203" t="s">
        <v>358</v>
      </c>
      <c r="B7" s="9"/>
      <c r="C7" s="9"/>
      <c r="D7" s="9"/>
      <c r="E7" s="9"/>
      <c r="J7" s="6"/>
      <c r="K7" s="4" t="s">
        <v>117</v>
      </c>
      <c r="L7" s="196">
        <v>45792</v>
      </c>
      <c r="M7" s="197"/>
    </row>
    <row r="8" spans="1:14">
      <c r="A8" s="193" t="s">
        <v>82</v>
      </c>
      <c r="B8" s="149" t="s">
        <v>46</v>
      </c>
      <c r="C8" s="34" t="s">
        <v>4</v>
      </c>
      <c r="D8" s="144" t="s">
        <v>98</v>
      </c>
      <c r="E8" s="34" t="s">
        <v>3</v>
      </c>
      <c r="F8" s="144" t="s">
        <v>98</v>
      </c>
      <c r="G8" s="34" t="s">
        <v>286</v>
      </c>
      <c r="H8" s="144" t="s">
        <v>98</v>
      </c>
      <c r="J8" s="6"/>
      <c r="K8" s="4" t="s">
        <v>118</v>
      </c>
      <c r="L8" s="196">
        <v>45898</v>
      </c>
      <c r="M8" s="197"/>
    </row>
    <row r="9" spans="1:14">
      <c r="A9" s="204"/>
      <c r="B9" s="188"/>
      <c r="C9" s="95">
        <v>30</v>
      </c>
      <c r="D9" s="144"/>
      <c r="E9" s="95">
        <v>7500</v>
      </c>
      <c r="F9" s="144"/>
      <c r="G9" s="95">
        <v>100000</v>
      </c>
      <c r="H9" s="144"/>
      <c r="J9" s="6"/>
      <c r="K9" s="4" t="s">
        <v>119</v>
      </c>
      <c r="L9" s="198">
        <f>L8-L7</f>
        <v>106</v>
      </c>
      <c r="M9" s="197"/>
    </row>
    <row r="10" spans="1:14">
      <c r="A10" s="194"/>
      <c r="B10" s="150"/>
      <c r="C10" s="45" t="s">
        <v>36</v>
      </c>
      <c r="D10" s="144"/>
      <c r="E10" s="45" t="s">
        <v>36</v>
      </c>
      <c r="F10" s="144"/>
      <c r="G10" s="45" t="s">
        <v>36</v>
      </c>
      <c r="H10" s="144"/>
    </row>
    <row r="11" spans="1:14" ht="14.25">
      <c r="A11" s="205">
        <v>45898</v>
      </c>
      <c r="B11" s="149">
        <v>10</v>
      </c>
      <c r="C11" s="52">
        <v>32.725999999999999</v>
      </c>
      <c r="D11" s="111">
        <f>ROUND((C11-C9)/C9*100,1)</f>
        <v>9.1</v>
      </c>
      <c r="E11" s="52">
        <v>7277.6689999999999</v>
      </c>
      <c r="F11" s="111">
        <f>ROUND((E11-E9)/E9*100,1)</f>
        <v>-3</v>
      </c>
      <c r="G11" s="52">
        <v>101355.42</v>
      </c>
      <c r="H11" s="111">
        <f>ROUND((G11-G9)/G9*100,1)</f>
        <v>1.4</v>
      </c>
      <c r="I11"/>
      <c r="K11"/>
      <c r="L11" s="199"/>
      <c r="M11" s="200"/>
      <c r="N11" s="25"/>
    </row>
    <row r="12" spans="1:14" ht="14.25">
      <c r="A12" s="205"/>
      <c r="B12" s="188"/>
      <c r="C12" s="52">
        <v>31.571000000000002</v>
      </c>
      <c r="D12" s="111">
        <f>ROUND((C12-C9)/C9*100,1)</f>
        <v>5.2</v>
      </c>
      <c r="E12" s="52">
        <v>7517.1580000000004</v>
      </c>
      <c r="F12" s="111">
        <f>ROUND((E12-E9)/E9*100,1)</f>
        <v>0.2</v>
      </c>
      <c r="G12" s="52">
        <v>103199.724</v>
      </c>
      <c r="H12" s="111">
        <f>ROUND((G12-G9)/G9*100,1)</f>
        <v>3.2</v>
      </c>
      <c r="I12"/>
      <c r="K12"/>
      <c r="L12" s="199"/>
      <c r="M12" s="200"/>
      <c r="N12" s="25"/>
    </row>
    <row r="13" spans="1:14" ht="14.25">
      <c r="A13" s="205"/>
      <c r="B13" s="188"/>
      <c r="C13" s="52">
        <v>26.977</v>
      </c>
      <c r="D13" s="111">
        <f>ROUND((C13-C9)/C9*100,1)</f>
        <v>-10.1</v>
      </c>
      <c r="E13" s="52">
        <v>7601.73</v>
      </c>
      <c r="F13" s="111">
        <f>ROUND((E13-E9)/E9*100,1)</f>
        <v>1.4</v>
      </c>
      <c r="G13" s="52">
        <v>104701.916</v>
      </c>
      <c r="H13" s="111">
        <f>ROUND((G13-G9)/G9*100,1)</f>
        <v>4.7</v>
      </c>
      <c r="I13"/>
      <c r="K13"/>
      <c r="L13" s="199"/>
      <c r="M13" s="200"/>
      <c r="N13" s="25"/>
    </row>
    <row r="14" spans="1:14" ht="14.25">
      <c r="A14" s="205"/>
      <c r="B14" s="188"/>
      <c r="C14" s="52">
        <v>28.423999999999999</v>
      </c>
      <c r="D14" s="111">
        <f>ROUND((C14-C9)/C9*100,1)</f>
        <v>-5.3</v>
      </c>
      <c r="E14" s="52">
        <v>7539.8010000000004</v>
      </c>
      <c r="F14" s="111">
        <f>ROUND((E14-E9)/E9*100,1)</f>
        <v>0.5</v>
      </c>
      <c r="G14" s="52">
        <v>105909.04700000001</v>
      </c>
      <c r="H14" s="111">
        <f>ROUND((G14-G9)/G9*100,1)</f>
        <v>5.9</v>
      </c>
      <c r="I14"/>
      <c r="K14"/>
      <c r="L14" s="199"/>
      <c r="M14" s="200"/>
      <c r="N14" s="25"/>
    </row>
    <row r="15" spans="1:14" ht="14.25">
      <c r="A15" s="205"/>
      <c r="B15" s="188"/>
      <c r="C15" s="52">
        <v>32.823</v>
      </c>
      <c r="D15" s="111">
        <f>ROUND((C15-C9)/C9*100,1)</f>
        <v>9.4</v>
      </c>
      <c r="E15" s="52">
        <v>7576.6530000000002</v>
      </c>
      <c r="F15" s="111">
        <f>ROUND((E15-E9)/E9*100,1)</f>
        <v>1</v>
      </c>
      <c r="G15" s="52">
        <v>104835.314</v>
      </c>
      <c r="H15" s="111">
        <f>ROUND((G15-G9)/G9*100,1)</f>
        <v>4.8</v>
      </c>
      <c r="I15"/>
      <c r="K15"/>
      <c r="L15" s="199"/>
      <c r="M15" s="200"/>
      <c r="N15" s="25"/>
    </row>
    <row r="16" spans="1:14" ht="14.25">
      <c r="A16" s="205"/>
      <c r="B16" s="150"/>
      <c r="C16" s="52">
        <v>31.981999999999999</v>
      </c>
      <c r="D16" s="111">
        <f>ROUND((C16-C9)/C9*100,1)</f>
        <v>6.6</v>
      </c>
      <c r="E16" s="52">
        <v>7496.0110000000004</v>
      </c>
      <c r="F16" s="111">
        <f>ROUND((E16-E9)/E9*100,1)</f>
        <v>-0.1</v>
      </c>
      <c r="G16" s="52">
        <v>104012.693</v>
      </c>
      <c r="H16" s="111">
        <f>ROUND((G16-G9)/G9*100,1)</f>
        <v>4</v>
      </c>
      <c r="I16"/>
      <c r="K16"/>
      <c r="L16" s="199"/>
      <c r="M16" s="200"/>
      <c r="N16" s="25"/>
    </row>
    <row r="17" spans="1:14">
      <c r="A17" s="206" t="s">
        <v>50</v>
      </c>
      <c r="B17" s="182"/>
      <c r="C17" s="30">
        <f>ROUND(AVERAGE(C11:C16),3)</f>
        <v>30.751000000000001</v>
      </c>
      <c r="D17" s="182"/>
      <c r="E17" s="30">
        <f>ROUND(AVERAGE(E11:E16),3)</f>
        <v>7501.5039999999999</v>
      </c>
      <c r="F17" s="182"/>
      <c r="G17" s="30">
        <f>ROUND(AVERAGE(G11:G16),3)</f>
        <v>104002.352</v>
      </c>
      <c r="H17" s="182"/>
    </row>
    <row r="18" spans="1:14">
      <c r="A18" s="206" t="s">
        <v>5</v>
      </c>
      <c r="B18" s="183"/>
      <c r="C18" s="30">
        <f>ROUND(STDEV(C11:C16),3)</f>
        <v>2.4510000000000001</v>
      </c>
      <c r="D18" s="183"/>
      <c r="E18" s="30">
        <f>ROUND(STDEV(E11:E16),3)</f>
        <v>116.221</v>
      </c>
      <c r="F18" s="183"/>
      <c r="G18" s="30">
        <f>ROUND(STDEV(G11:G16),3)</f>
        <v>1579.194</v>
      </c>
      <c r="H18" s="183"/>
    </row>
    <row r="19" spans="1:14">
      <c r="A19" s="206" t="s">
        <v>103</v>
      </c>
      <c r="B19" s="183"/>
      <c r="C19" s="111">
        <f>ROUND(C18/C17*100,1)</f>
        <v>8</v>
      </c>
      <c r="D19" s="183"/>
      <c r="E19" s="111">
        <f>ROUND(E18/E17*100,1)</f>
        <v>1.5</v>
      </c>
      <c r="F19" s="183"/>
      <c r="G19" s="111">
        <f>ROUND(G18/G17*100,1)</f>
        <v>1.5</v>
      </c>
      <c r="H19" s="183"/>
    </row>
    <row r="20" spans="1:14">
      <c r="A20" s="206" t="s">
        <v>104</v>
      </c>
      <c r="B20" s="183"/>
      <c r="C20" s="111">
        <f>ROUND(C17/C9*100,1)</f>
        <v>102.5</v>
      </c>
      <c r="D20" s="183"/>
      <c r="E20" s="111">
        <f>ROUND(E17/E9*100,1)</f>
        <v>100</v>
      </c>
      <c r="F20" s="183"/>
      <c r="G20" s="111">
        <f>ROUND(G17/G9*100,1)</f>
        <v>104</v>
      </c>
      <c r="H20" s="183"/>
    </row>
    <row r="21" spans="1:14">
      <c r="A21" s="206" t="s">
        <v>6</v>
      </c>
      <c r="B21" s="184"/>
      <c r="C21" s="34">
        <v>6</v>
      </c>
      <c r="D21" s="184"/>
      <c r="E21" s="34">
        <v>6</v>
      </c>
      <c r="F21" s="184"/>
      <c r="G21" s="34">
        <v>6</v>
      </c>
      <c r="H21" s="184"/>
    </row>
    <row r="22" spans="1:14">
      <c r="E22" s="96"/>
      <c r="F22" s="96"/>
    </row>
    <row r="23" spans="1:14">
      <c r="A23" s="202"/>
      <c r="B23" s="13"/>
      <c r="C23" s="13"/>
      <c r="D23" s="13"/>
      <c r="E23" s="13"/>
    </row>
    <row r="24" spans="1:14">
      <c r="A24" s="195" t="s">
        <v>171</v>
      </c>
    </row>
    <row r="25" spans="1:14">
      <c r="A25" s="203" t="s">
        <v>358</v>
      </c>
      <c r="B25" s="9"/>
      <c r="C25" s="9"/>
      <c r="D25" s="9"/>
      <c r="E25" s="9"/>
      <c r="H25" s="10"/>
      <c r="J25" s="4"/>
      <c r="K25" s="130"/>
    </row>
    <row r="26" spans="1:14">
      <c r="A26" s="193" t="s">
        <v>82</v>
      </c>
      <c r="B26" s="149" t="s">
        <v>46</v>
      </c>
      <c r="C26" s="34" t="s">
        <v>4</v>
      </c>
      <c r="D26" s="144" t="s">
        <v>98</v>
      </c>
      <c r="E26" s="34" t="s">
        <v>3</v>
      </c>
      <c r="F26" s="144" t="s">
        <v>98</v>
      </c>
      <c r="G26" s="34" t="s">
        <v>286</v>
      </c>
      <c r="H26" s="144" t="s">
        <v>98</v>
      </c>
      <c r="J26" s="4"/>
      <c r="K26" s="4" t="s">
        <v>117</v>
      </c>
      <c r="L26" s="196">
        <v>45792</v>
      </c>
    </row>
    <row r="27" spans="1:14">
      <c r="A27" s="204"/>
      <c r="B27" s="188"/>
      <c r="C27" s="95">
        <v>30</v>
      </c>
      <c r="D27" s="144"/>
      <c r="E27" s="95">
        <v>7500</v>
      </c>
      <c r="F27" s="144"/>
      <c r="G27" s="95">
        <v>100000</v>
      </c>
      <c r="H27" s="144"/>
      <c r="J27" s="4"/>
      <c r="K27" s="4" t="s">
        <v>118</v>
      </c>
      <c r="L27" s="196">
        <v>45898</v>
      </c>
    </row>
    <row r="28" spans="1:14">
      <c r="A28" s="194"/>
      <c r="B28" s="150"/>
      <c r="C28" s="45" t="s">
        <v>36</v>
      </c>
      <c r="D28" s="144"/>
      <c r="E28" s="45" t="s">
        <v>36</v>
      </c>
      <c r="F28" s="144"/>
      <c r="G28" s="45" t="s">
        <v>36</v>
      </c>
      <c r="H28" s="144"/>
      <c r="K28" s="4" t="s">
        <v>119</v>
      </c>
      <c r="L28" s="198">
        <f>L27-L26</f>
        <v>106</v>
      </c>
    </row>
    <row r="29" spans="1:14" ht="14.25">
      <c r="A29" s="205">
        <v>45898</v>
      </c>
      <c r="B29" s="149">
        <v>10</v>
      </c>
      <c r="C29" s="52">
        <v>31.363</v>
      </c>
      <c r="D29" s="111">
        <f>ROUND((C29-C27)/C27*100,1)</f>
        <v>4.5</v>
      </c>
      <c r="E29" s="52">
        <v>7395.9369999999999</v>
      </c>
      <c r="F29" s="111">
        <f>ROUND((E29-E27)/E27*100,1)</f>
        <v>-1.4</v>
      </c>
      <c r="G29" s="52">
        <v>104242.452</v>
      </c>
      <c r="H29" s="111">
        <f>ROUND((G29-G27)/G27*100,1)</f>
        <v>4.2</v>
      </c>
      <c r="I29"/>
      <c r="K29"/>
      <c r="L29" s="199"/>
      <c r="M29" s="200"/>
      <c r="N29" s="25"/>
    </row>
    <row r="30" spans="1:14" ht="14.25">
      <c r="A30" s="205"/>
      <c r="B30" s="188"/>
      <c r="C30" s="52">
        <v>29.896000000000001</v>
      </c>
      <c r="D30" s="111">
        <f>ROUND((C30-C27)/C27*100,1)</f>
        <v>-0.3</v>
      </c>
      <c r="E30" s="52">
        <v>7531.7190000000001</v>
      </c>
      <c r="F30" s="111">
        <f>ROUND((E30-E27)/E27*100,1)</f>
        <v>0.4</v>
      </c>
      <c r="G30" s="52">
        <v>107624.564</v>
      </c>
      <c r="H30" s="111">
        <f>ROUND((G30-G27)/G27*100,1)</f>
        <v>7.6</v>
      </c>
      <c r="I30"/>
      <c r="K30"/>
      <c r="L30" s="199"/>
      <c r="M30" s="200"/>
      <c r="N30" s="25"/>
    </row>
    <row r="31" spans="1:14" ht="14.25">
      <c r="A31" s="205"/>
      <c r="B31" s="188"/>
      <c r="C31" s="52">
        <v>30.385000000000002</v>
      </c>
      <c r="D31" s="111">
        <f>ROUND((C31-C27)/C27*100,1)</f>
        <v>1.3</v>
      </c>
      <c r="E31" s="52">
        <v>7672.56</v>
      </c>
      <c r="F31" s="111">
        <f>ROUND((E31-E27)/E27*100,1)</f>
        <v>2.2999999999999998</v>
      </c>
      <c r="G31" s="52">
        <v>106293.935</v>
      </c>
      <c r="H31" s="111">
        <f>ROUND((G31-G27)/G27*100,1)</f>
        <v>6.3</v>
      </c>
      <c r="I31"/>
      <c r="K31"/>
      <c r="L31" s="199"/>
      <c r="M31" s="200"/>
      <c r="N31" s="25"/>
    </row>
    <row r="32" spans="1:14" ht="14.25">
      <c r="A32" s="205"/>
      <c r="B32" s="188"/>
      <c r="C32" s="52">
        <v>33.125999999999998</v>
      </c>
      <c r="D32" s="111">
        <f>ROUND((C32-C27)/C27*100,1)</f>
        <v>10.4</v>
      </c>
      <c r="E32" s="52">
        <v>7614.2340000000004</v>
      </c>
      <c r="F32" s="111">
        <f>ROUND((E32-E27)/E27*100,1)</f>
        <v>1.5</v>
      </c>
      <c r="G32" s="52">
        <v>107076.125</v>
      </c>
      <c r="H32" s="111">
        <f>ROUND((G32-G27)/G27*100,1)</f>
        <v>7.1</v>
      </c>
      <c r="I32"/>
      <c r="K32"/>
      <c r="L32" s="199"/>
      <c r="M32" s="200"/>
      <c r="N32" s="25"/>
    </row>
    <row r="33" spans="1:14" ht="14.25">
      <c r="A33" s="205"/>
      <c r="B33" s="188"/>
      <c r="C33" s="52">
        <v>35.444000000000003</v>
      </c>
      <c r="D33" s="111">
        <f>ROUND((C33-C27)/C27*100,1)</f>
        <v>18.100000000000001</v>
      </c>
      <c r="E33" s="52">
        <v>7664.4110000000001</v>
      </c>
      <c r="F33" s="111">
        <f>ROUND((E33-E27)/E27*100,1)</f>
        <v>2.2000000000000002</v>
      </c>
      <c r="G33" s="52">
        <v>105483.08</v>
      </c>
      <c r="H33" s="111">
        <f>ROUND((G33-G27)/G27*100,1)</f>
        <v>5.5</v>
      </c>
      <c r="I33"/>
      <c r="K33"/>
      <c r="L33" s="199"/>
      <c r="M33" s="200"/>
      <c r="N33" s="25"/>
    </row>
    <row r="34" spans="1:14" ht="14.25">
      <c r="A34" s="205"/>
      <c r="B34" s="150"/>
      <c r="C34" s="52">
        <v>29.437000000000001</v>
      </c>
      <c r="D34" s="111">
        <f>ROUND((C34-C27)/C27*100,1)</f>
        <v>-1.9</v>
      </c>
      <c r="E34" s="52">
        <v>7583.0690000000004</v>
      </c>
      <c r="F34" s="111">
        <f>ROUND((E34-E27)/E27*100,1)</f>
        <v>1.1000000000000001</v>
      </c>
      <c r="G34" s="52">
        <v>107044.087</v>
      </c>
      <c r="H34" s="111">
        <f>ROUND((G34-G27)/G27*100,1)</f>
        <v>7</v>
      </c>
      <c r="I34"/>
      <c r="K34"/>
      <c r="L34" s="199"/>
      <c r="M34" s="200"/>
      <c r="N34" s="25"/>
    </row>
    <row r="35" spans="1:14">
      <c r="A35" s="206" t="s">
        <v>50</v>
      </c>
      <c r="B35" s="182"/>
      <c r="C35" s="30">
        <f>ROUND(AVERAGE(C29:C34),3)</f>
        <v>31.609000000000002</v>
      </c>
      <c r="D35" s="182"/>
      <c r="E35" s="30">
        <f>ROUND(AVERAGE(E29:E34),3)</f>
        <v>7576.9880000000003</v>
      </c>
      <c r="F35" s="182"/>
      <c r="G35" s="30">
        <f>ROUND(AVERAGE(G29:G34),3)</f>
        <v>106294.041</v>
      </c>
      <c r="H35" s="182"/>
    </row>
    <row r="36" spans="1:14">
      <c r="A36" s="206" t="s">
        <v>5</v>
      </c>
      <c r="B36" s="183"/>
      <c r="C36" s="30">
        <f>ROUND(STDEV(C29:C34),3)</f>
        <v>2.29</v>
      </c>
      <c r="D36" s="183"/>
      <c r="E36" s="30">
        <f>ROUND(STDEV(E29:E34),3)</f>
        <v>102.985</v>
      </c>
      <c r="F36" s="183"/>
      <c r="G36" s="30">
        <f>ROUND(STDEV(G29:G34),3)</f>
        <v>1249.895</v>
      </c>
      <c r="H36" s="183"/>
    </row>
    <row r="37" spans="1:14">
      <c r="A37" s="206" t="s">
        <v>96</v>
      </c>
      <c r="B37" s="183"/>
      <c r="C37" s="111">
        <f>ROUND(C36/C35*100,1)</f>
        <v>7.2</v>
      </c>
      <c r="D37" s="183"/>
      <c r="E37" s="111">
        <f>ROUND(E36/E35*100,1)</f>
        <v>1.4</v>
      </c>
      <c r="F37" s="183"/>
      <c r="G37" s="111">
        <f>ROUND(G36/G35*100,1)</f>
        <v>1.2</v>
      </c>
      <c r="H37" s="183"/>
    </row>
    <row r="38" spans="1:14">
      <c r="A38" s="206" t="s">
        <v>97</v>
      </c>
      <c r="B38" s="183"/>
      <c r="C38" s="111">
        <f>ROUND(C35/C27*100,1)</f>
        <v>105.4</v>
      </c>
      <c r="D38" s="183"/>
      <c r="E38" s="111">
        <f>ROUND(E35/E27*100,1)</f>
        <v>101</v>
      </c>
      <c r="F38" s="183"/>
      <c r="G38" s="111">
        <f>ROUND(G35/G27*100,1)</f>
        <v>106.3</v>
      </c>
      <c r="H38" s="183"/>
    </row>
    <row r="39" spans="1:14">
      <c r="A39" s="206" t="s">
        <v>6</v>
      </c>
      <c r="B39" s="184"/>
      <c r="C39" s="34">
        <v>6</v>
      </c>
      <c r="D39" s="184"/>
      <c r="E39" s="34">
        <v>6</v>
      </c>
      <c r="F39" s="184"/>
      <c r="G39" s="34">
        <v>6</v>
      </c>
      <c r="H39" s="184"/>
    </row>
    <row r="43" spans="1:14">
      <c r="A43" s="195" t="s">
        <v>350</v>
      </c>
    </row>
    <row r="44" spans="1:14">
      <c r="A44" s="195" t="s">
        <v>170</v>
      </c>
    </row>
    <row r="45" spans="1:14">
      <c r="A45" s="203" t="s">
        <v>287</v>
      </c>
      <c r="B45" s="9"/>
      <c r="C45" s="9"/>
      <c r="D45" s="9"/>
      <c r="E45" s="9"/>
      <c r="J45" s="10"/>
      <c r="L45" s="201" t="s">
        <v>117</v>
      </c>
      <c r="M45" s="196">
        <v>45792</v>
      </c>
    </row>
    <row r="46" spans="1:14">
      <c r="A46" s="193" t="s">
        <v>82</v>
      </c>
      <c r="B46" s="149" t="s">
        <v>46</v>
      </c>
      <c r="C46" s="34" t="s">
        <v>4</v>
      </c>
      <c r="D46" s="144" t="s">
        <v>98</v>
      </c>
      <c r="E46" s="34" t="s">
        <v>3</v>
      </c>
      <c r="F46" s="144" t="s">
        <v>98</v>
      </c>
      <c r="G46" s="96"/>
      <c r="H46" s="96"/>
      <c r="J46" s="10"/>
      <c r="L46" s="201" t="s">
        <v>118</v>
      </c>
      <c r="M46" s="196">
        <v>45897</v>
      </c>
    </row>
    <row r="47" spans="1:14">
      <c r="A47" s="204"/>
      <c r="B47" s="188"/>
      <c r="C47" s="95">
        <v>30</v>
      </c>
      <c r="D47" s="144"/>
      <c r="E47" s="95">
        <v>7500</v>
      </c>
      <c r="F47" s="144"/>
      <c r="G47" s="96"/>
      <c r="H47" s="96"/>
      <c r="J47" s="10"/>
      <c r="L47" s="201" t="s">
        <v>119</v>
      </c>
      <c r="M47" s="198">
        <f>M46-M45</f>
        <v>105</v>
      </c>
    </row>
    <row r="48" spans="1:14">
      <c r="A48" s="194"/>
      <c r="B48" s="150"/>
      <c r="C48" s="45" t="s">
        <v>36</v>
      </c>
      <c r="D48" s="144"/>
      <c r="E48" s="45" t="s">
        <v>36</v>
      </c>
      <c r="F48" s="144"/>
      <c r="G48" s="96"/>
      <c r="H48" s="96"/>
      <c r="J48" s="6"/>
      <c r="L48" s="199"/>
    </row>
    <row r="49" spans="1:14" ht="14.25">
      <c r="A49" s="205">
        <v>45897</v>
      </c>
      <c r="B49" s="149">
        <v>9</v>
      </c>
      <c r="C49" s="52">
        <v>30.594000000000001</v>
      </c>
      <c r="D49" s="111">
        <f>ROUND((C49-C47)/C47*100,1)</f>
        <v>2</v>
      </c>
      <c r="E49" s="52">
        <v>7616.9880000000003</v>
      </c>
      <c r="F49" s="111">
        <f>ROUND((E49-E47)/E47*100,1)</f>
        <v>1.6</v>
      </c>
      <c r="G49" s="131"/>
      <c r="H49" s="131"/>
      <c r="I49"/>
      <c r="K49"/>
      <c r="L49" s="199"/>
      <c r="M49" s="200"/>
      <c r="N49" s="25"/>
    </row>
    <row r="50" spans="1:14" ht="14.25">
      <c r="A50" s="205"/>
      <c r="B50" s="188"/>
      <c r="C50" s="52">
        <v>31.56</v>
      </c>
      <c r="D50" s="111">
        <f>ROUND((C50-C47)/C47*100,1)</f>
        <v>5.2</v>
      </c>
      <c r="E50" s="52">
        <v>7570.692</v>
      </c>
      <c r="F50" s="111">
        <f>ROUND((E50-E47)/E47*100,1)</f>
        <v>0.9</v>
      </c>
      <c r="G50" s="131"/>
      <c r="H50" s="131"/>
      <c r="I50"/>
      <c r="K50"/>
      <c r="L50" s="199"/>
      <c r="M50" s="200"/>
      <c r="N50" s="25"/>
    </row>
    <row r="51" spans="1:14" ht="14.25">
      <c r="A51" s="205"/>
      <c r="B51" s="188"/>
      <c r="C51" s="52">
        <v>30.158000000000001</v>
      </c>
      <c r="D51" s="111">
        <f>ROUND((C51-C47)/C47*100,1)</f>
        <v>0.5</v>
      </c>
      <c r="E51" s="52">
        <v>7801.4160000000002</v>
      </c>
      <c r="F51" s="111">
        <f>ROUND((E51-E47)/E47*100,1)</f>
        <v>4</v>
      </c>
      <c r="G51" s="131"/>
      <c r="H51" s="131"/>
      <c r="I51"/>
      <c r="K51"/>
      <c r="L51" s="199"/>
      <c r="M51" s="200"/>
      <c r="N51" s="25"/>
    </row>
    <row r="52" spans="1:14" ht="14.25">
      <c r="A52" s="205"/>
      <c r="B52" s="188"/>
      <c r="C52" s="52">
        <v>65.171999999999997</v>
      </c>
      <c r="D52" s="111">
        <f>ROUND((C52-C47)/C47*100,1)</f>
        <v>117.2</v>
      </c>
      <c r="E52" s="52">
        <v>7571.3980000000001</v>
      </c>
      <c r="F52" s="111">
        <f>ROUND((E52-E47)/E47*100,1)</f>
        <v>1</v>
      </c>
      <c r="G52" s="131"/>
      <c r="H52" s="131"/>
      <c r="I52"/>
      <c r="K52"/>
      <c r="L52" s="199"/>
      <c r="M52" s="200"/>
      <c r="N52" s="25"/>
    </row>
    <row r="53" spans="1:14" ht="14.25">
      <c r="A53" s="205"/>
      <c r="B53" s="188"/>
      <c r="C53" s="52">
        <v>31.02</v>
      </c>
      <c r="D53" s="111">
        <f>ROUND((C53-C47)/C47*100,1)</f>
        <v>3.4</v>
      </c>
      <c r="E53" s="52">
        <v>7477.2030000000004</v>
      </c>
      <c r="F53" s="111">
        <f>ROUND((E53-E47)/E47*100,1)</f>
        <v>-0.3</v>
      </c>
      <c r="G53" s="131"/>
      <c r="H53" s="131"/>
      <c r="I53"/>
      <c r="K53"/>
      <c r="L53" s="199"/>
      <c r="M53" s="200"/>
      <c r="N53" s="25"/>
    </row>
    <row r="54" spans="1:14" ht="14.25">
      <c r="A54" s="205"/>
      <c r="B54" s="150"/>
      <c r="C54" s="52">
        <v>32.768000000000001</v>
      </c>
      <c r="D54" s="111">
        <f>ROUND((C54-C47)/C47*100,1)</f>
        <v>9.1999999999999993</v>
      </c>
      <c r="E54" s="52">
        <v>7704.7389999999996</v>
      </c>
      <c r="F54" s="111">
        <f>ROUND((E54-E47)/E47*100,1)</f>
        <v>2.7</v>
      </c>
      <c r="G54" s="131"/>
      <c r="H54" s="131"/>
      <c r="I54"/>
      <c r="K54"/>
      <c r="L54" s="199"/>
      <c r="M54" s="200"/>
      <c r="N54" s="25"/>
    </row>
    <row r="55" spans="1:14">
      <c r="A55" s="206" t="s">
        <v>50</v>
      </c>
      <c r="B55" s="182"/>
      <c r="C55" s="30">
        <f>ROUND(AVERAGE(C49:C54),3)</f>
        <v>36.878999999999998</v>
      </c>
      <c r="D55" s="182"/>
      <c r="E55" s="30">
        <f>ROUND(AVERAGE(E49:E54),3)</f>
        <v>7623.7389999999996</v>
      </c>
      <c r="F55" s="182"/>
      <c r="G55" s="96"/>
      <c r="H55" s="96"/>
      <c r="J55" s="6"/>
      <c r="L55" s="199"/>
    </row>
    <row r="56" spans="1:14">
      <c r="A56" s="206" t="s">
        <v>5</v>
      </c>
      <c r="B56" s="183"/>
      <c r="C56" s="30">
        <f>ROUND(STDEV(C49:C54),3)</f>
        <v>13.89</v>
      </c>
      <c r="D56" s="183"/>
      <c r="E56" s="30">
        <f>ROUND(STDEV(E49:E54),3)</f>
        <v>114.19499999999999</v>
      </c>
      <c r="F56" s="183"/>
      <c r="G56" s="96"/>
      <c r="H56" s="96"/>
      <c r="J56" s="6"/>
      <c r="L56" s="199"/>
    </row>
    <row r="57" spans="1:14">
      <c r="A57" s="206" t="s">
        <v>103</v>
      </c>
      <c r="B57" s="183"/>
      <c r="C57" s="111">
        <f>ROUND(C56/C55*100,1)</f>
        <v>37.700000000000003</v>
      </c>
      <c r="D57" s="183"/>
      <c r="E57" s="111">
        <f>ROUND(E56/E55*100,1)</f>
        <v>1.5</v>
      </c>
      <c r="F57" s="183"/>
      <c r="G57" s="96"/>
      <c r="H57" s="96"/>
      <c r="J57" s="14"/>
      <c r="L57" s="199"/>
    </row>
    <row r="58" spans="1:14">
      <c r="A58" s="206" t="s">
        <v>104</v>
      </c>
      <c r="B58" s="183"/>
      <c r="C58" s="111">
        <f>ROUND(C55/C47*100,1)</f>
        <v>122.9</v>
      </c>
      <c r="D58" s="183"/>
      <c r="E58" s="111">
        <f>ROUND(E55/E47*100,1)</f>
        <v>101.6</v>
      </c>
      <c r="F58" s="183"/>
      <c r="G58" s="96"/>
      <c r="H58" s="96"/>
      <c r="J58" s="6"/>
      <c r="L58" s="199"/>
    </row>
    <row r="59" spans="1:14">
      <c r="A59" s="206" t="s">
        <v>6</v>
      </c>
      <c r="B59" s="184"/>
      <c r="C59" s="34">
        <v>6</v>
      </c>
      <c r="D59" s="184"/>
      <c r="E59" s="34">
        <v>6</v>
      </c>
      <c r="F59" s="184"/>
      <c r="G59" s="96"/>
      <c r="H59" s="96"/>
      <c r="J59" s="6"/>
      <c r="L59" s="199"/>
    </row>
    <row r="60" spans="1:14">
      <c r="E60" s="96"/>
      <c r="F60" s="96"/>
      <c r="G60" s="96"/>
      <c r="H60" s="96"/>
      <c r="J60" s="6"/>
      <c r="L60" s="199"/>
    </row>
    <row r="61" spans="1:14">
      <c r="A61" s="202"/>
      <c r="B61" s="13"/>
      <c r="C61" s="13"/>
      <c r="D61" s="13"/>
      <c r="E61" s="13"/>
      <c r="J61" s="6"/>
      <c r="L61" s="199"/>
    </row>
    <row r="62" spans="1:14">
      <c r="A62" s="195" t="s">
        <v>171</v>
      </c>
      <c r="J62" s="6"/>
      <c r="L62" s="199"/>
    </row>
    <row r="63" spans="1:14">
      <c r="A63" s="203" t="s">
        <v>287</v>
      </c>
      <c r="B63" s="9"/>
      <c r="C63" s="9"/>
      <c r="D63" s="9"/>
      <c r="E63" s="9"/>
      <c r="J63" s="10"/>
      <c r="L63" s="201" t="s">
        <v>117</v>
      </c>
      <c r="M63" s="196">
        <v>45792</v>
      </c>
    </row>
    <row r="64" spans="1:14">
      <c r="A64" s="193" t="s">
        <v>82</v>
      </c>
      <c r="B64" s="149" t="s">
        <v>46</v>
      </c>
      <c r="C64" s="34" t="s">
        <v>4</v>
      </c>
      <c r="D64" s="144" t="s">
        <v>98</v>
      </c>
      <c r="E64" s="34" t="s">
        <v>3</v>
      </c>
      <c r="F64" s="144" t="s">
        <v>98</v>
      </c>
      <c r="G64" s="96"/>
      <c r="H64" s="96"/>
      <c r="J64" s="10"/>
      <c r="L64" s="201" t="s">
        <v>118</v>
      </c>
      <c r="M64" s="196">
        <v>45897</v>
      </c>
    </row>
    <row r="65" spans="1:14">
      <c r="A65" s="204"/>
      <c r="B65" s="188"/>
      <c r="C65" s="95">
        <v>30</v>
      </c>
      <c r="D65" s="144"/>
      <c r="E65" s="95">
        <v>7500</v>
      </c>
      <c r="F65" s="144"/>
      <c r="G65" s="96"/>
      <c r="H65" s="96"/>
      <c r="J65" s="10"/>
      <c r="L65" s="201" t="s">
        <v>119</v>
      </c>
      <c r="M65" s="198">
        <f>M64-M63</f>
        <v>105</v>
      </c>
    </row>
    <row r="66" spans="1:14">
      <c r="A66" s="194"/>
      <c r="B66" s="150"/>
      <c r="C66" s="45" t="s">
        <v>36</v>
      </c>
      <c r="D66" s="144"/>
      <c r="E66" s="45" t="s">
        <v>36</v>
      </c>
      <c r="F66" s="144"/>
      <c r="G66" s="96"/>
      <c r="H66" s="96"/>
      <c r="J66" s="6"/>
      <c r="L66" s="199"/>
    </row>
    <row r="67" spans="1:14" ht="14.25">
      <c r="A67" s="205">
        <v>45897</v>
      </c>
      <c r="B67" s="149">
        <v>9</v>
      </c>
      <c r="C67" s="52">
        <v>31.274000000000001</v>
      </c>
      <c r="D67" s="111">
        <f>ROUND((C67-C65)/C65*100,1)</f>
        <v>4.2</v>
      </c>
      <c r="E67" s="52">
        <v>7816.7049999999999</v>
      </c>
      <c r="F67" s="111">
        <f>ROUND((E67-E65)/E65*100,1)</f>
        <v>4.2</v>
      </c>
      <c r="G67" s="131"/>
      <c r="H67" s="131"/>
      <c r="I67"/>
      <c r="K67"/>
      <c r="L67" s="199"/>
      <c r="M67" s="200"/>
      <c r="N67" s="25"/>
    </row>
    <row r="68" spans="1:14" ht="14.25">
      <c r="A68" s="205"/>
      <c r="B68" s="188"/>
      <c r="C68" s="52">
        <v>34.457999999999998</v>
      </c>
      <c r="D68" s="111">
        <f>ROUND((C68-C65)/C65*100,1)</f>
        <v>14.9</v>
      </c>
      <c r="E68" s="52">
        <v>7800.3630000000003</v>
      </c>
      <c r="F68" s="111">
        <f>ROUND((E68-E65)/E65*100,1)</f>
        <v>4</v>
      </c>
      <c r="G68" s="131"/>
      <c r="H68" s="131"/>
      <c r="I68"/>
      <c r="K68"/>
      <c r="L68" s="199"/>
      <c r="M68" s="200"/>
      <c r="N68" s="25"/>
    </row>
    <row r="69" spans="1:14" ht="14.25">
      <c r="A69" s="205"/>
      <c r="B69" s="188"/>
      <c r="C69" s="52">
        <v>33.994</v>
      </c>
      <c r="D69" s="111">
        <f>ROUND((C69-C65)/C65*100,1)</f>
        <v>13.3</v>
      </c>
      <c r="E69" s="52">
        <v>7791.1940000000004</v>
      </c>
      <c r="F69" s="111">
        <f>ROUND((E69-E65)/E65*100,1)</f>
        <v>3.9</v>
      </c>
      <c r="G69" s="131"/>
      <c r="H69" s="131"/>
      <c r="I69"/>
      <c r="K69"/>
      <c r="L69" s="199"/>
      <c r="M69" s="200"/>
      <c r="N69" s="25"/>
    </row>
    <row r="70" spans="1:14" ht="14.25">
      <c r="A70" s="205"/>
      <c r="B70" s="188"/>
      <c r="C70" s="52">
        <v>71.635000000000005</v>
      </c>
      <c r="D70" s="111">
        <f>ROUND((C70-C65)/C65*100,1)</f>
        <v>138.80000000000001</v>
      </c>
      <c r="E70" s="52">
        <v>7582.71</v>
      </c>
      <c r="F70" s="111">
        <f>ROUND((E70-E65)/E65*100,1)</f>
        <v>1.1000000000000001</v>
      </c>
      <c r="G70" s="131"/>
      <c r="H70" s="131"/>
      <c r="I70"/>
      <c r="K70"/>
      <c r="L70" s="199"/>
      <c r="M70" s="200"/>
      <c r="N70" s="25"/>
    </row>
    <row r="71" spans="1:14" ht="14.25">
      <c r="A71" s="205"/>
      <c r="B71" s="188"/>
      <c r="C71" s="52">
        <v>32.054000000000002</v>
      </c>
      <c r="D71" s="111">
        <f>ROUND((C71-C65)/C65*100,1)</f>
        <v>6.8</v>
      </c>
      <c r="E71" s="52">
        <v>7691.433</v>
      </c>
      <c r="F71" s="111">
        <f>ROUND((E71-E65)/E65*100,1)</f>
        <v>2.6</v>
      </c>
      <c r="G71" s="131"/>
      <c r="H71" s="131"/>
      <c r="I71"/>
      <c r="K71"/>
      <c r="L71" s="199"/>
      <c r="M71" s="200"/>
      <c r="N71" s="25"/>
    </row>
    <row r="72" spans="1:14" ht="14.25">
      <c r="A72" s="205"/>
      <c r="B72" s="150"/>
      <c r="C72" s="52">
        <v>30.887</v>
      </c>
      <c r="D72" s="111">
        <f>ROUND((C72-C65)/C65*100,1)</f>
        <v>3</v>
      </c>
      <c r="E72" s="52">
        <v>7765.1760000000004</v>
      </c>
      <c r="F72" s="111">
        <f>ROUND((E72-E65)/E65*100,1)</f>
        <v>3.5</v>
      </c>
      <c r="G72" s="131"/>
      <c r="H72" s="131"/>
      <c r="I72"/>
      <c r="K72"/>
      <c r="L72" s="199"/>
      <c r="M72" s="200"/>
      <c r="N72" s="25"/>
    </row>
    <row r="73" spans="1:14">
      <c r="A73" s="206" t="s">
        <v>50</v>
      </c>
      <c r="B73" s="182"/>
      <c r="C73" s="30">
        <f>ROUND(AVERAGE(C67:C72),3)</f>
        <v>39.049999999999997</v>
      </c>
      <c r="D73" s="182"/>
      <c r="E73" s="30">
        <f>ROUND(AVERAGE(E67:E72),3)</f>
        <v>7741.2640000000001</v>
      </c>
      <c r="F73" s="182"/>
      <c r="G73" s="96"/>
      <c r="H73" s="96"/>
      <c r="J73" s="6"/>
      <c r="L73" s="199"/>
    </row>
    <row r="74" spans="1:14">
      <c r="A74" s="206" t="s">
        <v>5</v>
      </c>
      <c r="B74" s="183"/>
      <c r="C74" s="30">
        <f>ROUND(STDEV(C67:C72),3)</f>
        <v>16.027999999999999</v>
      </c>
      <c r="D74" s="183"/>
      <c r="E74" s="30">
        <f>ROUND(STDEV(E67:E72),3)</f>
        <v>89.299000000000007</v>
      </c>
      <c r="F74" s="183"/>
      <c r="G74" s="96"/>
      <c r="H74" s="96"/>
      <c r="J74" s="6"/>
      <c r="L74" s="199"/>
    </row>
    <row r="75" spans="1:14">
      <c r="A75" s="206" t="s">
        <v>96</v>
      </c>
      <c r="B75" s="183"/>
      <c r="C75" s="111">
        <f>ROUND(C74/C73*100,1)</f>
        <v>41</v>
      </c>
      <c r="D75" s="183"/>
      <c r="E75" s="111">
        <f>ROUND(E74/E73*100,1)</f>
        <v>1.2</v>
      </c>
      <c r="F75" s="183"/>
      <c r="G75" s="96"/>
      <c r="H75" s="96"/>
      <c r="J75" s="14"/>
      <c r="L75" s="199"/>
    </row>
    <row r="76" spans="1:14">
      <c r="A76" s="206" t="s">
        <v>97</v>
      </c>
      <c r="B76" s="183"/>
      <c r="C76" s="111">
        <f>ROUND(C73/C65*100,1)</f>
        <v>130.19999999999999</v>
      </c>
      <c r="D76" s="183"/>
      <c r="E76" s="111">
        <f>ROUND(E73/E65*100,1)</f>
        <v>103.2</v>
      </c>
      <c r="F76" s="183"/>
      <c r="G76" s="96"/>
      <c r="H76" s="96"/>
      <c r="J76" s="6"/>
      <c r="L76" s="199"/>
    </row>
    <row r="77" spans="1:14">
      <c r="A77" s="206" t="s">
        <v>6</v>
      </c>
      <c r="B77" s="184"/>
      <c r="C77" s="34">
        <v>6</v>
      </c>
      <c r="D77" s="184"/>
      <c r="E77" s="34">
        <v>6</v>
      </c>
      <c r="F77" s="184"/>
      <c r="G77" s="96"/>
      <c r="H77" s="96"/>
      <c r="J77" s="6"/>
      <c r="L77" s="199"/>
    </row>
  </sheetData>
  <mergeCells count="40">
    <mergeCell ref="H8:H10"/>
    <mergeCell ref="H17:H21"/>
    <mergeCell ref="H26:H28"/>
    <mergeCell ref="H35:H39"/>
    <mergeCell ref="A29:A34"/>
    <mergeCell ref="B29:B34"/>
    <mergeCell ref="B35:B39"/>
    <mergeCell ref="D35:D39"/>
    <mergeCell ref="F35:F39"/>
    <mergeCell ref="B17:B21"/>
    <mergeCell ref="D17:D21"/>
    <mergeCell ref="F17:F21"/>
    <mergeCell ref="A26:A28"/>
    <mergeCell ref="B26:B28"/>
    <mergeCell ref="D26:D28"/>
    <mergeCell ref="F26:F28"/>
    <mergeCell ref="A8:A10"/>
    <mergeCell ref="B8:B10"/>
    <mergeCell ref="D8:D10"/>
    <mergeCell ref="F8:F10"/>
    <mergeCell ref="A11:A16"/>
    <mergeCell ref="B11:B16"/>
    <mergeCell ref="B73:B77"/>
    <mergeCell ref="D73:D77"/>
    <mergeCell ref="F73:F77"/>
    <mergeCell ref="A64:A66"/>
    <mergeCell ref="B64:B66"/>
    <mergeCell ref="D64:D66"/>
    <mergeCell ref="F64:F66"/>
    <mergeCell ref="A67:A72"/>
    <mergeCell ref="B67:B72"/>
    <mergeCell ref="A46:A48"/>
    <mergeCell ref="B46:B48"/>
    <mergeCell ref="D46:D48"/>
    <mergeCell ref="F46:F48"/>
    <mergeCell ref="B55:B59"/>
    <mergeCell ref="A49:A54"/>
    <mergeCell ref="B49:B54"/>
    <mergeCell ref="D55:D59"/>
    <mergeCell ref="F55:F59"/>
  </mergeCells>
  <phoneticPr fontId="4" type="noConversion"/>
  <conditionalFormatting sqref="J11:J16">
    <cfRule type="colorScale" priority="12">
      <colorScale>
        <cfvo type="num" val="0"/>
        <cfvo type="num" val="2"/>
        <color rgb="FFFF7128"/>
        <color rgb="FFFFEF9C"/>
      </colorScale>
    </cfRule>
  </conditionalFormatting>
  <conditionalFormatting sqref="J29:J34">
    <cfRule type="colorScale" priority="9">
      <colorScale>
        <cfvo type="num" val="0"/>
        <cfvo type="num" val="2"/>
        <color rgb="FFFF7128"/>
        <color rgb="FFFFEF9C"/>
      </colorScale>
    </cfRule>
  </conditionalFormatting>
  <conditionalFormatting sqref="J49:J54">
    <cfRule type="colorScale" priority="6">
      <colorScale>
        <cfvo type="num" val="0"/>
        <cfvo type="num" val="2"/>
        <color rgb="FFFF7128"/>
        <color rgb="FFFFEF9C"/>
      </colorScale>
    </cfRule>
  </conditionalFormatting>
  <conditionalFormatting sqref="J67:J72">
    <cfRule type="colorScale" priority="3">
      <colorScale>
        <cfvo type="num" val="0"/>
        <cfvo type="num" val="2"/>
        <color rgb="FFFF7128"/>
        <color rgb="FFFFEF9C"/>
      </colorScale>
    </cfRule>
  </conditionalFormatting>
  <conditionalFormatting sqref="L11:L16">
    <cfRule type="colorScale" priority="11">
      <colorScale>
        <cfvo type="num" val="0"/>
        <cfvo type="num" val="2"/>
        <color rgb="FFFF7128"/>
        <color rgb="FFFFEF9C"/>
      </colorScale>
    </cfRule>
  </conditionalFormatting>
  <conditionalFormatting sqref="L29:L34">
    <cfRule type="colorScale" priority="8">
      <colorScale>
        <cfvo type="num" val="0"/>
        <cfvo type="num" val="2"/>
        <color rgb="FFFF7128"/>
        <color rgb="FFFFEF9C"/>
      </colorScale>
    </cfRule>
  </conditionalFormatting>
  <conditionalFormatting sqref="L49:L54">
    <cfRule type="colorScale" priority="5">
      <colorScale>
        <cfvo type="num" val="0"/>
        <cfvo type="num" val="2"/>
        <color rgb="FFFF7128"/>
        <color rgb="FFFFEF9C"/>
      </colorScale>
    </cfRule>
  </conditionalFormatting>
  <conditionalFormatting sqref="L67:L72">
    <cfRule type="colorScale" priority="2">
      <colorScale>
        <cfvo type="num" val="0"/>
        <cfvo type="num" val="2"/>
        <color rgb="FFFF7128"/>
        <color rgb="FFFFEF9C"/>
      </colorScale>
    </cfRule>
  </conditionalFormatting>
  <conditionalFormatting sqref="N11:N16">
    <cfRule type="colorScale" priority="10">
      <colorScale>
        <cfvo type="num" val="0"/>
        <cfvo type="num" val="2"/>
        <color rgb="FFFF7128"/>
        <color rgb="FFFFEF9C"/>
      </colorScale>
    </cfRule>
  </conditionalFormatting>
  <conditionalFormatting sqref="N29:N34">
    <cfRule type="colorScale" priority="7">
      <colorScale>
        <cfvo type="num" val="0"/>
        <cfvo type="num" val="2"/>
        <color rgb="FFFF7128"/>
        <color rgb="FFFFEF9C"/>
      </colorScale>
    </cfRule>
  </conditionalFormatting>
  <conditionalFormatting sqref="N49:N54">
    <cfRule type="colorScale" priority="4">
      <colorScale>
        <cfvo type="num" val="0"/>
        <cfvo type="num" val="2"/>
        <color rgb="FFFF7128"/>
        <color rgb="FFFFEF9C"/>
      </colorScale>
    </cfRule>
  </conditionalFormatting>
  <conditionalFormatting sqref="N67:N72">
    <cfRule type="colorScale" priority="1">
      <colorScale>
        <cfvo type="num" val="0"/>
        <cfvo type="num" val="2"/>
        <color rgb="FFFF7128"/>
        <color rgb="FFFFEF9C"/>
      </colorScale>
    </cfRule>
  </conditionalFormatting>
  <printOptions headings="1" gridLines="1"/>
  <pageMargins left="0.70866141732283472" right="0.70866141732283472" top="0.74803149606299213" bottom="0.74803149606299213" header="0.31496062992125984" footer="0.31496062992125984"/>
  <pageSetup scale="50" orientation="portrait" r:id="rId1"/>
  <headerFooter>
    <oddHeader>&amp;C 1632MV7生物分析方法学验证数据</oddHeader>
    <oddFooter>&amp;C第&amp;P页，共&amp;N页</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B050"/>
    <pageSetUpPr fitToPage="1"/>
  </sheetPr>
  <dimension ref="A3:D64"/>
  <sheetViews>
    <sheetView workbookViewId="0">
      <selection activeCell="J35" sqref="J35"/>
    </sheetView>
  </sheetViews>
  <sheetFormatPr defaultColWidth="9" defaultRowHeight="15"/>
  <cols>
    <col min="1" max="1" width="22.5" style="2" customWidth="1"/>
    <col min="2" max="2" width="19.875" style="2" customWidth="1"/>
    <col min="3" max="3" width="19.75" style="2" customWidth="1"/>
    <col min="4" max="16384" width="9" style="2"/>
  </cols>
  <sheetData>
    <row r="3" spans="1:4">
      <c r="A3" s="2" t="s">
        <v>114</v>
      </c>
      <c r="B3" s="2" t="s">
        <v>143</v>
      </c>
      <c r="C3" s="3" t="s">
        <v>144</v>
      </c>
      <c r="D3" s="3" t="s">
        <v>145</v>
      </c>
    </row>
    <row r="4" spans="1:4">
      <c r="A4" s="2" t="s">
        <v>115</v>
      </c>
    </row>
    <row r="63" spans="2:2">
      <c r="B63" s="6"/>
    </row>
    <row r="64" spans="2:2">
      <c r="B64" s="6"/>
    </row>
  </sheetData>
  <phoneticPr fontId="20" type="noConversion"/>
  <printOptions headings="1" gridLines="1"/>
  <pageMargins left="0.70866141732283472" right="0.70866141732283472" top="0.74803149606299213" bottom="0.74803149606299213" header="0.31496062992125984" footer="0.31496062992125984"/>
  <pageSetup orientation="portrait" r:id="rId1"/>
  <headerFooter>
    <oddHeader>&amp;C 1632MV7生物分析方法学验证数据</oddHeader>
    <oddFooter>&amp;C第&amp;P页，共&amp;N页</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B63:B64"/>
  <sheetViews>
    <sheetView workbookViewId="0">
      <selection activeCell="O31" sqref="O31"/>
    </sheetView>
  </sheetViews>
  <sheetFormatPr defaultColWidth="9" defaultRowHeight="15"/>
  <cols>
    <col min="1" max="16384" width="9" style="2"/>
  </cols>
  <sheetData>
    <row r="63" spans="2:2">
      <c r="B63" s="6"/>
    </row>
    <row r="64" spans="2:2">
      <c r="B64" s="6"/>
    </row>
  </sheetData>
  <phoneticPr fontId="20" type="noConversion"/>
  <printOptions headings="1" gridLines="1"/>
  <pageMargins left="0.70866141732283472" right="0.70866141732283472" top="0.74803149606299213" bottom="0.74803149606299213" header="0.31496062992125984" footer="0.31496062992125984"/>
  <pageSetup orientation="portrait" r:id="rId1"/>
  <headerFooter>
    <oddHeader>&amp;C 1632MV7生物分析方法学验证数据</oddHeader>
    <oddFooter>&amp;C第&amp;P页，共&amp;N页</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B63:B64"/>
  <sheetViews>
    <sheetView workbookViewId="0">
      <selection activeCell="A22" sqref="A1:XFD1048576"/>
    </sheetView>
  </sheetViews>
  <sheetFormatPr defaultColWidth="9" defaultRowHeight="15"/>
  <cols>
    <col min="1" max="16384" width="9" style="2"/>
  </cols>
  <sheetData>
    <row r="63" spans="2:2">
      <c r="B63" s="6"/>
    </row>
    <row r="64" spans="2:2">
      <c r="B64" s="6"/>
    </row>
  </sheetData>
  <phoneticPr fontId="20" type="noConversion"/>
  <printOptions headings="1" gridLines="1"/>
  <pageMargins left="0.70866141732283472" right="0.70866141732283472" top="0.74803149606299213" bottom="0.74803149606299213" header="0.31496062992125984" footer="0.31496062992125984"/>
  <pageSetup orientation="portrait" r:id="rId1"/>
  <headerFooter>
    <oddHeader>&amp;C 1632MV7生物分析方法学验证数据</oddHeader>
    <oddFooter>&amp;C第&amp;P页，共&amp;N页</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B63:B64"/>
  <sheetViews>
    <sheetView workbookViewId="0">
      <selection activeCell="A22" sqref="A1:XFD1048576"/>
    </sheetView>
  </sheetViews>
  <sheetFormatPr defaultColWidth="9" defaultRowHeight="15"/>
  <cols>
    <col min="1" max="16384" width="9" style="2"/>
  </cols>
  <sheetData>
    <row r="63" spans="2:2">
      <c r="B63" s="6"/>
    </row>
    <row r="64" spans="2:2">
      <c r="B64" s="6"/>
    </row>
  </sheetData>
  <phoneticPr fontId="20" type="noConversion"/>
  <printOptions headings="1" gridLines="1"/>
  <pageMargins left="0.70866141732283472" right="0.70866141732283472" top="0.74803149606299213" bottom="0.74803149606299213" header="0.31496062992125984" footer="0.31496062992125984"/>
  <pageSetup orientation="portrait" r:id="rId1"/>
  <headerFooter>
    <oddHeader>&amp;C 1632MV7生物分析方法学验证数据</oddHeader>
    <oddFooter>&amp;C第&amp;P页，共&amp;N页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21</vt:i4>
      </vt:variant>
      <vt:variant>
        <vt:lpstr>命名范围</vt:lpstr>
      </vt:variant>
      <vt:variant>
        <vt:i4>3</vt:i4>
      </vt:variant>
    </vt:vector>
  </HeadingPairs>
  <TitlesOfParts>
    <vt:vector size="24" baseType="lpstr">
      <vt:lpstr>1.1</vt:lpstr>
      <vt:lpstr>2.1标准品</vt:lpstr>
      <vt:lpstr>2.2内标</vt:lpstr>
      <vt:lpstr>2.5试剂</vt:lpstr>
      <vt:lpstr>2.6 空白基质</vt:lpstr>
      <vt:lpstr>2.9标准曲线质控样品配制</vt:lpstr>
      <vt:lpstr>表1_schedule</vt:lpstr>
      <vt:lpstr>表2_SST</vt:lpstr>
      <vt:lpstr>表3_CO</vt:lpstr>
      <vt:lpstr>表7_Regression</vt:lpstr>
      <vt:lpstr>表8_curve</vt:lpstr>
      <vt:lpstr>表10 QC (除准确度精密度分析批）</vt:lpstr>
      <vt:lpstr>表14_stock ST</vt:lpstr>
      <vt:lpstr>表15_spike ST</vt:lpstr>
      <vt:lpstr>表16_stock LT</vt:lpstr>
      <vt:lpstr>表17_spike LT</vt:lpstr>
      <vt:lpstr>表21_LTS</vt:lpstr>
      <vt:lpstr>分析天平</vt:lpstr>
      <vt:lpstr>（选择性图谱）空白基质图谱</vt:lpstr>
      <vt:lpstr>（选择性图谱）最低定量限图谱</vt:lpstr>
      <vt:lpstr>标准曲线</vt:lpstr>
      <vt:lpstr>'表16_stock LT'!Print_Area</vt:lpstr>
      <vt:lpstr>表2_SST!Print_Area</vt:lpstr>
      <vt:lpstr>表7_Regression!Print_Area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lgu</dc:creator>
  <cp:lastModifiedBy>张茹-1</cp:lastModifiedBy>
  <cp:lastPrinted>2019-09-17T03:14:27Z</cp:lastPrinted>
  <dcterms:created xsi:type="dcterms:W3CDTF">2016-03-17T02:40:20Z</dcterms:created>
  <dcterms:modified xsi:type="dcterms:W3CDTF">2025-09-14T09:14:12Z</dcterms:modified>
</cp:coreProperties>
</file>