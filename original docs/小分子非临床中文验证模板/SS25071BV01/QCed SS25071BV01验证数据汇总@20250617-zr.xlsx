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Y:\43-试验电子数据的暂存目录\01-生物分析一部\02-QC\01-QCed data\2025年项目\SS25071\SS25071BV01\"/>
    </mc:Choice>
  </mc:AlternateContent>
  <xr:revisionPtr revIDLastSave="0" documentId="8_{3970F633-E12C-4501-B6CB-E7077678FB18}" xr6:coauthVersionLast="47" xr6:coauthVersionMax="47" xr10:uidLastSave="{00000000-0000-0000-0000-000000000000}"/>
  <bookViews>
    <workbookView xWindow="-120" yWindow="-120" windowWidth="29040" windowHeight="15840" tabRatio="852" activeTab="6" xr2:uid="{00000000-000D-0000-FFFF-FFFF00000000}"/>
  </bookViews>
  <sheets>
    <sheet name="表1_schedule" sheetId="7" r:id="rId1"/>
    <sheet name="表4_Selectivity" sheetId="11" r:id="rId2"/>
    <sheet name="表5_特异性" sheetId="31" r:id="rId3"/>
    <sheet name="表6_ME" sheetId="47" r:id="rId4"/>
    <sheet name="表9_Inter QC" sheetId="49" r:id="rId5"/>
    <sheet name="表11_Recovery" sheetId="48" r:id="rId6"/>
    <sheet name="表12_IS Recov" sheetId="17" r:id="rId7"/>
    <sheet name="表13_Dilution" sheetId="18" r:id="rId8"/>
    <sheet name="表18_ST" sheetId="24" r:id="rId9"/>
    <sheet name="表19_FT" sheetId="23" r:id="rId10"/>
    <sheet name="表20_PSS" sheetId="50" r:id="rId11"/>
    <sheet name="表22_Blood" sheetId="51" r:id="rId12"/>
    <sheet name="表23_溶血效应" sheetId="52" r:id="rId13"/>
    <sheet name="分析天平" sheetId="46" r:id="rId14"/>
    <sheet name="（选择性图谱）空白基质图谱" sheetId="43" r:id="rId15"/>
    <sheet name="（选择性图谱）最低定量限图谱" sheetId="44" r:id="rId16"/>
    <sheet name="标准曲线" sheetId="45" r:id="rId17"/>
  </sheets>
  <definedNames>
    <definedName name="_xlnm._FilterDatabase" localSheetId="3" hidden="1">表6_ME!$A$67:$I$121</definedName>
    <definedName name="_xlnm.Print_Area" localSheetId="0">表1_schedule!$A$1:$G$17</definedName>
    <definedName name="_xlnm.Print_Area" localSheetId="5">表11_Recovery!$A$1:$J$53</definedName>
    <definedName name="_xlnm.Print_Area" localSheetId="6">'表12_IS Recov'!$A$1:$D$31</definedName>
    <definedName name="_xlnm.Print_Area" localSheetId="9">表19_FT!$A$1:$G$37</definedName>
    <definedName name="_xlnm.Print_Area" localSheetId="3">表6_ME!$A$1:$J$121</definedName>
    <definedName name="_xlnm.Print_Area" localSheetId="4">'表9_Inter QC'!$A$1:$P$92</definedName>
  </definedNames>
  <calcPr calcId="191029"/>
</workbook>
</file>

<file path=xl/calcChain.xml><?xml version="1.0" encoding="utf-8"?>
<calcChain xmlns="http://schemas.openxmlformats.org/spreadsheetml/2006/main">
  <c r="F74" i="51" l="1"/>
  <c r="G72" i="51"/>
  <c r="G73" i="51" s="1"/>
  <c r="F72" i="51"/>
  <c r="E72" i="51"/>
  <c r="E73" i="51" s="1"/>
  <c r="D72" i="51"/>
  <c r="D73" i="51" s="1"/>
  <c r="G71" i="51"/>
  <c r="F71" i="51"/>
  <c r="F73" i="51" s="1"/>
  <c r="E71" i="51"/>
  <c r="D71" i="51"/>
  <c r="D74" i="51" s="1"/>
  <c r="G54" i="51"/>
  <c r="G55" i="51" s="1"/>
  <c r="F54" i="51"/>
  <c r="F55" i="51" s="1"/>
  <c r="E54" i="51"/>
  <c r="E55" i="51" s="1"/>
  <c r="D54" i="51"/>
  <c r="D55" i="51" s="1"/>
  <c r="G53" i="51"/>
  <c r="F53" i="51"/>
  <c r="F56" i="51" s="1"/>
  <c r="E53" i="51"/>
  <c r="D53" i="51"/>
  <c r="D56" i="51" s="1"/>
  <c r="E41" i="52"/>
  <c r="E39" i="52"/>
  <c r="E40" i="52" s="1"/>
  <c r="C39" i="52"/>
  <c r="C40" i="52" s="1"/>
  <c r="E38" i="52"/>
  <c r="C38" i="52"/>
  <c r="C41" i="52" s="1"/>
  <c r="F37" i="52"/>
  <c r="D37" i="52"/>
  <c r="F36" i="52"/>
  <c r="D36" i="52"/>
  <c r="F35" i="52"/>
  <c r="D35" i="52"/>
  <c r="E27" i="52"/>
  <c r="E25" i="52"/>
  <c r="E26" i="52" s="1"/>
  <c r="C25" i="52"/>
  <c r="E24" i="52"/>
  <c r="C24" i="52"/>
  <c r="C27" i="52" s="1"/>
  <c r="F23" i="52"/>
  <c r="D23" i="52"/>
  <c r="F22" i="52"/>
  <c r="D22" i="52"/>
  <c r="F21" i="52"/>
  <c r="D21" i="52"/>
  <c r="E14" i="52"/>
  <c r="C14" i="52"/>
  <c r="E12" i="52"/>
  <c r="C12" i="52"/>
  <c r="C13" i="52" s="1"/>
  <c r="E11" i="52"/>
  <c r="C11" i="52"/>
  <c r="F10" i="52"/>
  <c r="D10" i="52"/>
  <c r="F9" i="52"/>
  <c r="D9" i="52"/>
  <c r="F8" i="52"/>
  <c r="D8" i="52"/>
  <c r="G35" i="51"/>
  <c r="G36" i="51" s="1"/>
  <c r="F35" i="51"/>
  <c r="E35" i="51"/>
  <c r="D35" i="51"/>
  <c r="D36" i="51" s="1"/>
  <c r="G34" i="51"/>
  <c r="F34" i="51"/>
  <c r="F37" i="51" s="1"/>
  <c r="E34" i="51"/>
  <c r="D34" i="51"/>
  <c r="D37" i="51" s="1"/>
  <c r="G17" i="51"/>
  <c r="G18" i="51" s="1"/>
  <c r="F17" i="51"/>
  <c r="F18" i="51" s="1"/>
  <c r="E17" i="51"/>
  <c r="D17" i="51"/>
  <c r="G16" i="51"/>
  <c r="F16" i="51"/>
  <c r="F19" i="51" s="1"/>
  <c r="E16" i="51"/>
  <c r="D16" i="51"/>
  <c r="C35" i="50"/>
  <c r="E34" i="50"/>
  <c r="E35" i="50" s="1"/>
  <c r="C34" i="50"/>
  <c r="E33" i="50"/>
  <c r="E36" i="50" s="1"/>
  <c r="C33" i="50"/>
  <c r="C36" i="50" s="1"/>
  <c r="F32" i="50"/>
  <c r="D32" i="50"/>
  <c r="F31" i="50"/>
  <c r="D31" i="50"/>
  <c r="F30" i="50"/>
  <c r="D30" i="50"/>
  <c r="F29" i="50"/>
  <c r="D29" i="50"/>
  <c r="F28" i="50"/>
  <c r="D28" i="50"/>
  <c r="F27" i="50"/>
  <c r="D27" i="50"/>
  <c r="I26" i="50"/>
  <c r="E16" i="50"/>
  <c r="C16" i="50"/>
  <c r="E15" i="50"/>
  <c r="E17" i="50" s="1"/>
  <c r="C15" i="50"/>
  <c r="C18" i="50" s="1"/>
  <c r="F14" i="50"/>
  <c r="D14" i="50"/>
  <c r="F13" i="50"/>
  <c r="D13" i="50"/>
  <c r="F12" i="50"/>
  <c r="D12" i="50"/>
  <c r="F11" i="50"/>
  <c r="D11" i="50"/>
  <c r="F10" i="50"/>
  <c r="D10" i="50"/>
  <c r="F9" i="50"/>
  <c r="D9" i="50"/>
  <c r="I7" i="50"/>
  <c r="I30" i="48"/>
  <c r="J29" i="48" s="1"/>
  <c r="H30" i="48"/>
  <c r="F30" i="48"/>
  <c r="G29" i="48" s="1"/>
  <c r="E30" i="48"/>
  <c r="C30" i="48"/>
  <c r="D26" i="48" s="1"/>
  <c r="B30" i="48"/>
  <c r="G28" i="48"/>
  <c r="O22" i="49"/>
  <c r="P22" i="49"/>
  <c r="O23" i="49"/>
  <c r="P23" i="49"/>
  <c r="O26" i="49"/>
  <c r="P26" i="49"/>
  <c r="O27" i="49"/>
  <c r="P27" i="49"/>
  <c r="O31" i="49"/>
  <c r="P31" i="49"/>
  <c r="O32" i="49"/>
  <c r="P32" i="49"/>
  <c r="O35" i="49"/>
  <c r="P35" i="49"/>
  <c r="O36" i="49"/>
  <c r="P36" i="49"/>
  <c r="O66" i="49"/>
  <c r="P66" i="49"/>
  <c r="O67" i="49"/>
  <c r="P67" i="49"/>
  <c r="O70" i="49"/>
  <c r="P70" i="49"/>
  <c r="O71" i="49"/>
  <c r="P71" i="49"/>
  <c r="O75" i="49"/>
  <c r="P75" i="49"/>
  <c r="O76" i="49"/>
  <c r="P76" i="49"/>
  <c r="O79" i="49"/>
  <c r="P79" i="49"/>
  <c r="O80" i="49"/>
  <c r="P80" i="49"/>
  <c r="D19" i="51" l="1"/>
  <c r="E36" i="51"/>
  <c r="D18" i="51"/>
  <c r="C26" i="52"/>
  <c r="E13" i="52"/>
  <c r="C17" i="50"/>
  <c r="G24" i="48"/>
  <c r="G26" i="48"/>
  <c r="E18" i="51"/>
  <c r="E18" i="50"/>
  <c r="F36" i="51"/>
  <c r="J26" i="48"/>
  <c r="G27" i="48"/>
  <c r="J27" i="48"/>
  <c r="D27" i="48"/>
  <c r="D24" i="48"/>
  <c r="D28" i="48"/>
  <c r="J24" i="48"/>
  <c r="J28" i="48"/>
  <c r="G25" i="48"/>
  <c r="J25" i="48"/>
  <c r="D25" i="48"/>
  <c r="D29" i="48"/>
  <c r="G30" i="48" l="1"/>
  <c r="G31" i="48"/>
  <c r="G32" i="48" s="1"/>
  <c r="J30" i="48"/>
  <c r="J31" i="48"/>
  <c r="D31" i="48"/>
  <c r="D30" i="48"/>
  <c r="B33" i="48" l="1"/>
  <c r="B34" i="48" s="1"/>
  <c r="D32" i="48"/>
  <c r="J32" i="48"/>
  <c r="D117" i="47" l="1"/>
  <c r="D116" i="47"/>
  <c r="B117" i="47"/>
  <c r="B118" i="47" s="1"/>
  <c r="B116" i="47"/>
  <c r="B108" i="47"/>
  <c r="B109" i="47" s="1"/>
  <c r="B107" i="47"/>
  <c r="D108" i="47"/>
  <c r="D109" i="47" s="1"/>
  <c r="D107" i="47"/>
  <c r="D99" i="47"/>
  <c r="D100" i="47" s="1"/>
  <c r="D98" i="47"/>
  <c r="B99" i="47"/>
  <c r="B100" i="47" s="1"/>
  <c r="B98" i="47"/>
  <c r="B90" i="47"/>
  <c r="B91" i="47" s="1"/>
  <c r="B89" i="47"/>
  <c r="D90" i="47"/>
  <c r="D91" i="47" s="1"/>
  <c r="D89" i="47"/>
  <c r="D81" i="47"/>
  <c r="D82" i="47" s="1"/>
  <c r="D80" i="47"/>
  <c r="B81" i="47"/>
  <c r="B82" i="47" s="1"/>
  <c r="B80" i="47"/>
  <c r="B72" i="47"/>
  <c r="B73" i="47" s="1"/>
  <c r="B71" i="47"/>
  <c r="D72" i="47"/>
  <c r="D73" i="47" s="1"/>
  <c r="D71" i="47"/>
  <c r="D57" i="47"/>
  <c r="D58" i="47" s="1"/>
  <c r="D56" i="47"/>
  <c r="B57" i="47"/>
  <c r="B56" i="47"/>
  <c r="B48" i="47"/>
  <c r="B49" i="47" s="1"/>
  <c r="B47" i="47"/>
  <c r="D48" i="47"/>
  <c r="D49" i="47" s="1"/>
  <c r="D47" i="47"/>
  <c r="D39" i="47"/>
  <c r="D40" i="47" s="1"/>
  <c r="D38" i="47"/>
  <c r="B39" i="47"/>
  <c r="B40" i="47" s="1"/>
  <c r="B38" i="47"/>
  <c r="B30" i="47"/>
  <c r="B31" i="47" s="1"/>
  <c r="B29" i="47"/>
  <c r="D30" i="47"/>
  <c r="D31" i="47" s="1"/>
  <c r="D29" i="47"/>
  <c r="D21" i="47"/>
  <c r="D22" i="47" s="1"/>
  <c r="D20" i="47"/>
  <c r="B21" i="47"/>
  <c r="B22" i="47" s="1"/>
  <c r="B20" i="47"/>
  <c r="B12" i="47"/>
  <c r="B13" i="47" s="1"/>
  <c r="B11" i="47"/>
  <c r="D118" i="47" l="1"/>
  <c r="B58" i="47"/>
  <c r="I49" i="48"/>
  <c r="J47" i="48" s="1"/>
  <c r="H49" i="48"/>
  <c r="F49" i="48"/>
  <c r="G45" i="48" s="1"/>
  <c r="E49" i="48"/>
  <c r="C49" i="48"/>
  <c r="D45" i="48" s="1"/>
  <c r="B49" i="48"/>
  <c r="D74" i="47"/>
  <c r="D75" i="47"/>
  <c r="D12" i="47"/>
  <c r="D11" i="47"/>
  <c r="D15" i="47" s="1"/>
  <c r="F34" i="23"/>
  <c r="D34" i="23"/>
  <c r="F33" i="23"/>
  <c r="F36" i="23" s="1"/>
  <c r="D33" i="23"/>
  <c r="D36" i="23" s="1"/>
  <c r="G32" i="23"/>
  <c r="E32" i="23"/>
  <c r="G31" i="23"/>
  <c r="E31" i="23"/>
  <c r="G30" i="23"/>
  <c r="E30" i="23"/>
  <c r="G29" i="23"/>
  <c r="E29" i="23"/>
  <c r="G28" i="23"/>
  <c r="E28" i="23"/>
  <c r="G27" i="23"/>
  <c r="E27" i="23"/>
  <c r="F16" i="23"/>
  <c r="D16" i="23"/>
  <c r="F15" i="23"/>
  <c r="F18" i="23" s="1"/>
  <c r="D15" i="23"/>
  <c r="D18" i="23" s="1"/>
  <c r="G14" i="23"/>
  <c r="E14" i="23"/>
  <c r="G13" i="23"/>
  <c r="E13" i="23"/>
  <c r="G12" i="23"/>
  <c r="E12" i="23"/>
  <c r="G11" i="23"/>
  <c r="E11" i="23"/>
  <c r="G10" i="23"/>
  <c r="E10" i="23"/>
  <c r="G9" i="23"/>
  <c r="E9" i="23"/>
  <c r="E34" i="24"/>
  <c r="C34" i="24"/>
  <c r="C35" i="24" s="1"/>
  <c r="E33" i="24"/>
  <c r="E36" i="24" s="1"/>
  <c r="C33" i="24"/>
  <c r="C36" i="24" s="1"/>
  <c r="F32" i="24"/>
  <c r="D32" i="24"/>
  <c r="F31" i="24"/>
  <c r="D31" i="24"/>
  <c r="F30" i="24"/>
  <c r="D30" i="24"/>
  <c r="F29" i="24"/>
  <c r="D29" i="24"/>
  <c r="F28" i="24"/>
  <c r="D28" i="24"/>
  <c r="F27" i="24"/>
  <c r="D27" i="24"/>
  <c r="E16" i="24"/>
  <c r="C16" i="24"/>
  <c r="E15" i="24"/>
  <c r="E18" i="24" s="1"/>
  <c r="C15" i="24"/>
  <c r="C18" i="24" s="1"/>
  <c r="F14" i="24"/>
  <c r="D14" i="24"/>
  <c r="F13" i="24"/>
  <c r="D13" i="24"/>
  <c r="F12" i="24"/>
  <c r="D12" i="24"/>
  <c r="F11" i="24"/>
  <c r="D11" i="24"/>
  <c r="F10" i="24"/>
  <c r="D10" i="24"/>
  <c r="F9" i="24"/>
  <c r="D9" i="24"/>
  <c r="C32" i="18"/>
  <c r="C31" i="18"/>
  <c r="C34" i="18" s="1"/>
  <c r="D30" i="18"/>
  <c r="D29" i="18"/>
  <c r="D28" i="18"/>
  <c r="D27" i="18"/>
  <c r="D26" i="18"/>
  <c r="D25" i="18"/>
  <c r="C15" i="18"/>
  <c r="C16" i="18" s="1"/>
  <c r="C14" i="18"/>
  <c r="C17" i="18" s="1"/>
  <c r="D13" i="18"/>
  <c r="D12" i="18"/>
  <c r="D11" i="18"/>
  <c r="D10" i="18"/>
  <c r="D9" i="18"/>
  <c r="D8" i="18"/>
  <c r="D30" i="17"/>
  <c r="D29" i="17"/>
  <c r="D28" i="17"/>
  <c r="D27" i="17"/>
  <c r="D26" i="17"/>
  <c r="D25" i="17"/>
  <c r="D24" i="17"/>
  <c r="D23" i="17"/>
  <c r="D22" i="17"/>
  <c r="D21" i="17"/>
  <c r="D20" i="17"/>
  <c r="D19" i="17"/>
  <c r="C14" i="17"/>
  <c r="B14" i="17"/>
  <c r="B15" i="17" s="1"/>
  <c r="C13" i="17"/>
  <c r="D12" i="17" s="1"/>
  <c r="B13" i="17"/>
  <c r="I14" i="48"/>
  <c r="J13" i="48" s="1"/>
  <c r="H14" i="48"/>
  <c r="F14" i="48"/>
  <c r="G13" i="48" s="1"/>
  <c r="E14" i="48"/>
  <c r="C14" i="48"/>
  <c r="D10" i="48" s="1"/>
  <c r="B14" i="48"/>
  <c r="D119" i="47"/>
  <c r="B120" i="47"/>
  <c r="E115" i="47"/>
  <c r="C115" i="47"/>
  <c r="E114" i="47"/>
  <c r="C114" i="47"/>
  <c r="E113" i="47"/>
  <c r="C113" i="47"/>
  <c r="D110" i="47"/>
  <c r="B110" i="47"/>
  <c r="E106" i="47"/>
  <c r="C106" i="47"/>
  <c r="E105" i="47"/>
  <c r="C105" i="47"/>
  <c r="E104" i="47"/>
  <c r="C104" i="47"/>
  <c r="D101" i="47"/>
  <c r="B102" i="47"/>
  <c r="E97" i="47"/>
  <c r="C97" i="47"/>
  <c r="E96" i="47"/>
  <c r="C96" i="47"/>
  <c r="E95" i="47"/>
  <c r="C95" i="47"/>
  <c r="D92" i="47"/>
  <c r="B93" i="47"/>
  <c r="E88" i="47"/>
  <c r="C88" i="47"/>
  <c r="E87" i="47"/>
  <c r="C87" i="47"/>
  <c r="E86" i="47"/>
  <c r="C86" i="47"/>
  <c r="D83" i="47"/>
  <c r="B83" i="47"/>
  <c r="E79" i="47"/>
  <c r="C79" i="47"/>
  <c r="E78" i="47"/>
  <c r="C78" i="47"/>
  <c r="E77" i="47"/>
  <c r="C77" i="47"/>
  <c r="B74" i="47"/>
  <c r="E70" i="47"/>
  <c r="C70" i="47"/>
  <c r="E69" i="47"/>
  <c r="C69" i="47"/>
  <c r="E68" i="47"/>
  <c r="C68" i="47"/>
  <c r="D60" i="47"/>
  <c r="B59" i="47"/>
  <c r="E55" i="47"/>
  <c r="C55" i="47"/>
  <c r="E54" i="47"/>
  <c r="C54" i="47"/>
  <c r="E53" i="47"/>
  <c r="C53" i="47"/>
  <c r="D51" i="47"/>
  <c r="B50" i="47"/>
  <c r="E46" i="47"/>
  <c r="C46" i="47"/>
  <c r="E45" i="47"/>
  <c r="C45" i="47"/>
  <c r="E44" i="47"/>
  <c r="C44" i="47"/>
  <c r="D41" i="47"/>
  <c r="B42" i="47"/>
  <c r="E37" i="47"/>
  <c r="C37" i="47"/>
  <c r="E36" i="47"/>
  <c r="C36" i="47"/>
  <c r="E35" i="47"/>
  <c r="C35" i="47"/>
  <c r="D33" i="47"/>
  <c r="B32" i="47"/>
  <c r="E28" i="47"/>
  <c r="C28" i="47"/>
  <c r="E27" i="47"/>
  <c r="C27" i="47"/>
  <c r="E26" i="47"/>
  <c r="C26" i="47"/>
  <c r="D24" i="47"/>
  <c r="B24" i="47"/>
  <c r="E19" i="47"/>
  <c r="C19" i="47"/>
  <c r="E18" i="47"/>
  <c r="C18" i="47"/>
  <c r="E17" i="47"/>
  <c r="C17" i="47"/>
  <c r="B14" i="47"/>
  <c r="E10" i="47"/>
  <c r="C10" i="47"/>
  <c r="E9" i="47"/>
  <c r="C9" i="47"/>
  <c r="E8" i="47"/>
  <c r="C8" i="47"/>
  <c r="F23" i="31"/>
  <c r="F15" i="31"/>
  <c r="F7" i="31"/>
  <c r="H26" i="11"/>
  <c r="E26" i="11"/>
  <c r="H25" i="11"/>
  <c r="E25" i="11"/>
  <c r="H24" i="11"/>
  <c r="E24" i="11"/>
  <c r="H23" i="11"/>
  <c r="E23" i="11"/>
  <c r="H22" i="11"/>
  <c r="E22" i="11"/>
  <c r="H21" i="11"/>
  <c r="E21" i="11"/>
  <c r="H20" i="11"/>
  <c r="E20" i="11"/>
  <c r="H14" i="11"/>
  <c r="E14" i="11"/>
  <c r="H13" i="11"/>
  <c r="E13" i="11"/>
  <c r="H12" i="11"/>
  <c r="E12" i="11"/>
  <c r="H11" i="11"/>
  <c r="E11" i="11"/>
  <c r="H10" i="11"/>
  <c r="E10" i="11"/>
  <c r="H9" i="11"/>
  <c r="E9" i="11"/>
  <c r="H8" i="11"/>
  <c r="E8" i="11"/>
  <c r="I24" i="24"/>
  <c r="I6" i="24"/>
  <c r="E35" i="24" l="1"/>
  <c r="E17" i="24"/>
  <c r="C15" i="17"/>
  <c r="D48" i="48"/>
  <c r="G43" i="48"/>
  <c r="J46" i="48"/>
  <c r="D50" i="47"/>
  <c r="B15" i="47"/>
  <c r="C33" i="18"/>
  <c r="D13" i="47"/>
  <c r="G48" i="48"/>
  <c r="G46" i="48"/>
  <c r="G44" i="48"/>
  <c r="G8" i="48"/>
  <c r="G10" i="48"/>
  <c r="G11" i="48"/>
  <c r="G12" i="48"/>
  <c r="D8" i="48"/>
  <c r="J44" i="48"/>
  <c r="J48" i="48"/>
  <c r="G47" i="48"/>
  <c r="D44" i="48"/>
  <c r="D43" i="48"/>
  <c r="J45" i="48"/>
  <c r="D47" i="48"/>
  <c r="D46" i="48"/>
  <c r="J43" i="48"/>
  <c r="D14" i="47"/>
  <c r="F35" i="23"/>
  <c r="F17" i="23"/>
  <c r="D17" i="23"/>
  <c r="D7" i="17"/>
  <c r="D9" i="17"/>
  <c r="D120" i="47"/>
  <c r="D111" i="47"/>
  <c r="B111" i="47"/>
  <c r="D93" i="47"/>
  <c r="D84" i="47"/>
  <c r="B84" i="47"/>
  <c r="B75" i="47"/>
  <c r="D59" i="47"/>
  <c r="B60" i="47"/>
  <c r="D42" i="47"/>
  <c r="B41" i="47"/>
  <c r="D32" i="47"/>
  <c r="B33" i="47"/>
  <c r="D23" i="47"/>
  <c r="B92" i="47"/>
  <c r="B119" i="47"/>
  <c r="J10" i="48"/>
  <c r="D11" i="48"/>
  <c r="J11" i="48"/>
  <c r="C17" i="24"/>
  <c r="D35" i="23"/>
  <c r="B101" i="47"/>
  <c r="D12" i="48"/>
  <c r="D8" i="17"/>
  <c r="J8" i="48"/>
  <c r="J12" i="48"/>
  <c r="D10" i="17"/>
  <c r="B23" i="47"/>
  <c r="B51" i="47"/>
  <c r="D102" i="47"/>
  <c r="D9" i="48"/>
  <c r="D13" i="48"/>
  <c r="D11" i="17"/>
  <c r="G9" i="48"/>
  <c r="J9" i="48"/>
  <c r="G49" i="48" l="1"/>
  <c r="D49" i="48"/>
  <c r="D13" i="17"/>
  <c r="G50" i="48"/>
  <c r="H12" i="47"/>
  <c r="I11" i="47"/>
  <c r="I12" i="47"/>
  <c r="G14" i="48"/>
  <c r="G15" i="48"/>
  <c r="D50" i="48"/>
  <c r="J49" i="48"/>
  <c r="J50" i="48"/>
  <c r="H72" i="47"/>
  <c r="I72" i="47"/>
  <c r="I71" i="47"/>
  <c r="J15" i="48"/>
  <c r="J14" i="48"/>
  <c r="D15" i="48"/>
  <c r="D14" i="48"/>
  <c r="D14" i="17"/>
  <c r="D15" i="17" s="1"/>
  <c r="J51" i="48" l="1"/>
  <c r="G16" i="48"/>
  <c r="G51" i="48"/>
  <c r="D51" i="48"/>
  <c r="B52" i="48"/>
  <c r="B53" i="48" s="1"/>
  <c r="B17" i="48"/>
  <c r="B18" i="48" s="1"/>
  <c r="D16" i="48"/>
  <c r="J16" i="48"/>
</calcChain>
</file>

<file path=xl/sharedStrings.xml><?xml version="1.0" encoding="utf-8"?>
<sst xmlns="http://schemas.openxmlformats.org/spreadsheetml/2006/main" count="715" uniqueCount="216">
  <si>
    <t>LLOQ</t>
  </si>
  <si>
    <t>HQC</t>
  </si>
  <si>
    <t>MQC</t>
  </si>
  <si>
    <t>LQC</t>
  </si>
  <si>
    <t>SD</t>
  </si>
  <si>
    <t>n</t>
  </si>
  <si>
    <t>ng/mL</t>
  </si>
  <si>
    <t xml:space="preserve"> LQC</t>
  </si>
  <si>
    <r>
      <t xml:space="preserve"> </t>
    </r>
    <r>
      <rPr>
        <sz val="10.5"/>
        <rFont val="宋体"/>
        <family val="3"/>
        <charset val="134"/>
      </rPr>
      <t>样品名称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</si>
  <si>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</si>
  <si>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</si>
  <si>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</si>
  <si>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序号</t>
    </r>
  </si>
  <si>
    <r>
      <rPr>
        <sz val="10.5"/>
        <rFont val="宋体"/>
        <family val="3"/>
        <charset val="134"/>
      </rPr>
      <t>不同来源基质的编号</t>
    </r>
  </si>
  <si>
    <r>
      <rPr>
        <sz val="10.5"/>
        <rFont val="宋体"/>
        <family val="3"/>
        <charset val="134"/>
      </rPr>
      <t>内标响应值</t>
    </r>
  </si>
  <si>
    <r>
      <rPr>
        <sz val="10.5"/>
        <rFont val="宋体"/>
        <family val="3"/>
        <charset val="134"/>
      </rPr>
      <t>空白基质</t>
    </r>
  </si>
  <si>
    <r>
      <rPr>
        <sz val="10.5"/>
        <rFont val="宋体"/>
        <family val="3"/>
        <charset val="134"/>
      </rPr>
      <t>平均值</t>
    </r>
  </si>
  <si>
    <r>
      <rPr>
        <sz val="10.5"/>
        <color theme="1"/>
        <rFont val="宋体"/>
        <family val="3"/>
        <charset val="134"/>
      </rPr>
      <t>检测批次编号</t>
    </r>
  </si>
  <si>
    <t>ng/mL</t>
    <phoneticPr fontId="6" type="noConversion"/>
  </si>
  <si>
    <r>
      <rPr>
        <sz val="10.5"/>
        <color indexed="8"/>
        <rFont val="宋体"/>
        <family val="3"/>
        <charset val="134"/>
      </rPr>
      <t>平均值</t>
    </r>
  </si>
  <si>
    <r>
      <rPr>
        <sz val="10.5"/>
        <rFont val="宋体"/>
        <family val="3"/>
        <charset val="134"/>
      </rPr>
      <t>样品编号</t>
    </r>
  </si>
  <si>
    <r>
      <t>T</t>
    </r>
    <r>
      <rPr>
        <vertAlign val="subscript"/>
        <sz val="10.5"/>
        <rFont val="Times New Roman"/>
        <family val="1"/>
      </rPr>
      <t>0</t>
    </r>
  </si>
  <si>
    <r>
      <t xml:space="preserve"> </t>
    </r>
    <r>
      <rPr>
        <sz val="10.5"/>
        <rFont val="宋体"/>
        <family val="3"/>
        <charset val="134"/>
      </rPr>
      <t>检测批次编号</t>
    </r>
    <phoneticPr fontId="6" type="noConversion"/>
  </si>
  <si>
    <r>
      <t>T</t>
    </r>
    <r>
      <rPr>
        <vertAlign val="subscript"/>
        <sz val="10.5"/>
        <rFont val="Times New Roman"/>
        <family val="1"/>
      </rPr>
      <t>x</t>
    </r>
    <phoneticPr fontId="6" type="noConversion"/>
  </si>
  <si>
    <r>
      <rPr>
        <sz val="10.5"/>
        <color theme="1"/>
        <rFont val="宋体"/>
        <family val="3"/>
        <charset val="134"/>
      </rPr>
      <t>检测日期</t>
    </r>
    <phoneticPr fontId="6" type="noConversion"/>
  </si>
  <si>
    <r>
      <rPr>
        <sz val="10.5"/>
        <rFont val="宋体"/>
        <family val="3"/>
        <charset val="134"/>
      </rPr>
      <t>浓度</t>
    </r>
    <phoneticPr fontId="6" type="noConversion"/>
  </si>
  <si>
    <r>
      <rPr>
        <sz val="10.5"/>
        <rFont val="宋体"/>
        <family val="3"/>
        <charset val="134"/>
      </rPr>
      <t>待测物与内标的峰面积比</t>
    </r>
    <phoneticPr fontId="6" type="noConversion"/>
  </si>
  <si>
    <r>
      <rPr>
        <sz val="10.5"/>
        <rFont val="宋体"/>
        <family val="3"/>
        <charset val="134"/>
      </rPr>
      <t>检测日期</t>
    </r>
    <phoneticPr fontId="6" type="noConversion"/>
  </si>
  <si>
    <t>放置时间：</t>
  </si>
  <si>
    <t>表23：溶血效应</t>
  </si>
  <si>
    <t>表22：全血稳定性</t>
  </si>
  <si>
    <t>表20：处理后样品的稳定性</t>
  </si>
  <si>
    <t>表19：冻融稳定性</t>
  </si>
  <si>
    <t xml:space="preserve">表18：生物样品前处理过程中的短期稳定性 </t>
  </si>
  <si>
    <t>表13：稀释可靠性</t>
  </si>
  <si>
    <t>表12：内标回收率：以内标与提取待测物的峰面积比计</t>
  </si>
  <si>
    <t>表9：批内/批间样品检测的精密度和准确度</t>
  </si>
  <si>
    <t>表4：选择性考察</t>
  </si>
  <si>
    <t>表1：批量样品检测情况列表</t>
  </si>
  <si>
    <t>干扰（%）</t>
  </si>
  <si>
    <t>CV（%）</t>
  </si>
  <si>
    <t>准确度（%）</t>
  </si>
  <si>
    <t>差异（%）</t>
  </si>
  <si>
    <t>准确度偏差（%）</t>
  </si>
  <si>
    <t>提取回收率（%）</t>
  </si>
  <si>
    <t>批内CV（%）</t>
  </si>
  <si>
    <t>批内准确度偏差（%）</t>
  </si>
  <si>
    <r>
      <rPr>
        <sz val="10.5"/>
        <rFont val="宋体"/>
        <family val="3"/>
        <charset val="134"/>
      </rPr>
      <t>待测物响应值</t>
    </r>
    <phoneticPr fontId="6" type="noConversion"/>
  </si>
  <si>
    <r>
      <rPr>
        <sz val="11"/>
        <color theme="1"/>
        <rFont val="DengXian"/>
        <family val="2"/>
      </rPr>
      <t>分析天平编号：</t>
    </r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</si>
  <si>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</si>
  <si>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样品处理完成时间：</t>
    </r>
  </si>
  <si>
    <r>
      <rPr>
        <sz val="10.5"/>
        <rFont val="宋体"/>
        <family val="3"/>
        <charset val="134"/>
      </rPr>
      <t>该样品第一针进样时间：</t>
    </r>
  </si>
  <si>
    <r>
      <rPr>
        <sz val="10.5"/>
        <rFont val="宋体"/>
        <family val="3"/>
        <charset val="134"/>
      </rPr>
      <t>样品放置开始时间：</t>
    </r>
  </si>
  <si>
    <r>
      <rPr>
        <sz val="10.5"/>
        <rFont val="宋体"/>
        <family val="3"/>
        <charset val="134"/>
      </rPr>
      <t>提取日期</t>
    </r>
    <phoneticPr fontId="6" type="noConversion"/>
  </si>
  <si>
    <r>
      <rPr>
        <sz val="10.5"/>
        <rFont val="宋体"/>
        <family val="3"/>
        <charset val="134"/>
      </rPr>
      <t>设备编号</t>
    </r>
    <phoneticPr fontId="6" type="noConversion"/>
  </si>
  <si>
    <r>
      <rPr>
        <sz val="10.5"/>
        <rFont val="宋体"/>
        <family val="3"/>
        <charset val="134"/>
      </rPr>
      <t>备注：</t>
    </r>
  </si>
  <si>
    <t>EQ202003</t>
    <phoneticPr fontId="21" type="noConversion"/>
  </si>
  <si>
    <t>EQ2018B23</t>
    <phoneticPr fontId="21" type="noConversion"/>
  </si>
  <si>
    <t>EQ201590</t>
    <phoneticPr fontId="21" type="noConversion"/>
  </si>
  <si>
    <t>Max</t>
    <phoneticPr fontId="6" type="noConversion"/>
  </si>
  <si>
    <t>Min</t>
    <phoneticPr fontId="6" type="noConversion"/>
  </si>
  <si>
    <t>%Bias</t>
    <phoneticPr fontId="6" type="noConversion"/>
  </si>
  <si>
    <t>%CV</t>
    <phoneticPr fontId="6" type="noConversion"/>
  </si>
  <si>
    <t>LLOQ</t>
    <phoneticPr fontId="6" type="noConversion"/>
  </si>
  <si>
    <t>GMQC</t>
    <phoneticPr fontId="6" type="noConversion"/>
  </si>
  <si>
    <t>MQC</t>
    <phoneticPr fontId="6" type="noConversion"/>
  </si>
  <si>
    <r>
      <rPr>
        <sz val="10.5"/>
        <rFont val="宋体"/>
        <family val="3"/>
        <charset val="134"/>
      </rPr>
      <t>生物基质批号</t>
    </r>
  </si>
  <si>
    <r>
      <rPr>
        <sz val="10.5"/>
        <rFont val="宋体"/>
        <family val="3"/>
        <charset val="134"/>
      </rPr>
      <t>准确度偏差</t>
    </r>
    <r>
      <rPr>
        <sz val="10.5"/>
        <rFont val="Times New Roman"/>
        <family val="1"/>
      </rPr>
      <t>%</t>
    </r>
  </si>
  <si>
    <t>%CV</t>
  </si>
  <si>
    <r>
      <rPr>
        <sz val="10.5"/>
        <rFont val="宋体"/>
        <family val="3"/>
        <charset val="134"/>
      </rPr>
      <t>准确度</t>
    </r>
    <r>
      <rPr>
        <sz val="10.5"/>
        <rFont val="Times New Roman"/>
        <family val="1"/>
      </rPr>
      <t>%</t>
    </r>
  </si>
  <si>
    <t>ng/mL</t>
    <phoneticPr fontId="21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</si>
  <si>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1</t>
    </r>
    <phoneticPr fontId="6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</si>
  <si>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2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</si>
  <si>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3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</si>
  <si>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4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</si>
  <si>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5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</si>
  <si>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6</t>
    </r>
    <r>
      <rPr>
        <sz val="11"/>
        <color theme="1"/>
        <rFont val="DengXian"/>
        <family val="2"/>
        <charset val="134"/>
        <scheme val="minor"/>
      </rPr>
      <t/>
    </r>
  </si>
  <si>
    <t>溶血</t>
    <phoneticPr fontId="6" type="noConversion"/>
  </si>
  <si>
    <t>NA</t>
    <phoneticPr fontId="6" type="noConversion"/>
  </si>
  <si>
    <t>Min</t>
    <phoneticPr fontId="21" type="noConversion"/>
  </si>
  <si>
    <t>Max</t>
    <phoneticPr fontId="21" type="noConversion"/>
  </si>
  <si>
    <t xml:space="preserve"> </t>
    <phoneticPr fontId="6" type="noConversion"/>
  </si>
  <si>
    <r>
      <rPr>
        <sz val="10.5"/>
        <rFont val="宋体"/>
        <family val="3"/>
        <charset val="134"/>
      </rPr>
      <t>未提取的峰面积比</t>
    </r>
  </si>
  <si>
    <r>
      <rPr>
        <sz val="10.5"/>
        <rFont val="宋体"/>
        <family val="3"/>
        <charset val="134"/>
      </rPr>
      <t>提取后峰面积比</t>
    </r>
  </si>
  <si>
    <r>
      <rPr>
        <sz val="10.5"/>
        <color indexed="8"/>
        <rFont val="宋体"/>
        <family val="3"/>
        <charset val="134"/>
      </rPr>
      <t>提取后峰面积比</t>
    </r>
    <phoneticPr fontId="50" type="noConversion"/>
  </si>
  <si>
    <r>
      <rPr>
        <sz val="10.5"/>
        <color indexed="8"/>
        <rFont val="宋体"/>
        <family val="3"/>
        <charset val="134"/>
      </rPr>
      <t>未提取的峰面积比</t>
    </r>
    <r>
      <rPr>
        <sz val="10.5"/>
        <color indexed="8"/>
        <rFont val="Times New Roman"/>
        <family val="1"/>
      </rPr>
      <t xml:space="preserve"> </t>
    </r>
  </si>
  <si>
    <r>
      <rPr>
        <sz val="10.5"/>
        <color indexed="8"/>
        <rFont val="宋体"/>
        <family val="3"/>
        <charset val="134"/>
      </rPr>
      <t>平均值</t>
    </r>
    <phoneticPr fontId="50" type="noConversion"/>
  </si>
  <si>
    <t>表11：待测物提取回收率：以待测物与内标的峰面积比计</t>
    <phoneticPr fontId="6" type="noConversion"/>
  </si>
  <si>
    <t>提取后峰面积比</t>
    <phoneticPr fontId="21" type="noConversion"/>
  </si>
  <si>
    <r>
      <rPr>
        <sz val="10.5"/>
        <rFont val="宋体"/>
        <family val="3"/>
        <charset val="134"/>
      </rPr>
      <t>总体回收率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</si>
  <si>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总体变异</t>
    </r>
    <r>
      <rPr>
        <sz val="10.5"/>
        <rFont val="Times New Roman"/>
        <family val="1"/>
      </rPr>
      <t>%CV</t>
    </r>
    <phoneticPr fontId="21" type="noConversion"/>
  </si>
  <si>
    <t>干扰 （%）</t>
  </si>
  <si>
    <t>准确度偏差 （%）</t>
  </si>
  <si>
    <t>批间CV （%）</t>
  </si>
  <si>
    <t>批间准确度偏差 （%）</t>
  </si>
  <si>
    <t>CV （%）</t>
  </si>
  <si>
    <t>准确度 （%）</t>
  </si>
  <si>
    <t>差异 （%）</t>
  </si>
  <si>
    <t>#表示不符合接受标准，仍参与统计计算</t>
  </si>
  <si>
    <r>
      <rPr>
        <sz val="10.5"/>
        <rFont val="宋体"/>
        <family val="3"/>
        <charset val="134"/>
      </rPr>
      <t>试验条件：在超低温冷冻冰箱（</t>
    </r>
    <r>
      <rPr>
        <sz val="10.5"/>
        <rFont val="Times New Roman"/>
        <family val="1"/>
      </rPr>
      <t>-70~-90 °C</t>
    </r>
    <r>
      <rPr>
        <sz val="10.5"/>
        <rFont val="宋体"/>
        <family val="3"/>
        <charset val="134"/>
      </rPr>
      <t>）冻存至少</t>
    </r>
    <r>
      <rPr>
        <sz val="10.5"/>
        <rFont val="Times New Roman"/>
        <family val="1"/>
      </rPr>
      <t>12</t>
    </r>
    <r>
      <rPr>
        <sz val="10.5"/>
        <rFont val="宋体"/>
        <family val="3"/>
        <charset val="134"/>
      </rPr>
      <t>小时，在室温白光条件下融化。</t>
    </r>
    <phoneticPr fontId="6" type="noConversion"/>
  </si>
  <si>
    <t>RESS25071-AS</t>
  </si>
  <si>
    <t>RESS25071-AS</t>
    <phoneticPr fontId="6" type="noConversion"/>
  </si>
  <si>
    <t>RESS25071-SS</t>
  </si>
  <si>
    <t>RESS25071-SS</t>
    <phoneticPr fontId="6" type="noConversion"/>
  </si>
  <si>
    <r>
      <rPr>
        <sz val="10.5"/>
        <rFont val="宋体"/>
        <family val="3"/>
        <charset val="134"/>
      </rPr>
      <t>试验条件：全血样品在室温白光下放置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小时后的稳定性</t>
    </r>
    <phoneticPr fontId="6" type="noConversion"/>
  </si>
  <si>
    <r>
      <rPr>
        <sz val="10.5"/>
        <rFont val="宋体"/>
        <family val="3"/>
        <charset val="134"/>
      </rPr>
      <t>冻融循环次数</t>
    </r>
  </si>
  <si>
    <r>
      <t>5</t>
    </r>
    <r>
      <rPr>
        <sz val="10.5"/>
        <rFont val="宋体"/>
        <family val="3"/>
        <charset val="134"/>
      </rPr>
      <t>次</t>
    </r>
  </si>
  <si>
    <r>
      <rPr>
        <sz val="10.5"/>
        <rFont val="宋体"/>
        <family val="3"/>
        <charset val="134"/>
      </rPr>
      <t>样品放置结束时间：</t>
    </r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</si>
  <si>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5</t>
    </r>
    <phoneticPr fontId="21" type="noConversion"/>
  </si>
  <si>
    <r>
      <t>RESS25071-AS</t>
    </r>
    <r>
      <rPr>
        <sz val="10.5"/>
        <rFont val="宋体"/>
        <family val="3"/>
        <charset val="134"/>
      </rPr>
      <t>选择性</t>
    </r>
    <phoneticPr fontId="6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</si>
  <si>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3</t>
    </r>
    <phoneticPr fontId="6" type="noConversion"/>
  </si>
  <si>
    <r>
      <t>RESS25071-SS</t>
    </r>
    <r>
      <rPr>
        <sz val="10.5"/>
        <rFont val="宋体"/>
        <family val="3"/>
        <charset val="134"/>
      </rPr>
      <t>选择性</t>
    </r>
    <phoneticPr fontId="6" type="noConversion"/>
  </si>
  <si>
    <r>
      <rPr>
        <sz val="10.5"/>
        <rFont val="宋体"/>
        <family val="3"/>
        <charset val="134"/>
      </rPr>
      <t>符合接受标准的标曲样品定量下限内标</t>
    </r>
    <r>
      <rPr>
        <sz val="10.5"/>
        <rFont val="Times New Roman"/>
        <family val="1"/>
      </rPr>
      <t>ISSS25071</t>
    </r>
    <r>
      <rPr>
        <sz val="10.5"/>
        <rFont val="宋体"/>
        <family val="3"/>
        <charset val="134"/>
      </rPr>
      <t>的平均峰面积值</t>
    </r>
    <phoneticPr fontId="6" type="noConversion"/>
  </si>
  <si>
    <t>SS25071BV01 Only ISSS25071 1</t>
  </si>
  <si>
    <t>SS25071BV01 Only ISSS25071 2</t>
  </si>
  <si>
    <t>SS25071BV01 Only ISSS25071 3</t>
  </si>
  <si>
    <t>SS25071BV01 Only RESS25071 1</t>
  </si>
  <si>
    <t>SS25071BV01 Only RESS25071 2</t>
  </si>
  <si>
    <t>SS25071BV01 Only RESS25071 3</t>
  </si>
  <si>
    <r>
      <rPr>
        <sz val="10.5"/>
        <rFont val="宋体"/>
        <family val="3"/>
        <charset val="134"/>
      </rPr>
      <t>内标</t>
    </r>
    <r>
      <rPr>
        <sz val="10.5"/>
        <rFont val="Times New Roman"/>
        <family val="1"/>
      </rPr>
      <t>ISSS25071</t>
    </r>
    <r>
      <rPr>
        <sz val="10.5"/>
        <rFont val="宋体"/>
        <family val="3"/>
        <charset val="134"/>
      </rPr>
      <t>保留时间处的峰面积</t>
    </r>
    <phoneticPr fontId="6" type="noConversion"/>
  </si>
  <si>
    <r>
      <rPr>
        <sz val="10.5"/>
        <rFont val="宋体"/>
        <family val="3"/>
        <charset val="134"/>
      </rPr>
      <t>符合接受标准的标曲样品定量下限的内标</t>
    </r>
    <r>
      <rPr>
        <sz val="10.5"/>
        <rFont val="Times New Roman"/>
        <family val="1"/>
      </rPr>
      <t>ISSS25071</t>
    </r>
    <r>
      <rPr>
        <sz val="10.5"/>
        <rFont val="宋体"/>
        <family val="3"/>
        <charset val="134"/>
      </rPr>
      <t>的峰面积（均）值</t>
    </r>
    <phoneticPr fontId="6" type="noConversion"/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</si>
  <si>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ISSS25071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6" type="noConversion"/>
  </si>
  <si>
    <r>
      <rPr>
        <sz val="10.5"/>
        <rFont val="宋体"/>
        <family val="3"/>
        <charset val="134"/>
      </rPr>
      <t>内标对待测物</t>
    </r>
    <r>
      <rPr>
        <sz val="10.5"/>
        <rFont val="Times New Roman"/>
        <family val="1"/>
      </rPr>
      <t>RESS25071-AS</t>
    </r>
    <r>
      <rPr>
        <sz val="10.5"/>
        <rFont val="宋体"/>
        <family val="3"/>
        <charset val="134"/>
      </rPr>
      <t>的干扰</t>
    </r>
    <phoneticPr fontId="6" type="noConversion"/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</si>
  <si>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RESS25071-AS</t>
    </r>
    <r>
      <rPr>
        <sz val="10.5"/>
        <rFont val="宋体"/>
        <family val="3"/>
        <charset val="134"/>
      </rPr>
      <t>保留时间处的峰面积</t>
    </r>
    <phoneticPr fontId="6" type="noConversion"/>
  </si>
  <si>
    <r>
      <rPr>
        <sz val="10.5"/>
        <rFont val="宋体"/>
        <family val="3"/>
        <charset val="134"/>
      </rPr>
      <t>符合接受标准的标曲样品定量下限</t>
    </r>
    <r>
      <rPr>
        <sz val="10.5"/>
        <rFont val="Times New Roman"/>
        <family val="1"/>
      </rPr>
      <t>RESS25071-AS</t>
    </r>
    <r>
      <rPr>
        <sz val="10.5"/>
        <rFont val="宋体"/>
        <family val="3"/>
        <charset val="134"/>
      </rPr>
      <t>峰面积（均）值</t>
    </r>
    <phoneticPr fontId="6" type="noConversion"/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</si>
  <si>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RESS25071-AS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6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</si>
  <si>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3</t>
    </r>
    <phoneticPr fontId="21" type="noConversion"/>
  </si>
  <si>
    <t>KN-BM-25-205 13</t>
  </si>
  <si>
    <t>KN-BM-25-205 13</t>
    <phoneticPr fontId="6" type="noConversion"/>
  </si>
  <si>
    <t>KN-BM-25-205 14</t>
  </si>
  <si>
    <t>KN-BM-25-205 15</t>
  </si>
  <si>
    <t>KN-BM-25-205 1</t>
  </si>
  <si>
    <t>KN-BM-25-205 1</t>
    <phoneticPr fontId="6" type="noConversion"/>
  </si>
  <si>
    <t>KN-BM-25-205 2</t>
  </si>
  <si>
    <t>KN-BM-25-205 3</t>
  </si>
  <si>
    <r>
      <rPr>
        <sz val="10.5"/>
        <rFont val="宋体"/>
        <family val="3"/>
        <charset val="134"/>
      </rPr>
      <t>内标对待测物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的干扰</t>
    </r>
    <phoneticPr fontId="6" type="noConversion"/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</si>
  <si>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保留时间处的峰面积</t>
    </r>
    <phoneticPr fontId="6" type="noConversion"/>
  </si>
  <si>
    <r>
      <rPr>
        <sz val="10.5"/>
        <rFont val="宋体"/>
        <family val="3"/>
        <charset val="134"/>
      </rPr>
      <t>符合接受标准的标曲样品定量下限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峰面积（均）值</t>
    </r>
    <phoneticPr fontId="6" type="noConversion"/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</si>
  <si>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RESS25071-SS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6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</si>
  <si>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：待测物与内标间的干扰</t>
    </r>
    <phoneticPr fontId="6" type="noConversion"/>
  </si>
  <si>
    <r>
      <t>DQC</t>
    </r>
    <r>
      <rPr>
        <sz val="10.5"/>
        <rFont val="宋体"/>
        <family val="3"/>
        <charset val="134"/>
      </rPr>
      <t>（稀释倍数</t>
    </r>
    <r>
      <rPr>
        <sz val="10.5"/>
        <rFont val="Times New Roman"/>
        <family val="1"/>
      </rPr>
      <t>50</t>
    </r>
    <r>
      <rPr>
        <sz val="10.5"/>
        <rFont val="宋体"/>
        <family val="3"/>
        <charset val="134"/>
      </rPr>
      <t>倍）</t>
    </r>
    <phoneticPr fontId="6" type="noConversion"/>
  </si>
  <si>
    <r>
      <rPr>
        <sz val="10.5"/>
        <rFont val="宋体"/>
        <family val="3"/>
        <charset val="134"/>
      </rPr>
      <t>平均值</t>
    </r>
    <phoneticPr fontId="6" type="noConversion"/>
  </si>
  <si>
    <t>SS25071BV01 Unextracted Mid 1</t>
  </si>
  <si>
    <t>SS25071BV01 Unextracted Mid 2</t>
  </si>
  <si>
    <t>SS25071BV01 Unextracted Mid 3</t>
  </si>
  <si>
    <t>SS25071BV01 Unextracted Mid 4</t>
  </si>
  <si>
    <t>SS25071BV01 Unextracted Mid 5</t>
  </si>
  <si>
    <t>SS25071BV01 Unextracted Mid 6</t>
  </si>
  <si>
    <t>SS25071BV01 Extracted IS 1</t>
  </si>
  <si>
    <t>SS25071BV01 Extracted IS 2</t>
  </si>
  <si>
    <t>SS25071BV01 Extracted IS 3</t>
  </si>
  <si>
    <t>SS25071BV01 Extracted IS 4</t>
  </si>
  <si>
    <t>SS25071BV01 Extracted IS 5</t>
  </si>
  <si>
    <t>SS25071BV01 Extracted IS 6</t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</si>
  <si>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5</t>
    </r>
    <phoneticPr fontId="6" type="noConversion"/>
  </si>
  <si>
    <r>
      <rPr>
        <sz val="10.5"/>
        <rFont val="宋体"/>
        <family val="3"/>
        <charset val="134"/>
      </rPr>
      <t>提取后内标峰面积比</t>
    </r>
  </si>
  <si>
    <r>
      <rPr>
        <sz val="10.5"/>
        <rFont val="宋体"/>
        <family val="3"/>
        <charset val="134"/>
      </rPr>
      <t>未提取内标峰面积比</t>
    </r>
  </si>
  <si>
    <r>
      <rPr>
        <sz val="10.5"/>
        <rFont val="宋体"/>
        <family val="3"/>
        <charset val="134"/>
      </rPr>
      <t>样品名称</t>
    </r>
    <phoneticPr fontId="6" type="noConversion"/>
  </si>
  <si>
    <r>
      <rPr>
        <sz val="10.5"/>
        <rFont val="宋体"/>
        <family val="3"/>
        <charset val="134"/>
      </rPr>
      <t>待测物峰面积</t>
    </r>
    <phoneticPr fontId="6" type="noConversion"/>
  </si>
  <si>
    <r>
      <rPr>
        <sz val="10.5"/>
        <rFont val="宋体"/>
        <family val="3"/>
        <charset val="134"/>
      </rPr>
      <t>内标峰面积</t>
    </r>
    <phoneticPr fontId="6" type="noConversion"/>
  </si>
  <si>
    <r>
      <rPr>
        <sz val="10.5"/>
        <rFont val="宋体"/>
        <family val="3"/>
        <charset val="134"/>
      </rPr>
      <t>内标峰面积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待测物峰面积</t>
    </r>
    <phoneticPr fontId="6" type="noConversion"/>
  </si>
  <si>
    <t>EQ2019F2</t>
    <phoneticPr fontId="6" type="noConversion"/>
  </si>
  <si>
    <r>
      <rPr>
        <sz val="10.5"/>
        <rFont val="宋体"/>
        <family val="3"/>
        <charset val="134"/>
      </rPr>
      <t>分析批是否接受</t>
    </r>
    <r>
      <rPr>
        <sz val="10.5"/>
        <rFont val="Times New Roman"/>
        <family val="1"/>
      </rPr>
      <t>RESS25071-AS</t>
    </r>
    <phoneticPr fontId="6" type="noConversion"/>
  </si>
  <si>
    <r>
      <rPr>
        <sz val="10.5"/>
        <rFont val="宋体"/>
        <family val="3"/>
        <charset val="134"/>
      </rPr>
      <t>分析批是否接受</t>
    </r>
    <r>
      <rPr>
        <sz val="10.5"/>
        <rFont val="Times New Roman"/>
        <family val="1"/>
      </rPr>
      <t>RESS25071-SS</t>
    </r>
    <phoneticPr fontId="6" type="noConversion"/>
  </si>
  <si>
    <t>系统适用性，全血稳定性</t>
    <phoneticPr fontId="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</si>
  <si>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：本分析批无标曲质控样品</t>
    </r>
    <phoneticPr fontId="6" type="noConversion"/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</si>
  <si>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2</t>
    </r>
    <phoneticPr fontId="6" type="noConversion"/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</si>
  <si>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4</t>
    </r>
    <phoneticPr fontId="6" type="noConversion"/>
  </si>
  <si>
    <r>
      <rPr>
        <sz val="10.5"/>
        <rFont val="宋体"/>
        <family val="3"/>
        <charset val="134"/>
      </rPr>
      <t>是</t>
    </r>
  </si>
  <si>
    <r>
      <rPr>
        <sz val="10.5"/>
        <rFont val="宋体"/>
        <family val="3"/>
        <charset val="134"/>
      </rPr>
      <t>批内均值</t>
    </r>
    <phoneticPr fontId="6" type="noConversion"/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</si>
  <si>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</si>
  <si>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除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外</t>
    </r>
    <phoneticPr fontId="6" type="noConversion"/>
  </si>
  <si>
    <r>
      <rPr>
        <sz val="10.5"/>
        <rFont val="宋体"/>
        <family val="3"/>
        <charset val="134"/>
      </rPr>
      <t>平均实测浓度</t>
    </r>
  </si>
  <si>
    <r>
      <rPr>
        <sz val="10.5"/>
        <rFont val="宋体"/>
        <family val="3"/>
        <charset val="134"/>
      </rPr>
      <t>批间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</si>
  <si>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检测日期：</t>
    </r>
    <r>
      <rPr>
        <sz val="10.5"/>
        <rFont val="Times New Roman"/>
        <family val="1"/>
      </rPr>
      <t>2025/05/17</t>
    </r>
    <phoneticPr fontId="21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</si>
  <si>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：基质效应试验</t>
    </r>
    <phoneticPr fontId="6" type="noConversion"/>
  </si>
  <si>
    <t>系统适用性，标准曲线及范围，第三批批内准确度和精密度，样品短期稳定性，回收率，样品冻融稳定性，残留评价</t>
    <phoneticPr fontId="6" type="noConversion"/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</si>
  <si>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RESS25071</t>
    </r>
    <r>
      <rPr>
        <sz val="10.5"/>
        <rFont val="宋体"/>
        <family val="3"/>
        <charset val="134"/>
      </rPr>
      <t>对内标的干扰</t>
    </r>
    <phoneticPr fontId="6" type="noConversion"/>
  </si>
  <si>
    <t>#12.134</t>
  </si>
  <si>
    <t>#7.641</t>
  </si>
  <si>
    <t>#346.178</t>
    <phoneticPr fontId="6" type="noConversion"/>
  </si>
  <si>
    <t>#12.466</t>
  </si>
  <si>
    <t>#12.880</t>
  </si>
  <si>
    <t>#13.480</t>
  </si>
  <si>
    <t>#12.356</t>
  </si>
  <si>
    <t>#36.116</t>
    <phoneticPr fontId="6" type="noConversion"/>
  </si>
  <si>
    <t>失败</t>
    <phoneticPr fontId="21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</si>
  <si>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7</t>
    </r>
    <phoneticPr fontId="21" type="noConversion"/>
  </si>
  <si>
    <r>
      <rPr>
        <sz val="10.5"/>
        <color indexed="8"/>
        <rFont val="宋体"/>
        <family val="3"/>
        <charset val="134"/>
      </rPr>
      <t>提取后峰面积比</t>
    </r>
    <phoneticPr fontId="6" type="noConversion"/>
  </si>
  <si>
    <r>
      <rPr>
        <sz val="10.5"/>
        <color indexed="8"/>
        <rFont val="宋体"/>
        <family val="3"/>
        <charset val="134"/>
      </rPr>
      <t>平均值</t>
    </r>
    <phoneticPr fontId="6" type="noConversion"/>
  </si>
  <si>
    <r>
      <rPr>
        <sz val="10.5"/>
        <rFont val="宋体"/>
        <family val="3"/>
        <charset val="134"/>
      </rPr>
      <t>试验条件：在室温白光下放置</t>
    </r>
    <r>
      <rPr>
        <sz val="10.5"/>
        <rFont val="Times New Roman"/>
        <family val="1"/>
      </rPr>
      <t>17</t>
    </r>
    <r>
      <rPr>
        <sz val="10.5"/>
        <rFont val="宋体"/>
        <family val="3"/>
        <charset val="134"/>
      </rPr>
      <t>小时的短期稳定性</t>
    </r>
    <phoneticPr fontId="6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</si>
  <si>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 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151</t>
    </r>
    <r>
      <rPr>
        <sz val="10.5"/>
        <rFont val="宋体"/>
        <family val="3"/>
        <charset val="134"/>
      </rPr>
      <t>小时的稳定性</t>
    </r>
    <phoneticPr fontId="6" type="noConversion"/>
  </si>
  <si>
    <t>失败</t>
    <phoneticPr fontId="6" type="noConversion"/>
  </si>
  <si>
    <t>失败批</t>
  </si>
  <si>
    <t>#24.662</t>
    <phoneticPr fontId="21" type="noConversion"/>
  </si>
  <si>
    <r>
      <rPr>
        <sz val="10.5"/>
        <rFont val="宋体"/>
        <family val="3"/>
        <charset val="134"/>
      </rPr>
      <t>批内</t>
    </r>
    <phoneticPr fontId="6" type="noConversion"/>
  </si>
  <si>
    <r>
      <rPr>
        <sz val="10.5"/>
        <rFont val="宋体"/>
        <family val="3"/>
        <charset val="134"/>
      </rPr>
      <t>批间</t>
    </r>
    <phoneticPr fontId="6" type="noConversion"/>
  </si>
  <si>
    <t>成功批：</t>
    <phoneticPr fontId="21" type="noConversion"/>
  </si>
  <si>
    <r>
      <rPr>
        <sz val="10.5"/>
        <rFont val="宋体"/>
        <family val="3"/>
        <charset val="134"/>
      </rPr>
      <t>系统适用性，标准曲线及范围，第一批批内准确度和精密度，稳定性</t>
    </r>
    <r>
      <rPr>
        <sz val="10.5"/>
        <rFont val="Times New Roman"/>
        <family val="1"/>
      </rPr>
      <t>T0</t>
    </r>
    <r>
      <rPr>
        <sz val="10.5"/>
        <rFont val="宋体"/>
        <family val="3"/>
        <charset val="134"/>
      </rPr>
      <t>样品，特异性，稀释可靠性，残留评价</t>
    </r>
    <phoneticPr fontId="6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</si>
  <si>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1</t>
    </r>
    <phoneticPr fontId="6" type="noConversion"/>
  </si>
  <si>
    <r>
      <rPr>
        <sz val="10.5"/>
        <rFont val="宋体"/>
        <family val="3"/>
        <charset val="134"/>
      </rPr>
      <t>系统适用性，标准曲线及范围，第二批批内准确度和精密度，选择性，稳定性</t>
    </r>
    <r>
      <rPr>
        <sz val="10.5"/>
        <rFont val="Times New Roman"/>
        <family val="1"/>
      </rPr>
      <t>T0</t>
    </r>
    <r>
      <rPr>
        <sz val="10.5"/>
        <rFont val="宋体"/>
        <family val="3"/>
        <charset val="134"/>
      </rPr>
      <t>样品，特异性，基质效应，溶血效应，最大进样针数（</t>
    </r>
    <r>
      <rPr>
        <sz val="10.5"/>
        <rFont val="Times New Roman"/>
        <family val="1"/>
      </rPr>
      <t>126</t>
    </r>
    <r>
      <rPr>
        <sz val="10.5"/>
        <rFont val="宋体"/>
        <family val="3"/>
        <charset val="134"/>
      </rPr>
      <t>针），残留评价</t>
    </r>
    <phoneticPr fontId="6" type="noConversion"/>
  </si>
  <si>
    <r>
      <rPr>
        <sz val="10.5"/>
        <rFont val="宋体"/>
        <family val="3"/>
        <charset val="134"/>
      </rPr>
      <t>是</t>
    </r>
    <phoneticPr fontId="6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</si>
  <si>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3</t>
    </r>
    <phoneticPr fontId="6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</si>
  <si>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5</t>
    </r>
    <phoneticPr fontId="6" type="noConversion"/>
  </si>
  <si>
    <r>
      <rPr>
        <sz val="10.5"/>
        <rFont val="宋体"/>
        <family val="3"/>
        <charset val="134"/>
      </rPr>
      <t>系统适用性，标准曲线及范围，处理后样品稳定性</t>
    </r>
    <r>
      <rPr>
        <vertAlign val="superscript"/>
        <sz val="10.5"/>
        <rFont val="Times New Roman"/>
        <family val="1"/>
      </rPr>
      <t>6</t>
    </r>
    <r>
      <rPr>
        <sz val="10.5"/>
        <rFont val="宋体"/>
        <family val="3"/>
        <charset val="134"/>
      </rPr>
      <t>，溶血效应（仅考察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），残留评价</t>
    </r>
    <phoneticPr fontId="6" type="noConversion"/>
  </si>
  <si>
    <r>
      <rPr>
        <sz val="10.5"/>
        <rFont val="宋体"/>
        <family val="3"/>
        <charset val="134"/>
      </rPr>
      <t>系统适用性，标准曲线及范围，待测物回收率（仅考察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），残留评价</t>
    </r>
    <phoneticPr fontId="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</si>
  <si>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：进样过程中稳定性</t>
    </r>
    <r>
      <rPr>
        <sz val="10.5"/>
        <rFont val="Times New Roman"/>
        <family val="1"/>
      </rPr>
      <t>T0</t>
    </r>
    <r>
      <rPr>
        <sz val="10.5"/>
        <rFont val="宋体"/>
        <family val="3"/>
        <charset val="134"/>
      </rPr>
      <t>样品和特异性样品未提取到峰面积，在</t>
    </r>
    <r>
      <rPr>
        <sz val="10.5"/>
        <rFont val="Times New Roman"/>
        <family val="1"/>
      </rPr>
      <t>Run3</t>
    </r>
    <r>
      <rPr>
        <sz val="10.5"/>
        <rFont val="宋体"/>
        <family val="3"/>
        <charset val="134"/>
      </rPr>
      <t>重新考察。</t>
    </r>
    <phoneticPr fontId="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</si>
  <si>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的低浓度溶血效应样品准确度小于</t>
    </r>
    <r>
      <rPr>
        <sz val="10.5"/>
        <rFont val="Times New Roman"/>
        <family val="1"/>
      </rPr>
      <t>85%</t>
    </r>
    <r>
      <rPr>
        <sz val="10.5"/>
        <rFont val="宋体"/>
        <family val="3"/>
        <charset val="134"/>
      </rPr>
      <t>，溶血效应考察失败，于</t>
    </r>
    <r>
      <rPr>
        <sz val="10.5"/>
        <rFont val="Times New Roman"/>
        <family val="1"/>
      </rPr>
      <t>Run6</t>
    </r>
    <r>
      <rPr>
        <sz val="10.5"/>
        <rFont val="宋体"/>
        <family val="3"/>
        <charset val="134"/>
      </rPr>
      <t>重新考察。</t>
    </r>
    <phoneticPr fontId="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</si>
  <si>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6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1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05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28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个分析批中制备。</t>
    </r>
    <phoneticPr fontId="6" type="noConversion"/>
  </si>
  <si>
    <t>成功批</t>
    <phoneticPr fontId="21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</si>
  <si>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：本分析批无标曲质控样品，低、高浓度稳定性</t>
    </r>
    <r>
      <rPr>
        <sz val="10.5"/>
        <rFont val="Times New Roman"/>
        <family val="1"/>
      </rPr>
      <t>T0</t>
    </r>
    <r>
      <rPr>
        <sz val="10.5"/>
        <rFont val="宋体"/>
        <family val="3"/>
        <charset val="134"/>
      </rPr>
      <t>样品的变异系数（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）均大于</t>
    </r>
    <r>
      <rPr>
        <sz val="10.5"/>
        <rFont val="Times New Roman"/>
        <family val="1"/>
      </rPr>
      <t>15%</t>
    </r>
    <r>
      <rPr>
        <sz val="10.5"/>
        <rFont val="宋体"/>
        <family val="3"/>
        <charset val="134"/>
      </rPr>
      <t>，于</t>
    </r>
    <r>
      <rPr>
        <sz val="10.5"/>
        <rFont val="Times New Roman"/>
        <family val="1"/>
      </rPr>
      <t>Run4</t>
    </r>
    <r>
      <rPr>
        <sz val="10.5"/>
        <rFont val="宋体"/>
        <family val="3"/>
        <charset val="134"/>
      </rPr>
      <t>重新考察。</t>
    </r>
    <phoneticPr fontId="6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</si>
  <si>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3"/>
      </rPr>
      <t>RESS25071-SS</t>
    </r>
    <r>
      <rPr>
        <sz val="10.5"/>
        <rFont val="宋体"/>
        <family val="3"/>
        <charset val="134"/>
      </rPr>
      <t>低浓度水平质控样品回收率的变异系数（</t>
    </r>
    <r>
      <rPr>
        <sz val="10.5"/>
        <rFont val="Times New Roman"/>
        <family val="1"/>
      </rPr>
      <t>%CV</t>
    </r>
    <r>
      <rPr>
        <sz val="10.5"/>
        <rFont val="宋体"/>
        <family val="3"/>
        <charset val="134"/>
      </rPr>
      <t>）大于</t>
    </r>
    <r>
      <rPr>
        <sz val="10.5"/>
        <rFont val="Times New Roman"/>
        <family val="1"/>
      </rPr>
      <t>15.0 %</t>
    </r>
    <r>
      <rPr>
        <sz val="10.5"/>
        <rFont val="宋体"/>
        <family val="3"/>
        <charset val="134"/>
      </rPr>
      <t>，回收率考察失败，于</t>
    </r>
    <r>
      <rPr>
        <sz val="10.5"/>
        <rFont val="Times New Roman"/>
        <family val="3"/>
      </rPr>
      <t>Run</t>
    </r>
    <r>
      <rPr>
        <sz val="10.5"/>
        <rFont val="Times New Roman"/>
        <family val="1"/>
      </rPr>
      <t>7</t>
    </r>
    <r>
      <rPr>
        <sz val="10.5"/>
        <rFont val="宋体"/>
        <family val="3"/>
        <charset val="134"/>
      </rPr>
      <t>重新考察。</t>
    </r>
    <phoneticPr fontId="6" type="noConversion"/>
  </si>
  <si>
    <r>
      <rPr>
        <sz val="10.5"/>
        <rFont val="宋体"/>
        <family val="3"/>
        <charset val="134"/>
      </rPr>
      <t>符合接受标准的定量下限</t>
    </r>
    <r>
      <rPr>
        <sz val="10.5"/>
        <rFont val="Times New Roman"/>
        <family val="1"/>
      </rPr>
      <t>RESS25071-AS</t>
    </r>
    <r>
      <rPr>
        <sz val="10.5"/>
        <rFont val="宋体"/>
        <family val="3"/>
        <charset val="134"/>
      </rPr>
      <t>峰面积（均）值</t>
    </r>
    <phoneticPr fontId="6" type="noConversion"/>
  </si>
  <si>
    <r>
      <rPr>
        <sz val="10.5"/>
        <rFont val="宋体"/>
        <family val="3"/>
        <charset val="134"/>
      </rPr>
      <t>符合接受标准的定量下限</t>
    </r>
    <r>
      <rPr>
        <sz val="10.5"/>
        <rFont val="Times New Roman"/>
        <family val="1"/>
      </rPr>
      <t>RESS25071-SS</t>
    </r>
    <r>
      <rPr>
        <sz val="10.5"/>
        <rFont val="宋体"/>
        <family val="3"/>
        <charset val="134"/>
      </rPr>
      <t>峰面积（均）值</t>
    </r>
    <phoneticPr fontId="6" type="noConversion"/>
  </si>
  <si>
    <t>ISSS25071</t>
    <phoneticPr fontId="6" type="noConversion"/>
  </si>
  <si>
    <r>
      <rPr>
        <sz val="10.5"/>
        <rFont val="宋体"/>
        <family val="3"/>
        <charset val="134"/>
      </rPr>
      <t>工作液浓度：</t>
    </r>
    <r>
      <rPr>
        <sz val="10.5"/>
        <rFont val="Times New Roman"/>
        <family val="1"/>
      </rPr>
      <t>10000.000 ng/mL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</si>
</sst>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"/>
    <numFmt numFmtId="177" formatCode="0.0_ "/>
    <numFmt numFmtId="178" formatCode="0.000"/>
    <numFmt numFmtId="179" formatCode="0_ "/>
    <numFmt numFmtId="180" formatCode="0.000000"/>
    <numFmt numFmtId="181" formatCode="yyyy/mm/dd"/>
    <numFmt numFmtId="182" formatCode="0.000_ "/>
    <numFmt numFmtId="183" formatCode="0.000000_ "/>
    <numFmt numFmtId="184" formatCode="[$-409]dd\-mmm\-yy;@"/>
    <numFmt numFmtId="185" formatCode="yyyy/mm/dd\ hh:mm"/>
    <numFmt numFmtId="186" formatCode="0.00;[Red]0.00"/>
  </numFmts>
  <fonts count="55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.5"/>
      <color indexed="8"/>
      <name val="宋体"/>
      <family val="3"/>
      <charset val="134"/>
    </font>
    <font>
      <sz val="10"/>
      <color indexed="8"/>
      <name val="Times New Roman"/>
      <family val="1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.5"/>
      <color rgb="FFFF0000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0.5"/>
      <color indexed="8"/>
      <name val="Times New Roman"/>
      <family val="1"/>
    </font>
    <font>
      <sz val="9"/>
      <name val="DengXian"/>
      <family val="3"/>
      <charset val="134"/>
      <scheme val="minor"/>
    </font>
    <font>
      <sz val="10.5"/>
      <color rgb="FF0070C0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MS Sans Serif"/>
      <family val="2"/>
    </font>
    <font>
      <sz val="11"/>
      <color indexed="8"/>
      <name val="Times New Roman"/>
      <family val="1"/>
    </font>
    <font>
      <sz val="11"/>
      <color theme="1"/>
      <name val="DengXian"/>
      <family val="2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1"/>
      <color rgb="FF9C0006"/>
      <name val="DengXian"/>
      <family val="2"/>
      <scheme val="minor"/>
    </font>
    <font>
      <sz val="9"/>
      <name val="DengXian"/>
      <family val="2"/>
    </font>
    <font>
      <sz val="11"/>
      <name val="DengXian"/>
      <family val="2"/>
      <scheme val="minor"/>
    </font>
    <font>
      <sz val="10.5"/>
      <name val="Times New Roman"/>
      <family val="3"/>
    </font>
    <font>
      <vertAlign val="superscript"/>
      <sz val="10.5"/>
      <name val="Times New Roman"/>
      <family val="1"/>
    </font>
    <font>
      <sz val="10.5"/>
      <color theme="1"/>
      <name val="宋体"/>
      <family val="1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0" fontId="9" fillId="2" borderId="0" applyNumberFormat="0" applyBorder="0" applyAlignment="0" applyProtection="0"/>
    <xf numFmtId="0" fontId="5" fillId="0" borderId="0"/>
    <xf numFmtId="0" fontId="2" fillId="0" borderId="0"/>
    <xf numFmtId="9" fontId="5" fillId="0" borderId="0" applyFont="0" applyFill="0" applyBorder="0" applyAlignment="0" applyProtection="0"/>
    <xf numFmtId="0" fontId="10" fillId="2" borderId="0" applyNumberFormat="0" applyBorder="0" applyAlignment="0" applyProtection="0"/>
    <xf numFmtId="0" fontId="18" fillId="0" borderId="0"/>
    <xf numFmtId="0" fontId="5" fillId="0" borderId="0"/>
    <xf numFmtId="0" fontId="24" fillId="0" borderId="0"/>
    <xf numFmtId="0" fontId="27" fillId="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2" borderId="0" applyNumberFormat="0" applyBorder="0" applyAlignment="0" applyProtection="0"/>
    <xf numFmtId="0" fontId="18" fillId="0" borderId="0"/>
    <xf numFmtId="0" fontId="30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7" borderId="0" applyNumberFormat="0" applyBorder="0" applyAlignment="0" applyProtection="0"/>
    <xf numFmtId="0" fontId="31" fillId="11" borderId="0" applyNumberFormat="0" applyBorder="0" applyAlignment="0" applyProtection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8" borderId="0" applyNumberFormat="0" applyBorder="0" applyAlignment="0" applyProtection="0"/>
    <xf numFmtId="0" fontId="31" fillId="12" borderId="0" applyNumberFormat="0" applyBorder="0" applyAlignment="0" applyProtection="0"/>
    <xf numFmtId="0" fontId="31" fillId="16" borderId="0" applyNumberFormat="0" applyBorder="0" applyAlignment="0" applyProtection="0"/>
    <xf numFmtId="0" fontId="31" fillId="20" borderId="0" applyNumberFormat="0" applyBorder="0" applyAlignment="0" applyProtection="0"/>
    <xf numFmtId="0" fontId="31" fillId="24" borderId="0" applyNumberFormat="0" applyBorder="0" applyAlignment="0" applyProtection="0"/>
    <xf numFmtId="0" fontId="31" fillId="28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6" borderId="0" applyNumberFormat="0" applyBorder="0" applyAlignment="0" applyProtection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3" fillId="2" borderId="0" applyNumberFormat="0" applyBorder="0" applyAlignment="0" applyProtection="0"/>
    <xf numFmtId="0" fontId="34" fillId="32" borderId="28" applyNumberFormat="0" applyAlignment="0" applyProtection="0"/>
    <xf numFmtId="0" fontId="35" fillId="33" borderId="31" applyNumberFormat="0" applyAlignment="0" applyProtection="0"/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0" fontId="38" fillId="0" borderId="25" applyNumberFormat="0" applyFill="0" applyAlignment="0" applyProtection="0"/>
    <xf numFmtId="0" fontId="39" fillId="0" borderId="26" applyNumberFormat="0" applyFill="0" applyAlignment="0" applyProtection="0"/>
    <xf numFmtId="0" fontId="40" fillId="0" borderId="27" applyNumberFormat="0" applyFill="0" applyAlignment="0" applyProtection="0"/>
    <xf numFmtId="0" fontId="40" fillId="0" borderId="0" applyNumberFormat="0" applyFill="0" applyBorder="0" applyAlignment="0" applyProtection="0"/>
    <xf numFmtId="0" fontId="41" fillId="31" borderId="28" applyNumberFormat="0" applyAlignment="0" applyProtection="0"/>
    <xf numFmtId="0" fontId="42" fillId="0" borderId="30" applyNumberFormat="0" applyFill="0" applyAlignment="0" applyProtection="0"/>
    <xf numFmtId="0" fontId="43" fillId="30" borderId="0" applyNumberFormat="0" applyBorder="0" applyAlignment="0" applyProtection="0"/>
    <xf numFmtId="0" fontId="31" fillId="34" borderId="32" applyNumberFormat="0" applyFont="0" applyAlignment="0" applyProtection="0"/>
    <xf numFmtId="0" fontId="44" fillId="32" borderId="29" applyNumberFormat="0" applyAlignment="0" applyProtection="0"/>
    <xf numFmtId="0" fontId="45" fillId="0" borderId="0" applyNumberFormat="0" applyFill="0" applyBorder="0" applyAlignment="0" applyProtection="0"/>
    <xf numFmtId="0" fontId="46" fillId="0" borderId="33" applyNumberFormat="0" applyFill="0" applyAlignment="0" applyProtection="0"/>
    <xf numFmtId="0" fontId="47" fillId="0" borderId="0" applyNumberFormat="0" applyFill="0" applyBorder="0" applyAlignment="0" applyProtection="0"/>
    <xf numFmtId="0" fontId="49" fillId="2" borderId="0" applyNumberFormat="0" applyBorder="0" applyAlignment="0" applyProtection="0"/>
    <xf numFmtId="0" fontId="29" fillId="2" borderId="0" applyNumberFormat="0" applyBorder="0" applyAlignment="0" applyProtection="0"/>
    <xf numFmtId="0" fontId="27" fillId="0" borderId="0"/>
    <xf numFmtId="0" fontId="30" fillId="5" borderId="0" applyNumberFormat="0" applyBorder="0" applyAlignment="0" applyProtection="0">
      <alignment vertical="center"/>
    </xf>
    <xf numFmtId="0" fontId="27" fillId="0" borderId="0"/>
    <xf numFmtId="0" fontId="29" fillId="2" borderId="0" applyNumberFormat="0" applyBorder="0" applyAlignment="0" applyProtection="0"/>
  </cellStyleXfs>
  <cellXfs count="245">
    <xf numFmtId="0" fontId="0" fillId="0" borderId="0" xfId="0"/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4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justify"/>
    </xf>
    <xf numFmtId="0" fontId="19" fillId="0" borderId="0" xfId="0" applyFont="1"/>
    <xf numFmtId="0" fontId="1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4" fontId="16" fillId="0" borderId="0" xfId="0" applyNumberFormat="1" applyFont="1"/>
    <xf numFmtId="177" fontId="1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3" applyFont="1"/>
    <xf numFmtId="0" fontId="16" fillId="0" borderId="0" xfId="5" applyFont="1" applyFill="1" applyBorder="1" applyAlignment="1">
      <alignment horizontal="center" vertical="center" wrapText="1"/>
    </xf>
    <xf numFmtId="0" fontId="16" fillId="0" borderId="0" xfId="5" applyFont="1" applyFill="1" applyBorder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16" fillId="0" borderId="0" xfId="3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5" fillId="0" borderId="0" xfId="3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0" fontId="8" fillId="0" borderId="0" xfId="8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182" fontId="16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8" fillId="0" borderId="0" xfId="0" applyFont="1"/>
    <xf numFmtId="0" fontId="4" fillId="0" borderId="0" xfId="0" applyFont="1"/>
    <xf numFmtId="0" fontId="25" fillId="0" borderId="0" xfId="3" applyFont="1"/>
    <xf numFmtId="0" fontId="19" fillId="0" borderId="0" xfId="3" applyFont="1"/>
    <xf numFmtId="0" fontId="16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2" fillId="0" borderId="1" xfId="0" applyFont="1" applyBorder="1" applyAlignment="1">
      <alignment vertical="center"/>
    </xf>
    <xf numFmtId="176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2" fillId="0" borderId="1" xfId="79" applyFont="1" applyBorder="1" applyAlignment="1">
      <alignment horizontal="center" vertical="center" wrapText="1"/>
    </xf>
    <xf numFmtId="0" fontId="16" fillId="0" borderId="1" xfId="79" applyFont="1" applyBorder="1" applyAlignment="1">
      <alignment horizontal="center" vertical="center" wrapText="1"/>
    </xf>
    <xf numFmtId="0" fontId="20" fillId="0" borderId="0" xfId="3" applyFont="1" applyAlignment="1">
      <alignment vertical="center"/>
    </xf>
    <xf numFmtId="0" fontId="16" fillId="0" borderId="0" xfId="81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0" borderId="1" xfId="79" applyFont="1" applyBorder="1" applyAlignment="1">
      <alignment horizontal="center" vertical="center" wrapText="1"/>
    </xf>
    <xf numFmtId="186" fontId="16" fillId="0" borderId="0" xfId="0" applyNumberFormat="1" applyFont="1" applyAlignment="1">
      <alignment horizontal="left" vertical="center"/>
    </xf>
    <xf numFmtId="177" fontId="16" fillId="0" borderId="0" xfId="3" applyNumberFormat="1" applyFont="1"/>
    <xf numFmtId="177" fontId="16" fillId="0" borderId="1" xfId="0" applyNumberFormat="1" applyFont="1" applyBorder="1" applyAlignment="1">
      <alignment horizontal="center" vertical="center" wrapText="1"/>
    </xf>
    <xf numFmtId="177" fontId="16" fillId="0" borderId="0" xfId="0" applyNumberFormat="1" applyFont="1"/>
    <xf numFmtId="179" fontId="16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vertical="center"/>
    </xf>
    <xf numFmtId="181" fontId="16" fillId="0" borderId="1" xfId="0" applyNumberFormat="1" applyFont="1" applyBorder="1" applyAlignment="1">
      <alignment horizontal="center" vertical="center" wrapText="1"/>
    </xf>
    <xf numFmtId="177" fontId="12" fillId="0" borderId="0" xfId="0" applyNumberFormat="1" applyFont="1" applyAlignment="1">
      <alignment vertical="center"/>
    </xf>
    <xf numFmtId="177" fontId="12" fillId="0" borderId="1" xfId="79" applyNumberFormat="1" applyFont="1" applyBorder="1" applyAlignment="1">
      <alignment horizontal="center" vertical="center" wrapText="1"/>
    </xf>
    <xf numFmtId="177" fontId="20" fillId="0" borderId="0" xfId="0" applyNumberFormat="1" applyFont="1" applyAlignment="1">
      <alignment horizontal="right" vertical="center"/>
    </xf>
    <xf numFmtId="177" fontId="16" fillId="0" borderId="4" xfId="0" applyNumberFormat="1" applyFont="1" applyBorder="1" applyAlignment="1">
      <alignment horizontal="center" vertical="center" wrapText="1"/>
    </xf>
    <xf numFmtId="183" fontId="16" fillId="0" borderId="1" xfId="2" applyNumberFormat="1" applyFont="1" applyBorder="1" applyAlignment="1">
      <alignment horizontal="center" vertical="center" wrapText="1"/>
    </xf>
    <xf numFmtId="177" fontId="16" fillId="0" borderId="1" xfId="2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83" fontId="16" fillId="0" borderId="1" xfId="0" applyNumberFormat="1" applyFont="1" applyBorder="1" applyAlignment="1">
      <alignment horizontal="center" vertical="center" wrapText="1"/>
    </xf>
    <xf numFmtId="182" fontId="16" fillId="0" borderId="4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82" fontId="16" fillId="0" borderId="1" xfId="0" applyNumberFormat="1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 wrapText="1"/>
    </xf>
    <xf numFmtId="183" fontId="16" fillId="0" borderId="1" xfId="79" applyNumberFormat="1" applyFont="1" applyBorder="1" applyAlignment="1">
      <alignment horizontal="center" vertical="center"/>
    </xf>
    <xf numFmtId="177" fontId="16" fillId="0" borderId="1" xfId="79" applyNumberFormat="1" applyFont="1" applyBorder="1" applyAlignment="1">
      <alignment horizontal="center" vertical="center"/>
    </xf>
    <xf numFmtId="183" fontId="16" fillId="0" borderId="1" xfId="79" applyNumberFormat="1" applyFont="1" applyBorder="1" applyAlignment="1">
      <alignment horizontal="center" vertical="center" wrapText="1"/>
    </xf>
    <xf numFmtId="177" fontId="16" fillId="0" borderId="1" xfId="79" applyNumberFormat="1" applyFont="1" applyBorder="1" applyAlignment="1">
      <alignment horizontal="center" vertical="center" wrapText="1"/>
    </xf>
    <xf numFmtId="1" fontId="0" fillId="0" borderId="0" xfId="0" applyNumberFormat="1"/>
    <xf numFmtId="0" fontId="16" fillId="0" borderId="1" xfId="0" applyFon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0" fontId="16" fillId="0" borderId="1" xfId="5" applyFont="1" applyFill="1" applyBorder="1" applyAlignment="1">
      <alignment horizontal="center" vertical="center"/>
    </xf>
    <xf numFmtId="177" fontId="16" fillId="0" borderId="0" xfId="0" applyNumberFormat="1" applyFont="1" applyAlignment="1">
      <alignment horizontal="left"/>
    </xf>
    <xf numFmtId="180" fontId="16" fillId="0" borderId="0" xfId="0" applyNumberFormat="1" applyFont="1" applyAlignment="1">
      <alignment horizontal="right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right" vertical="center"/>
    </xf>
    <xf numFmtId="183" fontId="16" fillId="0" borderId="23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right" vertical="center"/>
    </xf>
    <xf numFmtId="183" fontId="16" fillId="0" borderId="24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4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182" fontId="16" fillId="0" borderId="2" xfId="0" applyNumberFormat="1" applyFont="1" applyBorder="1" applyAlignment="1" applyProtection="1">
      <alignment horizontal="center" vertical="center" wrapText="1"/>
      <protection locked="0"/>
    </xf>
    <xf numFmtId="182" fontId="16" fillId="0" borderId="1" xfId="0" applyNumberFormat="1" applyFont="1" applyBorder="1" applyAlignment="1" applyProtection="1">
      <alignment horizontal="center" vertical="center"/>
      <protection locked="0"/>
    </xf>
    <xf numFmtId="177" fontId="16" fillId="0" borderId="1" xfId="0" applyNumberFormat="1" applyFont="1" applyBorder="1" applyAlignment="1" applyProtection="1">
      <alignment horizontal="center" vertical="center"/>
      <protection locked="0"/>
    </xf>
    <xf numFmtId="179" fontId="16" fillId="0" borderId="1" xfId="0" applyNumberFormat="1" applyFont="1" applyBorder="1" applyAlignment="1" applyProtection="1">
      <alignment horizontal="center" vertical="center"/>
      <protection locked="0"/>
    </xf>
    <xf numFmtId="176" fontId="16" fillId="0" borderId="0" xfId="0" applyNumberFormat="1" applyFont="1" applyAlignment="1">
      <alignment horizontal="center" vertical="center"/>
    </xf>
    <xf numFmtId="22" fontId="12" fillId="0" borderId="0" xfId="0" applyNumberFormat="1" applyFont="1"/>
    <xf numFmtId="177" fontId="16" fillId="4" borderId="1" xfId="0" applyNumberFormat="1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0" xfId="3" applyFont="1"/>
    <xf numFmtId="0" fontId="54" fillId="0" borderId="0" xfId="0" applyFont="1" applyAlignment="1">
      <alignment vertical="center"/>
    </xf>
    <xf numFmtId="177" fontId="16" fillId="0" borderId="0" xfId="0" applyNumberFormat="1" applyFont="1" applyAlignment="1">
      <alignment horizontal="center" vertical="center" wrapText="1"/>
    </xf>
    <xf numFmtId="177" fontId="5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/>
    </xf>
    <xf numFmtId="185" fontId="16" fillId="0" borderId="0" xfId="0" applyNumberFormat="1" applyFont="1" applyAlignment="1">
      <alignment horizontal="left" vertical="center"/>
    </xf>
    <xf numFmtId="20" fontId="16" fillId="0" borderId="0" xfId="0" applyNumberFormat="1" applyFont="1"/>
    <xf numFmtId="0" fontId="51" fillId="0" borderId="0" xfId="0" applyFont="1"/>
    <xf numFmtId="178" fontId="16" fillId="3" borderId="2" xfId="0" applyNumberFormat="1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177" fontId="16" fillId="4" borderId="1" xfId="79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22" fontId="12" fillId="0" borderId="0" xfId="0" applyNumberFormat="1" applyFont="1" applyAlignment="1">
      <alignment horizontal="left" vertical="center"/>
    </xf>
    <xf numFmtId="186" fontId="22" fillId="0" borderId="0" xfId="0" applyNumberFormat="1" applyFont="1" applyAlignment="1">
      <alignment horizontal="left" vertical="center"/>
    </xf>
    <xf numFmtId="0" fontId="23" fillId="0" borderId="0" xfId="7" applyFont="1" applyAlignment="1">
      <alignment horizontal="left" vertical="center"/>
    </xf>
    <xf numFmtId="184" fontId="23" fillId="0" borderId="0" xfId="8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54" fillId="0" borderId="0" xfId="0" applyFont="1"/>
    <xf numFmtId="0" fontId="48" fillId="0" borderId="4" xfId="0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/>
    </xf>
    <xf numFmtId="177" fontId="16" fillId="4" borderId="1" xfId="2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1" fontId="16" fillId="0" borderId="2" xfId="0" applyNumberFormat="1" applyFon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center" vertical="center" wrapText="1"/>
    </xf>
    <xf numFmtId="177" fontId="48" fillId="0" borderId="1" xfId="0" applyNumberFormat="1" applyFont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79" fontId="16" fillId="0" borderId="2" xfId="0" applyNumberFormat="1" applyFont="1" applyBorder="1" applyAlignment="1">
      <alignment horizontal="center" vertical="center"/>
    </xf>
    <xf numFmtId="179" fontId="16" fillId="0" borderId="9" xfId="0" applyNumberFormat="1" applyFont="1" applyBorder="1" applyAlignment="1">
      <alignment horizontal="center" vertical="center"/>
    </xf>
    <xf numFmtId="179" fontId="16" fillId="0" borderId="3" xfId="0" applyNumberFormat="1" applyFont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177" fontId="16" fillId="0" borderId="9" xfId="0" applyNumberFormat="1" applyFont="1" applyBorder="1" applyAlignment="1">
      <alignment horizontal="center" vertical="center"/>
    </xf>
    <xf numFmtId="177" fontId="16" fillId="0" borderId="3" xfId="0" applyNumberFormat="1" applyFont="1" applyBorder="1" applyAlignment="1">
      <alignment horizontal="center" vertical="center"/>
    </xf>
    <xf numFmtId="181" fontId="1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181" fontId="16" fillId="0" borderId="1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81" fontId="16" fillId="0" borderId="1" xfId="0" applyNumberFormat="1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0" fontId="16" fillId="0" borderId="21" xfId="0" applyFont="1" applyBorder="1" applyAlignment="1" applyProtection="1">
      <alignment horizontal="left" vertical="center" wrapText="1"/>
      <protection locked="0"/>
    </xf>
    <xf numFmtId="0" fontId="16" fillId="0" borderId="19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6" fillId="0" borderId="7" xfId="0" applyFont="1" applyBorder="1" applyAlignment="1">
      <alignment horizontal="left" vertical="center"/>
    </xf>
    <xf numFmtId="177" fontId="16" fillId="0" borderId="13" xfId="79" applyNumberFormat="1" applyFont="1" applyBorder="1" applyAlignment="1">
      <alignment horizontal="center" vertical="center" wrapText="1"/>
    </xf>
    <xf numFmtId="177" fontId="16" fillId="0" borderId="14" xfId="79" applyNumberFormat="1" applyFont="1" applyBorder="1" applyAlignment="1">
      <alignment horizontal="center" vertical="center" wrapText="1"/>
    </xf>
    <xf numFmtId="177" fontId="16" fillId="0" borderId="17" xfId="79" applyNumberFormat="1" applyFont="1" applyBorder="1" applyAlignment="1">
      <alignment horizontal="center" vertical="center" wrapText="1"/>
    </xf>
    <xf numFmtId="177" fontId="16" fillId="0" borderId="18" xfId="79" applyNumberFormat="1" applyFont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/>
    </xf>
    <xf numFmtId="177" fontId="51" fillId="0" borderId="1" xfId="0" applyNumberFormat="1" applyFont="1" applyBorder="1" applyAlignment="1">
      <alignment horizontal="center" vertical="center"/>
    </xf>
    <xf numFmtId="0" fontId="48" fillId="0" borderId="4" xfId="79" applyFont="1" applyBorder="1" applyAlignment="1">
      <alignment horizontal="left" vertical="center" wrapText="1"/>
    </xf>
    <xf numFmtId="0" fontId="16" fillId="0" borderId="8" xfId="79" applyFont="1" applyBorder="1" applyAlignment="1">
      <alignment horizontal="left" vertical="center" wrapText="1"/>
    </xf>
    <xf numFmtId="0" fontId="16" fillId="0" borderId="6" xfId="79" applyFont="1" applyBorder="1" applyAlignment="1">
      <alignment horizontal="left" vertical="center" wrapText="1"/>
    </xf>
    <xf numFmtId="0" fontId="12" fillId="0" borderId="5" xfId="79" applyFont="1" applyBorder="1" applyAlignment="1">
      <alignment horizontal="center" vertical="center" wrapText="1"/>
    </xf>
    <xf numFmtId="0" fontId="12" fillId="0" borderId="1" xfId="79" applyFont="1" applyBorder="1" applyAlignment="1">
      <alignment horizontal="center" vertical="center" wrapText="1"/>
    </xf>
    <xf numFmtId="0" fontId="12" fillId="0" borderId="4" xfId="79" applyFont="1" applyBorder="1" applyAlignment="1">
      <alignment horizontal="center" vertical="center" wrapText="1"/>
    </xf>
    <xf numFmtId="0" fontId="12" fillId="0" borderId="8" xfId="79" applyFont="1" applyBorder="1" applyAlignment="1">
      <alignment horizontal="center" vertical="center" wrapText="1"/>
    </xf>
    <xf numFmtId="0" fontId="12" fillId="0" borderId="6" xfId="79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77" fontId="16" fillId="0" borderId="2" xfId="0" applyNumberFormat="1" applyFont="1" applyBorder="1" applyAlignment="1">
      <alignment horizontal="center" vertical="center" wrapText="1"/>
    </xf>
    <xf numFmtId="177" fontId="16" fillId="0" borderId="9" xfId="0" applyNumberFormat="1" applyFont="1" applyBorder="1" applyAlignment="1">
      <alignment horizontal="center" vertical="center" wrapText="1"/>
    </xf>
    <xf numFmtId="177" fontId="16" fillId="0" borderId="3" xfId="0" applyNumberFormat="1" applyFont="1" applyBorder="1" applyAlignment="1">
      <alignment horizontal="center" vertical="center" wrapText="1"/>
    </xf>
    <xf numFmtId="177" fontId="16" fillId="0" borderId="10" xfId="0" applyNumberFormat="1" applyFont="1" applyBorder="1" applyAlignment="1">
      <alignment horizontal="center" vertical="center" wrapText="1"/>
    </xf>
    <xf numFmtId="177" fontId="16" fillId="0" borderId="11" xfId="0" applyNumberFormat="1" applyFont="1" applyBorder="1" applyAlignment="1">
      <alignment horizontal="center" vertical="center" wrapText="1"/>
    </xf>
    <xf numFmtId="177" fontId="16" fillId="0" borderId="12" xfId="0" applyNumberFormat="1" applyFont="1" applyBorder="1" applyAlignment="1">
      <alignment horizontal="center" vertical="center" wrapText="1"/>
    </xf>
    <xf numFmtId="0" fontId="48" fillId="0" borderId="7" xfId="0" applyFont="1" applyBorder="1" applyAlignment="1">
      <alignment horizontal="left"/>
    </xf>
    <xf numFmtId="181" fontId="16" fillId="0" borderId="2" xfId="0" applyNumberFormat="1" applyFont="1" applyBorder="1" applyAlignment="1">
      <alignment horizontal="center" vertical="center" wrapText="1"/>
    </xf>
    <xf numFmtId="181" fontId="16" fillId="0" borderId="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81" fontId="16" fillId="3" borderId="1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48" fillId="35" borderId="1" xfId="0" applyFont="1" applyFill="1" applyBorder="1" applyAlignment="1">
      <alignment horizontal="center" vertical="center" wrapText="1"/>
    </xf>
    <xf numFmtId="0" fontId="16" fillId="35" borderId="1" xfId="0" applyFont="1" applyFill="1" applyBorder="1" applyAlignment="1">
      <alignment horizontal="center" vertical="center" wrapText="1"/>
    </xf>
  </cellXfs>
  <cellStyles count="83">
    <cellStyle name="20% - Accent1" xfId="36" xr:uid="{00000000-0005-0000-0000-000000000000}"/>
    <cellStyle name="20% - Accent2" xfId="37" xr:uid="{00000000-0005-0000-0000-000001000000}"/>
    <cellStyle name="20% - Accent3" xfId="38" xr:uid="{00000000-0005-0000-0000-000002000000}"/>
    <cellStyle name="20% - Accent4" xfId="39" xr:uid="{00000000-0005-0000-0000-000003000000}"/>
    <cellStyle name="20% - Accent5" xfId="40" xr:uid="{00000000-0005-0000-0000-000004000000}"/>
    <cellStyle name="20% - Accent6" xfId="41" xr:uid="{00000000-0005-0000-0000-000005000000}"/>
    <cellStyle name="20% - 强调文字颜色 1" xfId="9" xr:uid="{00000000-0005-0000-0000-000006000000}"/>
    <cellStyle name="20% - 强调文字颜色 2" xfId="10" xr:uid="{00000000-0005-0000-0000-000007000000}"/>
    <cellStyle name="20% - 强调文字颜色 3" xfId="11" xr:uid="{00000000-0005-0000-0000-000008000000}"/>
    <cellStyle name="20% - 强调文字颜色 4" xfId="12" xr:uid="{00000000-0005-0000-0000-000009000000}"/>
    <cellStyle name="20% - 强调文字颜色 5" xfId="13" xr:uid="{00000000-0005-0000-0000-00000A000000}"/>
    <cellStyle name="20% - 强调文字颜色 6" xfId="14" xr:uid="{00000000-0005-0000-0000-00000B000000}"/>
    <cellStyle name="40% - Accent1" xfId="42" xr:uid="{00000000-0005-0000-0000-00000C000000}"/>
    <cellStyle name="40% - Accent2" xfId="43" xr:uid="{00000000-0005-0000-0000-00000D000000}"/>
    <cellStyle name="40% - Accent3" xfId="44" xr:uid="{00000000-0005-0000-0000-00000E000000}"/>
    <cellStyle name="40% - Accent4" xfId="45" xr:uid="{00000000-0005-0000-0000-00000F000000}"/>
    <cellStyle name="40% - Accent5" xfId="46" xr:uid="{00000000-0005-0000-0000-000010000000}"/>
    <cellStyle name="40% - Accent6" xfId="47" xr:uid="{00000000-0005-0000-0000-000011000000}"/>
    <cellStyle name="40% - 强调文字颜色 1" xfId="15" xr:uid="{00000000-0005-0000-0000-000012000000}"/>
    <cellStyle name="40% - 强调文字颜色 2" xfId="16" xr:uid="{00000000-0005-0000-0000-000013000000}"/>
    <cellStyle name="40% - 强调文字颜色 3" xfId="17" xr:uid="{00000000-0005-0000-0000-000014000000}"/>
    <cellStyle name="40% - 强调文字颜色 4" xfId="18" xr:uid="{00000000-0005-0000-0000-000015000000}"/>
    <cellStyle name="40% - 强调文字颜色 5" xfId="19" xr:uid="{00000000-0005-0000-0000-000016000000}"/>
    <cellStyle name="40% - 强调文字颜色 6" xfId="20" xr:uid="{00000000-0005-0000-0000-000017000000}"/>
    <cellStyle name="60% - Accent1" xfId="48" xr:uid="{00000000-0005-0000-0000-000018000000}"/>
    <cellStyle name="60% - Accent2" xfId="49" xr:uid="{00000000-0005-0000-0000-000019000000}"/>
    <cellStyle name="60% - Accent3" xfId="50" xr:uid="{00000000-0005-0000-0000-00001A000000}"/>
    <cellStyle name="60% - Accent4" xfId="51" xr:uid="{00000000-0005-0000-0000-00001B000000}"/>
    <cellStyle name="60% - Accent5" xfId="52" xr:uid="{00000000-0005-0000-0000-00001C000000}"/>
    <cellStyle name="60% - Accent6" xfId="53" xr:uid="{00000000-0005-0000-0000-00001D000000}"/>
    <cellStyle name="60% - 强调文字颜色 1" xfId="21" xr:uid="{00000000-0005-0000-0000-00001E000000}"/>
    <cellStyle name="60% - 强调文字颜色 2" xfId="22" xr:uid="{00000000-0005-0000-0000-00001F000000}"/>
    <cellStyle name="60% - 强调文字颜色 3" xfId="23" xr:uid="{00000000-0005-0000-0000-000020000000}"/>
    <cellStyle name="60% - 强调文字颜色 4" xfId="24" xr:uid="{00000000-0005-0000-0000-000021000000}"/>
    <cellStyle name="60% - 强调文字颜色 5" xfId="25" xr:uid="{00000000-0005-0000-0000-000022000000}"/>
    <cellStyle name="60% - 强调文字颜色 6" xfId="26" xr:uid="{00000000-0005-0000-0000-000023000000}"/>
    <cellStyle name="Accent1" xfId="54" xr:uid="{00000000-0005-0000-0000-000024000000}"/>
    <cellStyle name="Accent2" xfId="55" xr:uid="{00000000-0005-0000-0000-000025000000}"/>
    <cellStyle name="Accent3" xfId="56" xr:uid="{00000000-0005-0000-0000-000026000000}"/>
    <cellStyle name="Accent4" xfId="57" xr:uid="{00000000-0005-0000-0000-000027000000}"/>
    <cellStyle name="Accent5" xfId="58" xr:uid="{00000000-0005-0000-0000-000028000000}"/>
    <cellStyle name="Accent6" xfId="59" xr:uid="{00000000-0005-0000-0000-000029000000}"/>
    <cellStyle name="Bad" xfId="60" xr:uid="{00000000-0005-0000-0000-00002A000000}"/>
    <cellStyle name="Bad 2" xfId="1" xr:uid="{00000000-0005-0000-0000-00002B000000}"/>
    <cellStyle name="Bad_表11_Recovery" xfId="77" xr:uid="{00000000-0005-0000-0000-00002C000000}"/>
    <cellStyle name="Calculation" xfId="61" xr:uid="{00000000-0005-0000-0000-00002D000000}"/>
    <cellStyle name="Check Cell" xfId="62" xr:uid="{00000000-0005-0000-0000-00002E000000}"/>
    <cellStyle name="Explanatory Text" xfId="63" xr:uid="{00000000-0005-0000-0000-00002F000000}"/>
    <cellStyle name="Good" xfId="64" xr:uid="{00000000-0005-0000-0000-000030000000}"/>
    <cellStyle name="Heading 1" xfId="65" xr:uid="{00000000-0005-0000-0000-000031000000}"/>
    <cellStyle name="Heading 2" xfId="66" xr:uid="{00000000-0005-0000-0000-000032000000}"/>
    <cellStyle name="Heading 3" xfId="67" xr:uid="{00000000-0005-0000-0000-000033000000}"/>
    <cellStyle name="Heading 4" xfId="68" xr:uid="{00000000-0005-0000-0000-000034000000}"/>
    <cellStyle name="Input" xfId="69" xr:uid="{00000000-0005-0000-0000-000035000000}"/>
    <cellStyle name="Linked Cell" xfId="70" xr:uid="{00000000-0005-0000-0000-000036000000}"/>
    <cellStyle name="Neutral" xfId="71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7" xr:uid="{00000000-0005-0000-0000-00003A000000}"/>
    <cellStyle name="Normal_TABLE2" xfId="8" xr:uid="{00000000-0005-0000-0000-00003B000000}"/>
    <cellStyle name="Note" xfId="72" xr:uid="{00000000-0005-0000-0000-00003C000000}"/>
    <cellStyle name="Output" xfId="73" xr:uid="{00000000-0005-0000-0000-00003D000000}"/>
    <cellStyle name="Percent 2" xfId="4" xr:uid="{00000000-0005-0000-0000-00003E000000}"/>
    <cellStyle name="Title" xfId="74" xr:uid="{00000000-0005-0000-0000-00003F000000}"/>
    <cellStyle name="Total" xfId="75" xr:uid="{00000000-0005-0000-0000-000040000000}"/>
    <cellStyle name="Warning Text" xfId="76" xr:uid="{00000000-0005-0000-0000-000041000000}"/>
    <cellStyle name="差" xfId="5" builtinId="27"/>
    <cellStyle name="差_1.1" xfId="27" xr:uid="{00000000-0005-0000-0000-000043000000}"/>
    <cellStyle name="差_表11_Recovery" xfId="78" xr:uid="{00000000-0005-0000-0000-000044000000}"/>
    <cellStyle name="差_表25_干扰" xfId="82" xr:uid="{00000000-0005-0000-0000-000045000000}"/>
    <cellStyle name="常规" xfId="0" builtinId="0"/>
    <cellStyle name="常规 2" xfId="28" xr:uid="{00000000-0005-0000-0000-000047000000}"/>
    <cellStyle name="常规 2 2" xfId="6" xr:uid="{00000000-0005-0000-0000-000048000000}"/>
    <cellStyle name="常规_表11_Recovery" xfId="79" xr:uid="{00000000-0005-0000-0000-00004A000000}"/>
    <cellStyle name="常规_表25_干扰" xfId="81" xr:uid="{00000000-0005-0000-0000-00004B000000}"/>
    <cellStyle name="好_1.1" xfId="29" xr:uid="{00000000-0005-0000-0000-00004C000000}"/>
    <cellStyle name="好_表11_Recovery" xfId="80" xr:uid="{00000000-0005-0000-0000-00004D000000}"/>
    <cellStyle name="强调文字颜色 1" xfId="30" xr:uid="{00000000-0005-0000-0000-00004E000000}"/>
    <cellStyle name="强调文字颜色 2" xfId="31" xr:uid="{00000000-0005-0000-0000-00004F000000}"/>
    <cellStyle name="强调文字颜色 3" xfId="32" xr:uid="{00000000-0005-0000-0000-000050000000}"/>
    <cellStyle name="强调文字颜色 4" xfId="33" xr:uid="{00000000-0005-0000-0000-000051000000}"/>
    <cellStyle name="强调文字颜色 5" xfId="34" xr:uid="{00000000-0005-0000-0000-000052000000}"/>
    <cellStyle name="强调文字颜色 6" xfId="35" xr:uid="{00000000-0005-0000-0000-00005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2:H24"/>
  <sheetViews>
    <sheetView zoomScaleNormal="100" zoomScaleSheetLayoutView="190" workbookViewId="0">
      <selection activeCell="I21" sqref="I21"/>
    </sheetView>
  </sheetViews>
  <sheetFormatPr defaultColWidth="8.875" defaultRowHeight="13.5"/>
  <cols>
    <col min="1" max="1" width="7.875" style="7" customWidth="1"/>
    <col min="2" max="2" width="43.75" style="7" customWidth="1"/>
    <col min="3" max="3" width="12.25" style="7" customWidth="1"/>
    <col min="4" max="4" width="13.25" style="7" customWidth="1"/>
    <col min="5" max="5" width="13.875" style="13" customWidth="1"/>
    <col min="6" max="6" width="13.875" style="7" customWidth="1"/>
    <col min="7" max="7" width="8.875" style="7"/>
    <col min="8" max="8" width="9.625" style="7" bestFit="1" customWidth="1"/>
    <col min="9" max="16384" width="8.875" style="7"/>
  </cols>
  <sheetData>
    <row r="2" spans="1:7">
      <c r="A2" s="140" t="s">
        <v>38</v>
      </c>
      <c r="B2" s="140"/>
      <c r="C2" s="9"/>
    </row>
    <row r="3" spans="1:7">
      <c r="A3" s="11"/>
    </row>
    <row r="4" spans="1:7" ht="31.5" customHeight="1">
      <c r="A4" s="42" t="s">
        <v>9</v>
      </c>
      <c r="B4" s="42" t="s">
        <v>10</v>
      </c>
      <c r="C4" s="42" t="s">
        <v>53</v>
      </c>
      <c r="D4" s="42" t="s">
        <v>11</v>
      </c>
      <c r="E4" s="42" t="s">
        <v>162</v>
      </c>
      <c r="F4" s="42" t="s">
        <v>163</v>
      </c>
      <c r="G4" s="46" t="s">
        <v>54</v>
      </c>
    </row>
    <row r="5" spans="1:7" ht="26.25">
      <c r="A5" s="14">
        <v>1</v>
      </c>
      <c r="B5" s="99" t="s">
        <v>198</v>
      </c>
      <c r="C5" s="67">
        <v>45792</v>
      </c>
      <c r="D5" s="67">
        <v>45792</v>
      </c>
      <c r="E5" s="42" t="s">
        <v>199</v>
      </c>
      <c r="F5" s="42" t="s">
        <v>199</v>
      </c>
      <c r="G5" s="86" t="s">
        <v>161</v>
      </c>
    </row>
    <row r="6" spans="1:7" ht="16.5">
      <c r="A6" s="14">
        <v>2</v>
      </c>
      <c r="B6" s="100" t="s">
        <v>164</v>
      </c>
      <c r="C6" s="67">
        <v>45793</v>
      </c>
      <c r="D6" s="67">
        <v>45794</v>
      </c>
      <c r="E6" s="42" t="s">
        <v>166</v>
      </c>
      <c r="F6" s="42" t="s">
        <v>166</v>
      </c>
      <c r="G6" s="86" t="s">
        <v>161</v>
      </c>
    </row>
    <row r="7" spans="1:7" ht="39.75">
      <c r="A7" s="14">
        <v>3</v>
      </c>
      <c r="B7" s="99" t="s">
        <v>200</v>
      </c>
      <c r="C7" s="67">
        <v>45793</v>
      </c>
      <c r="D7" s="67">
        <v>45794</v>
      </c>
      <c r="E7" s="42" t="s">
        <v>201</v>
      </c>
      <c r="F7" s="42" t="s">
        <v>202</v>
      </c>
      <c r="G7" s="86" t="s">
        <v>161</v>
      </c>
    </row>
    <row r="8" spans="1:7" ht="16.5">
      <c r="A8" s="14">
        <v>4</v>
      </c>
      <c r="B8" s="100" t="s">
        <v>164</v>
      </c>
      <c r="C8" s="67">
        <v>45796</v>
      </c>
      <c r="D8" s="67">
        <v>45798</v>
      </c>
      <c r="E8" s="42" t="s">
        <v>167</v>
      </c>
      <c r="F8" s="42" t="s">
        <v>167</v>
      </c>
      <c r="G8" s="86" t="s">
        <v>161</v>
      </c>
    </row>
    <row r="9" spans="1:7" ht="38.25">
      <c r="A9" s="14">
        <v>5</v>
      </c>
      <c r="B9" s="100" t="s">
        <v>176</v>
      </c>
      <c r="C9" s="67">
        <v>45805</v>
      </c>
      <c r="D9" s="67">
        <v>45805</v>
      </c>
      <c r="E9" s="42" t="s">
        <v>168</v>
      </c>
      <c r="F9" s="42" t="s">
        <v>203</v>
      </c>
      <c r="G9" s="86" t="s">
        <v>161</v>
      </c>
    </row>
    <row r="10" spans="1:7" ht="30">
      <c r="A10" s="14">
        <v>6</v>
      </c>
      <c r="B10" s="99" t="s">
        <v>204</v>
      </c>
      <c r="C10" s="67">
        <v>45811</v>
      </c>
      <c r="D10" s="67">
        <v>45811</v>
      </c>
      <c r="E10" s="42" t="s">
        <v>168</v>
      </c>
      <c r="F10" s="42" t="s">
        <v>168</v>
      </c>
      <c r="G10" s="86" t="s">
        <v>161</v>
      </c>
    </row>
    <row r="11" spans="1:7" ht="31.5" customHeight="1">
      <c r="A11" s="14">
        <v>7</v>
      </c>
      <c r="B11" s="99" t="s">
        <v>205</v>
      </c>
      <c r="C11" s="67">
        <v>45818</v>
      </c>
      <c r="D11" s="67">
        <v>45819</v>
      </c>
      <c r="E11" s="42" t="s">
        <v>168</v>
      </c>
      <c r="F11" s="42" t="s">
        <v>168</v>
      </c>
      <c r="G11" s="86" t="s">
        <v>161</v>
      </c>
    </row>
    <row r="12" spans="1:7">
      <c r="A12" s="10" t="s">
        <v>55</v>
      </c>
    </row>
    <row r="13" spans="1:7" ht="14.25" customHeight="1">
      <c r="A13" s="138" t="s">
        <v>206</v>
      </c>
      <c r="B13" s="138"/>
      <c r="C13" s="138"/>
      <c r="D13" s="138"/>
      <c r="E13" s="138"/>
      <c r="F13" s="138"/>
      <c r="G13" s="138"/>
    </row>
    <row r="14" spans="1:7">
      <c r="A14" s="139" t="s">
        <v>210</v>
      </c>
      <c r="B14" s="138"/>
      <c r="C14" s="138"/>
      <c r="D14" s="138"/>
      <c r="E14" s="138"/>
      <c r="F14" s="138"/>
      <c r="G14" s="138"/>
    </row>
    <row r="15" spans="1:7">
      <c r="A15" s="139" t="s">
        <v>207</v>
      </c>
      <c r="B15" s="138"/>
      <c r="C15" s="138"/>
      <c r="D15" s="138"/>
      <c r="E15" s="138"/>
      <c r="F15" s="138"/>
      <c r="G15" s="138"/>
    </row>
    <row r="16" spans="1:7">
      <c r="A16" s="138" t="s">
        <v>165</v>
      </c>
      <c r="B16" s="138"/>
      <c r="C16" s="138"/>
      <c r="D16" s="138"/>
      <c r="E16" s="138"/>
      <c r="F16" s="138"/>
      <c r="G16" s="138"/>
    </row>
    <row r="17" spans="1:8">
      <c r="A17" s="139" t="s">
        <v>211</v>
      </c>
      <c r="B17" s="138"/>
      <c r="C17" s="138"/>
      <c r="D17" s="138"/>
      <c r="E17" s="138"/>
      <c r="F17" s="138"/>
      <c r="G17" s="138"/>
    </row>
    <row r="18" spans="1:8">
      <c r="A18" s="138" t="s">
        <v>208</v>
      </c>
      <c r="B18" s="138"/>
      <c r="C18" s="138"/>
      <c r="D18" s="138"/>
      <c r="E18" s="138"/>
      <c r="F18" s="138"/>
      <c r="G18" s="138"/>
    </row>
    <row r="19" spans="1:8" ht="15">
      <c r="B19" s="12"/>
      <c r="C19" s="12"/>
      <c r="D19" s="12"/>
      <c r="E19" s="7"/>
    </row>
    <row r="20" spans="1:8" ht="15">
      <c r="B20" s="12"/>
      <c r="C20" s="12"/>
      <c r="D20" s="12"/>
      <c r="E20" s="7"/>
    </row>
    <row r="21" spans="1:8" ht="15">
      <c r="B21" s="12"/>
      <c r="C21" s="12"/>
      <c r="D21" s="12"/>
      <c r="E21" s="12"/>
    </row>
    <row r="22" spans="1:8" ht="15">
      <c r="B22" s="12"/>
      <c r="C22" s="12"/>
      <c r="D22" s="12"/>
      <c r="E22" s="12"/>
      <c r="G22" s="16"/>
      <c r="H22" s="16"/>
    </row>
    <row r="23" spans="1:8" ht="15">
      <c r="B23" s="12"/>
      <c r="C23" s="12"/>
      <c r="D23" s="12"/>
      <c r="E23" s="12"/>
    </row>
    <row r="24" spans="1:8" ht="15">
      <c r="B24" s="12"/>
      <c r="C24" s="12"/>
      <c r="D24" s="12"/>
      <c r="E24" s="12"/>
    </row>
  </sheetData>
  <mergeCells count="7">
    <mergeCell ref="A18:G18"/>
    <mergeCell ref="A17:G17"/>
    <mergeCell ref="A2:B2"/>
    <mergeCell ref="A13:G13"/>
    <mergeCell ref="A14:G14"/>
    <mergeCell ref="A15:G15"/>
    <mergeCell ref="A16:G16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 1632MV7生物分析方法学验证数据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J31"/>
  <sheetViews>
    <sheetView zoomScaleNormal="100" zoomScaleSheetLayoutView="115" workbookViewId="0">
      <selection activeCell="M7" sqref="M7"/>
    </sheetView>
  </sheetViews>
  <sheetFormatPr defaultColWidth="8.875" defaultRowHeight="13.5"/>
  <cols>
    <col min="1" max="1" width="8.75" style="8" customWidth="1"/>
    <col min="2" max="2" width="19.25" style="8" customWidth="1"/>
    <col min="3" max="3" width="10.375" style="8" customWidth="1"/>
    <col min="4" max="4" width="20.625" style="8" customWidth="1"/>
    <col min="5" max="6" width="10.375" style="8" customWidth="1"/>
    <col min="7" max="7" width="20.125" style="8" customWidth="1"/>
    <col min="8" max="8" width="10.375" style="8" customWidth="1"/>
    <col min="9" max="16384" width="8.875" style="8"/>
  </cols>
  <sheetData>
    <row r="1" spans="1:10" ht="15" customHeight="1"/>
    <row r="2" spans="1:10" ht="15" customHeight="1">
      <c r="A2" s="138" t="s">
        <v>37</v>
      </c>
      <c r="B2" s="138"/>
      <c r="C2" s="138"/>
    </row>
    <row r="3" spans="1:10" ht="15" customHeight="1">
      <c r="A3" s="10"/>
      <c r="B3" s="10"/>
      <c r="C3" s="10"/>
    </row>
    <row r="4" spans="1:10" ht="15" customHeight="1">
      <c r="A4" s="10" t="s">
        <v>109</v>
      </c>
      <c r="C4" s="8" t="s">
        <v>81</v>
      </c>
    </row>
    <row r="5" spans="1:10" ht="15" customHeight="1">
      <c r="A5" s="148" t="s">
        <v>110</v>
      </c>
      <c r="B5" s="149"/>
      <c r="C5" s="149"/>
      <c r="D5" s="149"/>
      <c r="E5" s="149"/>
      <c r="F5" s="149"/>
      <c r="G5" s="149"/>
      <c r="H5" s="150"/>
    </row>
    <row r="6" spans="1:10" ht="15" customHeight="1">
      <c r="A6" s="147" t="s">
        <v>12</v>
      </c>
      <c r="B6" s="147" t="s">
        <v>13</v>
      </c>
      <c r="C6" s="147" t="s">
        <v>47</v>
      </c>
      <c r="D6" s="147"/>
      <c r="E6" s="147"/>
      <c r="F6" s="147" t="s">
        <v>14</v>
      </c>
      <c r="G6" s="147"/>
      <c r="H6" s="147"/>
    </row>
    <row r="7" spans="1:10" ht="41.25" customHeight="1">
      <c r="A7" s="147"/>
      <c r="B7" s="147"/>
      <c r="C7" s="42" t="s">
        <v>15</v>
      </c>
      <c r="D7" s="133" t="s">
        <v>212</v>
      </c>
      <c r="E7" s="42" t="s">
        <v>91</v>
      </c>
      <c r="F7" s="42" t="s">
        <v>15</v>
      </c>
      <c r="G7" s="114" t="s">
        <v>112</v>
      </c>
      <c r="H7" s="42" t="s">
        <v>91</v>
      </c>
    </row>
    <row r="8" spans="1:10" ht="15" customHeight="1">
      <c r="A8" s="42" t="s">
        <v>71</v>
      </c>
      <c r="B8" s="134" t="s">
        <v>128</v>
      </c>
      <c r="C8" s="86">
        <v>137</v>
      </c>
      <c r="D8" s="144">
        <v>3181</v>
      </c>
      <c r="E8" s="17">
        <f>ROUND(C8/D8*100,1)</f>
        <v>4.3</v>
      </c>
      <c r="F8" s="86">
        <v>105</v>
      </c>
      <c r="G8" s="141">
        <v>1306357.5</v>
      </c>
      <c r="H8" s="17">
        <f>ROUND(F8/G8*100,1)</f>
        <v>0</v>
      </c>
      <c r="I8" s="85"/>
      <c r="J8" s="85"/>
    </row>
    <row r="9" spans="1:10" ht="15" customHeight="1">
      <c r="A9" s="42" t="s">
        <v>72</v>
      </c>
      <c r="B9" s="134" t="s">
        <v>129</v>
      </c>
      <c r="C9" s="86">
        <v>72</v>
      </c>
      <c r="D9" s="145"/>
      <c r="E9" s="17">
        <f>ROUND(C9/D8*100,1)</f>
        <v>2.2999999999999998</v>
      </c>
      <c r="F9" s="86">
        <v>345</v>
      </c>
      <c r="G9" s="142"/>
      <c r="H9" s="17">
        <f>ROUND(F9/G8*100,1)</f>
        <v>0</v>
      </c>
      <c r="I9" s="85"/>
      <c r="J9" s="85"/>
    </row>
    <row r="10" spans="1:10" ht="15" customHeight="1">
      <c r="A10" s="42" t="s">
        <v>73</v>
      </c>
      <c r="B10" s="134" t="s">
        <v>130</v>
      </c>
      <c r="C10" s="86">
        <v>100</v>
      </c>
      <c r="D10" s="145"/>
      <c r="E10" s="17">
        <f>ROUND(C10/D8*100,1)</f>
        <v>3.1</v>
      </c>
      <c r="F10" s="86">
        <v>149</v>
      </c>
      <c r="G10" s="142"/>
      <c r="H10" s="17">
        <f>ROUND(F10/G8*100,1)</f>
        <v>0</v>
      </c>
      <c r="I10" s="85"/>
      <c r="J10" s="85"/>
    </row>
    <row r="11" spans="1:10" ht="15" customHeight="1">
      <c r="A11" s="42" t="s">
        <v>74</v>
      </c>
      <c r="B11" s="134" t="s">
        <v>132</v>
      </c>
      <c r="C11" s="86">
        <v>486</v>
      </c>
      <c r="D11" s="145"/>
      <c r="E11" s="17">
        <f>ROUND(C11/D8*100,1)</f>
        <v>15.3</v>
      </c>
      <c r="F11" s="86">
        <v>146</v>
      </c>
      <c r="G11" s="142"/>
      <c r="H11" s="17">
        <f>ROUND(F11/G8*100,1)</f>
        <v>0</v>
      </c>
      <c r="I11" s="85"/>
      <c r="J11" s="85"/>
    </row>
    <row r="12" spans="1:10" ht="15" customHeight="1">
      <c r="A12" s="42" t="s">
        <v>75</v>
      </c>
      <c r="B12" s="134" t="s">
        <v>133</v>
      </c>
      <c r="C12" s="86">
        <v>72</v>
      </c>
      <c r="D12" s="145"/>
      <c r="E12" s="17">
        <f>ROUND(C12/D8*100,1)</f>
        <v>2.2999999999999998</v>
      </c>
      <c r="F12" s="86">
        <v>387</v>
      </c>
      <c r="G12" s="142"/>
      <c r="H12" s="17">
        <f>ROUND(F12/G8*100,1)</f>
        <v>0</v>
      </c>
      <c r="I12" s="85"/>
      <c r="J12" s="85"/>
    </row>
    <row r="13" spans="1:10" ht="15" customHeight="1">
      <c r="A13" s="42" t="s">
        <v>76</v>
      </c>
      <c r="B13" s="134" t="s">
        <v>134</v>
      </c>
      <c r="C13" s="86">
        <v>138</v>
      </c>
      <c r="D13" s="145"/>
      <c r="E13" s="17">
        <f>ROUND(C13/D8*100,1)</f>
        <v>4.3</v>
      </c>
      <c r="F13" s="86">
        <v>406</v>
      </c>
      <c r="G13" s="142"/>
      <c r="H13" s="17">
        <f>ROUND(F13/G8*100,1)</f>
        <v>0</v>
      </c>
      <c r="I13" s="85"/>
      <c r="J13" s="85"/>
    </row>
    <row r="14" spans="1:10" ht="55.5" customHeight="1">
      <c r="A14" s="135" t="s">
        <v>77</v>
      </c>
      <c r="B14" s="134" t="s">
        <v>78</v>
      </c>
      <c r="C14" s="86">
        <v>206</v>
      </c>
      <c r="D14" s="146"/>
      <c r="E14" s="17">
        <f>ROUND(C14/D8*100,1)</f>
        <v>6.5</v>
      </c>
      <c r="F14" s="86">
        <v>169</v>
      </c>
      <c r="G14" s="143"/>
      <c r="H14" s="17">
        <f>ROUND(F14/G8*100,1)</f>
        <v>0</v>
      </c>
      <c r="I14" s="85"/>
      <c r="J14" s="85"/>
    </row>
    <row r="15" spans="1:10" ht="15" customHeight="1">
      <c r="D15" s="136"/>
    </row>
    <row r="16" spans="1:10" ht="15" customHeight="1">
      <c r="A16" s="10" t="s">
        <v>111</v>
      </c>
      <c r="C16" s="8" t="s">
        <v>81</v>
      </c>
    </row>
    <row r="17" spans="1:10" ht="15" customHeight="1">
      <c r="A17" s="148" t="s">
        <v>110</v>
      </c>
      <c r="B17" s="149"/>
      <c r="C17" s="149"/>
      <c r="D17" s="149"/>
      <c r="E17" s="149"/>
      <c r="F17" s="149"/>
      <c r="G17" s="149"/>
      <c r="H17" s="150"/>
    </row>
    <row r="18" spans="1:10" ht="15" customHeight="1">
      <c r="A18" s="147" t="s">
        <v>12</v>
      </c>
      <c r="B18" s="147" t="s">
        <v>13</v>
      </c>
      <c r="C18" s="147" t="s">
        <v>47</v>
      </c>
      <c r="D18" s="147"/>
      <c r="E18" s="147"/>
      <c r="F18" s="147" t="s">
        <v>14</v>
      </c>
      <c r="G18" s="147"/>
      <c r="H18" s="147"/>
    </row>
    <row r="19" spans="1:10" ht="40.5" customHeight="1">
      <c r="A19" s="147"/>
      <c r="B19" s="147"/>
      <c r="C19" s="42" t="s">
        <v>15</v>
      </c>
      <c r="D19" s="133" t="s">
        <v>213</v>
      </c>
      <c r="E19" s="42" t="s">
        <v>39</v>
      </c>
      <c r="F19" s="42" t="s">
        <v>15</v>
      </c>
      <c r="G19" s="114" t="s">
        <v>112</v>
      </c>
      <c r="H19" s="42" t="s">
        <v>91</v>
      </c>
    </row>
    <row r="20" spans="1:10" ht="15" customHeight="1">
      <c r="A20" s="42" t="s">
        <v>71</v>
      </c>
      <c r="B20" s="134" t="s">
        <v>128</v>
      </c>
      <c r="C20" s="86">
        <v>136</v>
      </c>
      <c r="D20" s="144">
        <v>2346</v>
      </c>
      <c r="E20" s="17">
        <f>ROUND(C20/D20*100,1)</f>
        <v>5.8</v>
      </c>
      <c r="F20" s="86">
        <v>105</v>
      </c>
      <c r="G20" s="144">
        <v>1306358</v>
      </c>
      <c r="H20" s="17">
        <f>ROUND(F20/G20*100,1)</f>
        <v>0</v>
      </c>
      <c r="I20" s="85"/>
      <c r="J20" s="85"/>
    </row>
    <row r="21" spans="1:10" ht="15" customHeight="1">
      <c r="A21" s="42" t="s">
        <v>72</v>
      </c>
      <c r="B21" s="134" t="s">
        <v>129</v>
      </c>
      <c r="C21" s="86">
        <v>144</v>
      </c>
      <c r="D21" s="145"/>
      <c r="E21" s="17">
        <f>ROUND(C21/D20*100,1)</f>
        <v>6.1</v>
      </c>
      <c r="F21" s="86">
        <v>345</v>
      </c>
      <c r="G21" s="145"/>
      <c r="H21" s="17">
        <f>ROUND(F21/G20*100,1)</f>
        <v>0</v>
      </c>
      <c r="I21" s="85"/>
      <c r="J21" s="85"/>
    </row>
    <row r="22" spans="1:10" ht="15" customHeight="1">
      <c r="A22" s="42" t="s">
        <v>73</v>
      </c>
      <c r="B22" s="134" t="s">
        <v>130</v>
      </c>
      <c r="C22" s="86">
        <v>135</v>
      </c>
      <c r="D22" s="145"/>
      <c r="E22" s="17">
        <f>ROUND(C22/D20*100,1)</f>
        <v>5.8</v>
      </c>
      <c r="F22" s="86">
        <v>149</v>
      </c>
      <c r="G22" s="145"/>
      <c r="H22" s="17">
        <f>ROUND(F22/G20*100,1)</f>
        <v>0</v>
      </c>
      <c r="I22" s="85"/>
      <c r="J22" s="85"/>
    </row>
    <row r="23" spans="1:10" ht="15" customHeight="1">
      <c r="A23" s="42" t="s">
        <v>74</v>
      </c>
      <c r="B23" s="134" t="s">
        <v>132</v>
      </c>
      <c r="C23" s="86">
        <v>267</v>
      </c>
      <c r="D23" s="145"/>
      <c r="E23" s="17">
        <f>ROUND(C23/D20*100,1)</f>
        <v>11.4</v>
      </c>
      <c r="F23" s="86">
        <v>146</v>
      </c>
      <c r="G23" s="145"/>
      <c r="H23" s="17">
        <f>ROUND(F23/G20*100,1)</f>
        <v>0</v>
      </c>
      <c r="I23" s="85"/>
      <c r="J23" s="85"/>
    </row>
    <row r="24" spans="1:10" ht="15" customHeight="1">
      <c r="A24" s="42" t="s">
        <v>75</v>
      </c>
      <c r="B24" s="134" t="s">
        <v>133</v>
      </c>
      <c r="C24" s="86">
        <v>74</v>
      </c>
      <c r="D24" s="145"/>
      <c r="E24" s="17">
        <f>ROUND(C24/D20*100,1)</f>
        <v>3.2</v>
      </c>
      <c r="F24" s="86">
        <v>387</v>
      </c>
      <c r="G24" s="145"/>
      <c r="H24" s="17">
        <f>ROUND(F24/G20*100,1)</f>
        <v>0</v>
      </c>
      <c r="I24" s="85"/>
      <c r="J24" s="85"/>
    </row>
    <row r="25" spans="1:10" ht="15" customHeight="1">
      <c r="A25" s="42" t="s">
        <v>76</v>
      </c>
      <c r="B25" s="134" t="s">
        <v>134</v>
      </c>
      <c r="C25" s="86">
        <v>225</v>
      </c>
      <c r="D25" s="145"/>
      <c r="E25" s="17">
        <f>ROUND(C25/D20*100,1)</f>
        <v>9.6</v>
      </c>
      <c r="F25" s="86">
        <v>406</v>
      </c>
      <c r="G25" s="145"/>
      <c r="H25" s="17">
        <f>ROUND(F25/G20*100,1)</f>
        <v>0</v>
      </c>
      <c r="I25" s="85"/>
      <c r="J25" s="85"/>
    </row>
    <row r="26" spans="1:10" ht="48.75" customHeight="1">
      <c r="A26" s="135" t="s">
        <v>77</v>
      </c>
      <c r="B26" s="134" t="s">
        <v>78</v>
      </c>
      <c r="C26" s="86">
        <v>38</v>
      </c>
      <c r="D26" s="146"/>
      <c r="E26" s="17">
        <f>ROUND(C26/D20*100,1)</f>
        <v>1.6</v>
      </c>
      <c r="F26" s="86">
        <v>169</v>
      </c>
      <c r="G26" s="146"/>
      <c r="H26" s="17">
        <f>ROUND(F26/G20*100,1)</f>
        <v>0</v>
      </c>
      <c r="I26" s="85"/>
      <c r="J26" s="85"/>
    </row>
    <row r="31" spans="1:10" ht="14.25">
      <c r="G31" s="85"/>
    </row>
  </sheetData>
  <mergeCells count="15">
    <mergeCell ref="G8:G14"/>
    <mergeCell ref="D20:D26"/>
    <mergeCell ref="G20:G26"/>
    <mergeCell ref="A2:C2"/>
    <mergeCell ref="A6:A7"/>
    <mergeCell ref="B6:B7"/>
    <mergeCell ref="F6:H6"/>
    <mergeCell ref="A5:H5"/>
    <mergeCell ref="C6:E6"/>
    <mergeCell ref="A17:H17"/>
    <mergeCell ref="A18:A19"/>
    <mergeCell ref="B18:B19"/>
    <mergeCell ref="C18:E18"/>
    <mergeCell ref="F18:H18"/>
    <mergeCell ref="D8:D14"/>
  </mergeCells>
  <phoneticPr fontId="6" type="noConversion"/>
  <conditionalFormatting sqref="K8:L14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K20:L26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59"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2:T69"/>
  <sheetViews>
    <sheetView zoomScaleNormal="100" zoomScaleSheetLayoutView="115" workbookViewId="0">
      <selection activeCell="D21" sqref="D21:D22"/>
    </sheetView>
  </sheetViews>
  <sheetFormatPr defaultColWidth="8.875" defaultRowHeight="13.5"/>
  <cols>
    <col min="1" max="1" width="11.125" style="19" customWidth="1"/>
    <col min="2" max="2" width="9.625" style="19" customWidth="1"/>
    <col min="3" max="3" width="27.5" style="24" customWidth="1"/>
    <col min="4" max="4" width="21" style="19" customWidth="1"/>
    <col min="5" max="5" width="30.375" style="19" customWidth="1"/>
    <col min="6" max="6" width="18.625" style="62" customWidth="1"/>
    <col min="7" max="7" width="29.875" style="19" bestFit="1" customWidth="1"/>
    <col min="8" max="16384" width="8.875" style="19"/>
  </cols>
  <sheetData>
    <row r="2" spans="1:20">
      <c r="A2" s="139" t="s">
        <v>139</v>
      </c>
      <c r="B2" s="138"/>
      <c r="C2" s="138"/>
    </row>
    <row r="3" spans="1:20">
      <c r="A3" s="10"/>
      <c r="B3" s="10"/>
      <c r="C3" s="10"/>
      <c r="G3" s="28"/>
    </row>
    <row r="4" spans="1:20">
      <c r="A4" s="115" t="s">
        <v>177</v>
      </c>
      <c r="C4" s="19"/>
      <c r="D4" s="8"/>
      <c r="E4" s="8"/>
      <c r="F4" s="23"/>
      <c r="G4" s="28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15.75" customHeight="1">
      <c r="A5" s="147" t="s">
        <v>27</v>
      </c>
      <c r="B5" s="147" t="s">
        <v>22</v>
      </c>
      <c r="C5" s="147" t="s">
        <v>8</v>
      </c>
      <c r="D5" s="151" t="s">
        <v>119</v>
      </c>
      <c r="E5" s="151" t="s">
        <v>120</v>
      </c>
      <c r="F5" s="152" t="s">
        <v>121</v>
      </c>
      <c r="G5" s="29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15.75" customHeight="1">
      <c r="A6" s="147"/>
      <c r="B6" s="147"/>
      <c r="C6" s="147"/>
      <c r="D6" s="147"/>
      <c r="E6" s="147"/>
      <c r="F6" s="153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ht="15.75" customHeight="1">
      <c r="A7" s="161">
        <v>45794</v>
      </c>
      <c r="B7" s="147">
        <v>3</v>
      </c>
      <c r="C7" s="89" t="s">
        <v>116</v>
      </c>
      <c r="D7" s="86">
        <v>1968</v>
      </c>
      <c r="E7" s="155">
        <v>1306358</v>
      </c>
      <c r="F7" s="158">
        <f>ROUND(AVERAGE(D7:D9)/E7*100,1)</f>
        <v>0.1</v>
      </c>
      <c r="G7" s="85"/>
      <c r="H7" s="85"/>
      <c r="I7"/>
      <c r="J7" s="85"/>
      <c r="K7" s="15"/>
      <c r="L7" s="15"/>
      <c r="M7" s="15"/>
      <c r="N7" s="15"/>
      <c r="O7" s="15"/>
      <c r="P7" s="15"/>
      <c r="Q7" s="15"/>
      <c r="R7" s="15"/>
      <c r="S7" s="15"/>
    </row>
    <row r="8" spans="1:20" ht="15.75" customHeight="1">
      <c r="A8" s="161"/>
      <c r="B8" s="147"/>
      <c r="C8" s="89" t="s">
        <v>117</v>
      </c>
      <c r="D8" s="86">
        <v>1389</v>
      </c>
      <c r="E8" s="156"/>
      <c r="F8" s="159"/>
      <c r="G8" s="85"/>
      <c r="H8" s="85"/>
      <c r="I8"/>
      <c r="J8" s="85"/>
      <c r="K8" s="15"/>
      <c r="L8" s="15"/>
      <c r="M8" s="15"/>
      <c r="N8" s="15"/>
      <c r="O8" s="15"/>
      <c r="P8" s="15"/>
      <c r="Q8" s="15"/>
      <c r="R8" s="15"/>
      <c r="S8" s="15"/>
    </row>
    <row r="9" spans="1:20" ht="15.75" customHeight="1">
      <c r="A9" s="161"/>
      <c r="B9" s="147"/>
      <c r="C9" s="89" t="s">
        <v>118</v>
      </c>
      <c r="D9" s="86">
        <v>1375</v>
      </c>
      <c r="E9" s="157"/>
      <c r="F9" s="160"/>
      <c r="G9" s="85"/>
      <c r="H9" s="85"/>
      <c r="I9"/>
      <c r="J9" s="85"/>
      <c r="K9" s="15"/>
      <c r="L9" s="15"/>
      <c r="M9" s="15"/>
      <c r="N9" s="15"/>
      <c r="O9" s="15"/>
      <c r="P9" s="15"/>
      <c r="Q9" s="15"/>
      <c r="R9" s="15"/>
      <c r="S9" s="15"/>
    </row>
    <row r="10" spans="1:20" ht="14.25">
      <c r="B10" s="20"/>
      <c r="C10" s="21"/>
      <c r="D10" s="8"/>
      <c r="E10" s="22"/>
      <c r="F10" s="23"/>
      <c r="G10"/>
      <c r="H10" s="85"/>
      <c r="I10"/>
      <c r="J10" s="85"/>
      <c r="K10" s="15"/>
      <c r="L10" s="15"/>
      <c r="M10" s="15"/>
      <c r="N10" s="15"/>
      <c r="O10" s="15"/>
      <c r="P10" s="15"/>
      <c r="Q10" s="15"/>
      <c r="R10" s="15"/>
      <c r="S10" s="15"/>
    </row>
    <row r="11" spans="1:20" ht="14.25">
      <c r="B11" s="20"/>
      <c r="C11" s="21"/>
      <c r="D11" s="8"/>
      <c r="E11" s="22"/>
      <c r="F11" s="23"/>
      <c r="G11"/>
      <c r="H11" s="85"/>
      <c r="I11"/>
      <c r="J11" s="85"/>
      <c r="K11" s="15"/>
      <c r="L11" s="15"/>
      <c r="M11" s="15"/>
      <c r="N11" s="15"/>
      <c r="O11" s="15"/>
      <c r="P11" s="15"/>
      <c r="Q11" s="15"/>
      <c r="R11" s="15"/>
      <c r="S11" s="15"/>
    </row>
    <row r="12" spans="1:20" ht="14.25">
      <c r="A12" s="139" t="s">
        <v>122</v>
      </c>
      <c r="B12" s="138"/>
      <c r="C12" s="138"/>
      <c r="D12" s="8"/>
      <c r="F12" s="23"/>
      <c r="G12"/>
      <c r="H12" s="85"/>
      <c r="I12"/>
      <c r="J12" s="85"/>
      <c r="K12" s="15"/>
      <c r="L12" s="15"/>
      <c r="M12" s="15"/>
      <c r="N12" s="15"/>
      <c r="O12" s="15"/>
      <c r="P12" s="15"/>
      <c r="Q12" s="15"/>
      <c r="R12" s="15"/>
      <c r="S12" s="15"/>
    </row>
    <row r="13" spans="1:20" ht="15.75" customHeight="1">
      <c r="A13" s="147" t="s">
        <v>27</v>
      </c>
      <c r="B13" s="147" t="s">
        <v>22</v>
      </c>
      <c r="C13" s="147" t="s">
        <v>8</v>
      </c>
      <c r="D13" s="151" t="s">
        <v>123</v>
      </c>
      <c r="E13" s="151" t="s">
        <v>124</v>
      </c>
      <c r="F13" s="152" t="s">
        <v>125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20" ht="15.75" customHeight="1">
      <c r="A14" s="147"/>
      <c r="B14" s="147"/>
      <c r="C14" s="147"/>
      <c r="D14" s="147"/>
      <c r="E14" s="147"/>
      <c r="F14" s="153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20" ht="15.75" customHeight="1">
      <c r="A15" s="161">
        <v>45794</v>
      </c>
      <c r="B15" s="147">
        <v>3</v>
      </c>
      <c r="C15" s="89" t="s">
        <v>113</v>
      </c>
      <c r="D15" s="86">
        <v>153</v>
      </c>
      <c r="E15" s="154">
        <v>3181</v>
      </c>
      <c r="F15" s="158">
        <f>ROUND(AVERAGE(D15:D17)/E15*100,1)</f>
        <v>4.5999999999999996</v>
      </c>
      <c r="G15" s="8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20" ht="15.75" customHeight="1">
      <c r="A16" s="161"/>
      <c r="B16" s="147"/>
      <c r="C16" s="89" t="s">
        <v>114</v>
      </c>
      <c r="D16" s="86">
        <v>138</v>
      </c>
      <c r="E16" s="154"/>
      <c r="F16" s="159"/>
      <c r="G16" s="8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ht="15.75" customHeight="1">
      <c r="A17" s="161"/>
      <c r="B17" s="147"/>
      <c r="C17" s="89" t="s">
        <v>115</v>
      </c>
      <c r="D17" s="86">
        <v>149</v>
      </c>
      <c r="E17" s="154"/>
      <c r="F17" s="160"/>
      <c r="G17" s="8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>
      <c r="B18" s="7"/>
      <c r="C18" s="13"/>
      <c r="D18" s="7"/>
      <c r="E18" s="7"/>
      <c r="F18" s="6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>
      <c r="B19" s="20"/>
      <c r="C19" s="21"/>
      <c r="D19" s="8"/>
      <c r="E19" s="22"/>
      <c r="F19" s="23"/>
    </row>
    <row r="20" spans="1:19">
      <c r="A20" s="139" t="s">
        <v>135</v>
      </c>
      <c r="B20" s="138"/>
      <c r="C20" s="138"/>
      <c r="D20" s="8"/>
      <c r="F20" s="23"/>
      <c r="G20" s="15"/>
    </row>
    <row r="21" spans="1:19">
      <c r="A21" s="147" t="s">
        <v>27</v>
      </c>
      <c r="B21" s="147" t="s">
        <v>22</v>
      </c>
      <c r="C21" s="147" t="s">
        <v>8</v>
      </c>
      <c r="D21" s="151" t="s">
        <v>136</v>
      </c>
      <c r="E21" s="151" t="s">
        <v>137</v>
      </c>
      <c r="F21" s="152" t="s">
        <v>138</v>
      </c>
      <c r="G21" s="15"/>
    </row>
    <row r="22" spans="1:19">
      <c r="A22" s="147"/>
      <c r="B22" s="147"/>
      <c r="C22" s="147"/>
      <c r="D22" s="147"/>
      <c r="E22" s="147"/>
      <c r="F22" s="153"/>
      <c r="G22" s="15"/>
    </row>
    <row r="23" spans="1:19" ht="14.25">
      <c r="A23" s="161">
        <v>45794</v>
      </c>
      <c r="B23" s="147">
        <v>3</v>
      </c>
      <c r="C23" s="89" t="s">
        <v>113</v>
      </c>
      <c r="D23" s="86">
        <v>88</v>
      </c>
      <c r="E23" s="154">
        <v>2346</v>
      </c>
      <c r="F23" s="158">
        <f>ROUND(AVERAGE(D23:D25)/E23*100,1)</f>
        <v>4.0999999999999996</v>
      </c>
      <c r="G23" s="85"/>
    </row>
    <row r="24" spans="1:19" ht="14.25">
      <c r="A24" s="161"/>
      <c r="B24" s="147"/>
      <c r="C24" s="89" t="s">
        <v>114</v>
      </c>
      <c r="D24" s="86">
        <v>98</v>
      </c>
      <c r="E24" s="154"/>
      <c r="F24" s="159"/>
      <c r="G24" s="85"/>
    </row>
    <row r="25" spans="1:19" ht="14.25">
      <c r="A25" s="161"/>
      <c r="B25" s="147"/>
      <c r="C25" s="89" t="s">
        <v>115</v>
      </c>
      <c r="D25" s="86">
        <v>100</v>
      </c>
      <c r="E25" s="154"/>
      <c r="F25" s="160"/>
      <c r="G25" s="85"/>
    </row>
    <row r="26" spans="1:19">
      <c r="G26" s="15"/>
    </row>
    <row r="27" spans="1:19">
      <c r="G27" s="15"/>
    </row>
    <row r="28" spans="1:19">
      <c r="A28" s="15"/>
      <c r="C28" s="19"/>
      <c r="F28" s="19"/>
    </row>
    <row r="29" spans="1:19">
      <c r="A29" s="15"/>
      <c r="C29" s="19"/>
      <c r="F29" s="19"/>
    </row>
    <row r="30" spans="1:19">
      <c r="A30" s="15"/>
      <c r="C30" s="19"/>
      <c r="F30" s="19"/>
    </row>
    <row r="31" spans="1:19">
      <c r="A31" s="15"/>
      <c r="C31" s="19"/>
      <c r="F31" s="19"/>
    </row>
    <row r="32" spans="1:19">
      <c r="A32" s="15"/>
      <c r="C32" s="19"/>
      <c r="F32" s="19"/>
    </row>
    <row r="33" spans="1:14">
      <c r="A33" s="15"/>
      <c r="C33" s="19"/>
      <c r="F33" s="19"/>
    </row>
    <row r="34" spans="1:14">
      <c r="A34" s="15"/>
      <c r="C34" s="19"/>
      <c r="F34" s="19"/>
    </row>
    <row r="35" spans="1:14">
      <c r="A35" s="15"/>
      <c r="C35" s="19"/>
      <c r="F35" s="19"/>
    </row>
    <row r="36" spans="1:14">
      <c r="A36" s="15"/>
      <c r="C36" s="19"/>
      <c r="F36" s="19"/>
    </row>
    <row r="37" spans="1:14">
      <c r="A37" s="15"/>
      <c r="C37" s="19"/>
      <c r="F37" s="19"/>
    </row>
    <row r="38" spans="1:14">
      <c r="A38" s="15"/>
      <c r="C38" s="19"/>
      <c r="F38" s="19"/>
    </row>
    <row r="39" spans="1:14">
      <c r="A39" s="15"/>
      <c r="C39" s="19"/>
      <c r="F39" s="19"/>
    </row>
    <row r="40" spans="1:14">
      <c r="A40" s="15"/>
      <c r="C40" s="19"/>
      <c r="F40" s="19"/>
    </row>
    <row r="41" spans="1:14">
      <c r="A41" s="15"/>
      <c r="C41" s="19"/>
      <c r="F41" s="19"/>
    </row>
    <row r="42" spans="1:14">
      <c r="A42" s="15"/>
      <c r="C42" s="19"/>
      <c r="F42" s="19"/>
    </row>
    <row r="43" spans="1:14" s="57" customFormat="1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</row>
    <row r="44" spans="1:14" s="57" customFormat="1" ht="15.75" customHeight="1">
      <c r="A44" s="5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s="57" customFormat="1" ht="15.75" customHeight="1">
      <c r="A45" s="5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1:14" s="57" customFormat="1" ht="15.75" customHeight="1">
      <c r="A46" s="58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s="57" customFormat="1" ht="15.75" customHeight="1">
      <c r="A47" s="5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1:14" s="57" customFormat="1" ht="15.75" customHeight="1">
      <c r="A48" s="5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s="57" customFormat="1" ht="15.75" customHeight="1">
      <c r="A49" s="5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1:14" s="57" customFormat="1" ht="15.75" customHeight="1">
      <c r="A50" s="58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s="57" customFormat="1" ht="15.75" customHeight="1">
      <c r="A51" s="5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4" s="57" customFormat="1" ht="15.75" customHeight="1">
      <c r="A52" s="5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s="57" customFormat="1" ht="22.5" customHeight="1">
      <c r="A53" s="58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s="57" customFormat="1" ht="15.75" customHeight="1">
      <c r="A54" s="5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s="57" customFormat="1" ht="15.75" customHeight="1">
      <c r="A55" s="58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1:14" s="57" customFormat="1" ht="15.75" customHeight="1">
      <c r="A56" s="58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14">
      <c r="C57" s="19"/>
      <c r="F57" s="19"/>
    </row>
    <row r="58" spans="1:14" s="40" customFormat="1" ht="15">
      <c r="A58" s="38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</row>
    <row r="59" spans="1:14" s="40" customFormat="1" ht="15" customHeight="1">
      <c r="A59" s="38"/>
      <c r="B59" s="38"/>
      <c r="C59" s="39"/>
      <c r="D59" s="39"/>
      <c r="E59" s="39"/>
      <c r="F59" s="39"/>
      <c r="G59" s="39"/>
      <c r="H59" s="39"/>
    </row>
    <row r="60" spans="1:14" s="40" customFormat="1" ht="26.25" customHeight="1">
      <c r="A60" s="41"/>
      <c r="B60" s="41"/>
    </row>
    <row r="61" spans="1:14" s="40" customFormat="1" ht="15">
      <c r="A61" s="41"/>
      <c r="B61" s="41"/>
    </row>
    <row r="62" spans="1:14" s="40" customFormat="1" ht="15">
      <c r="A62" s="41"/>
      <c r="B62" s="41"/>
    </row>
    <row r="63" spans="1:14" s="40" customFormat="1" ht="15">
      <c r="A63" s="41"/>
      <c r="B63" s="41"/>
    </row>
    <row r="64" spans="1:14">
      <c r="C64" s="19"/>
      <c r="F64" s="19"/>
    </row>
    <row r="65" s="19" customFormat="1"/>
    <row r="66" s="19" customFormat="1"/>
    <row r="67" s="19" customFormat="1"/>
    <row r="68" s="19" customFormat="1"/>
    <row r="69" s="19" customFormat="1"/>
  </sheetData>
  <mergeCells count="33">
    <mergeCell ref="E21:E22"/>
    <mergeCell ref="F21:F22"/>
    <mergeCell ref="A23:A25"/>
    <mergeCell ref="B23:B25"/>
    <mergeCell ref="E23:E25"/>
    <mergeCell ref="F23:F25"/>
    <mergeCell ref="A20:C20"/>
    <mergeCell ref="A21:A22"/>
    <mergeCell ref="B21:B22"/>
    <mergeCell ref="C21:C22"/>
    <mergeCell ref="D21:D22"/>
    <mergeCell ref="A13:A14"/>
    <mergeCell ref="A15:A17"/>
    <mergeCell ref="B13:B14"/>
    <mergeCell ref="C13:C14"/>
    <mergeCell ref="A2:C2"/>
    <mergeCell ref="A12:C12"/>
    <mergeCell ref="A5:A6"/>
    <mergeCell ref="A7:A9"/>
    <mergeCell ref="B5:B6"/>
    <mergeCell ref="C5:C6"/>
    <mergeCell ref="D5:D6"/>
    <mergeCell ref="E5:E6"/>
    <mergeCell ref="F5:F6"/>
    <mergeCell ref="B7:B9"/>
    <mergeCell ref="E15:E17"/>
    <mergeCell ref="E7:E9"/>
    <mergeCell ref="D13:D14"/>
    <mergeCell ref="E13:E14"/>
    <mergeCell ref="F13:F14"/>
    <mergeCell ref="B15:B17"/>
    <mergeCell ref="F7:F9"/>
    <mergeCell ref="F15:F17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57"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2:I121"/>
  <sheetViews>
    <sheetView zoomScaleNormal="100" zoomScaleSheetLayoutView="100" workbookViewId="0">
      <selection activeCell="B130" sqref="B130"/>
    </sheetView>
  </sheetViews>
  <sheetFormatPr defaultColWidth="9" defaultRowHeight="15.75" customHeight="1"/>
  <cols>
    <col min="1" max="1" width="34.875" style="26" bestFit="1" customWidth="1"/>
    <col min="2" max="5" width="16.625" style="26" customWidth="1"/>
    <col min="6" max="225" width="13.5" style="26" customWidth="1"/>
    <col min="226" max="16384" width="9" style="26"/>
  </cols>
  <sheetData>
    <row r="2" spans="1:9" ht="15.75" customHeight="1">
      <c r="A2" s="37" t="s">
        <v>175</v>
      </c>
    </row>
    <row r="3" spans="1:9" ht="15.75" customHeight="1">
      <c r="A3" s="6" t="s">
        <v>100</v>
      </c>
    </row>
    <row r="4" spans="1:9" ht="15.75" customHeight="1">
      <c r="A4" s="167" t="s">
        <v>126</v>
      </c>
      <c r="B4" s="149"/>
      <c r="C4" s="150"/>
      <c r="D4" s="167" t="s">
        <v>174</v>
      </c>
      <c r="E4" s="150"/>
    </row>
    <row r="5" spans="1:9" ht="15.75" customHeight="1">
      <c r="A5" s="147" t="s">
        <v>66</v>
      </c>
      <c r="B5" s="42" t="s">
        <v>7</v>
      </c>
      <c r="C5" s="168" t="s">
        <v>67</v>
      </c>
      <c r="D5" s="43" t="s">
        <v>1</v>
      </c>
      <c r="E5" s="168" t="s">
        <v>67</v>
      </c>
    </row>
    <row r="6" spans="1:9" ht="15.75" customHeight="1">
      <c r="A6" s="147"/>
      <c r="B6" s="80">
        <v>30</v>
      </c>
      <c r="C6" s="169"/>
      <c r="D6" s="80">
        <v>7500</v>
      </c>
      <c r="E6" s="169"/>
    </row>
    <row r="7" spans="1:9" ht="15.75" customHeight="1">
      <c r="A7" s="147"/>
      <c r="B7" s="74" t="s">
        <v>70</v>
      </c>
      <c r="C7" s="170"/>
      <c r="D7" s="74" t="s">
        <v>70</v>
      </c>
      <c r="E7" s="170"/>
    </row>
    <row r="8" spans="1:9" ht="15.75" customHeight="1">
      <c r="A8" s="166" t="s">
        <v>127</v>
      </c>
      <c r="B8" s="36">
        <v>28.276</v>
      </c>
      <c r="C8" s="63">
        <f>ROUND((B8-B6)/B6*100,1)</f>
        <v>-5.7</v>
      </c>
      <c r="D8" s="36">
        <v>7742.6220000000003</v>
      </c>
      <c r="E8" s="63">
        <f>ROUND((D8-D6)/D6*100,1)</f>
        <v>3.2</v>
      </c>
      <c r="F8" s="2"/>
    </row>
    <row r="9" spans="1:9" ht="15.75" customHeight="1">
      <c r="A9" s="166"/>
      <c r="B9" s="36">
        <v>30.128</v>
      </c>
      <c r="C9" s="63">
        <f>ROUND((B9-B6)/B6*100,1)</f>
        <v>0.4</v>
      </c>
      <c r="D9" s="36">
        <v>7674.09</v>
      </c>
      <c r="E9" s="63">
        <f>ROUND((D9-D6)/D6*100,1)</f>
        <v>2.2999999999999998</v>
      </c>
      <c r="F9" s="2"/>
    </row>
    <row r="10" spans="1:9" ht="15.75" customHeight="1">
      <c r="A10" s="166"/>
      <c r="B10" s="36">
        <v>29.556000000000001</v>
      </c>
      <c r="C10" s="63">
        <f>ROUND((B10-B6)/B6*100,1)</f>
        <v>-1.5</v>
      </c>
      <c r="D10" s="36">
        <v>7927.0169999999998</v>
      </c>
      <c r="E10" s="63">
        <f>ROUND((D10-D6)/D6*100,1)</f>
        <v>5.7</v>
      </c>
      <c r="F10" s="2"/>
      <c r="G10" s="51"/>
      <c r="H10" s="50" t="s">
        <v>79</v>
      </c>
      <c r="I10" s="49" t="s">
        <v>80</v>
      </c>
    </row>
    <row r="11" spans="1:9" ht="15.75" customHeight="1">
      <c r="A11" s="42" t="s">
        <v>16</v>
      </c>
      <c r="B11" s="36">
        <f>ROUND(AVERAGE(B8:B10),3)</f>
        <v>29.32</v>
      </c>
      <c r="C11" s="163"/>
      <c r="D11" s="36">
        <f>ROUND(AVERAGE(D8:D10),3)</f>
        <v>7781.2430000000004</v>
      </c>
      <c r="E11" s="163"/>
      <c r="F11" s="2"/>
      <c r="G11" s="42" t="s">
        <v>68</v>
      </c>
      <c r="H11" s="52"/>
      <c r="I11" s="48">
        <f>MAX(B13,D13,B22,D22,B31,D31,B40,D40,B49,D49,B58,D58)</f>
        <v>8.4</v>
      </c>
    </row>
    <row r="12" spans="1:9" ht="15.75" customHeight="1">
      <c r="A12" s="42" t="s">
        <v>4</v>
      </c>
      <c r="B12" s="36">
        <f>ROUND(STDEV(B8:B10),3)</f>
        <v>0.94799999999999995</v>
      </c>
      <c r="C12" s="164"/>
      <c r="D12" s="36">
        <f>ROUND(STDEV(D8:D10),3)</f>
        <v>130.81200000000001</v>
      </c>
      <c r="E12" s="164"/>
      <c r="F12" s="2"/>
      <c r="G12" s="42" t="s">
        <v>67</v>
      </c>
      <c r="H12" s="66">
        <f>MIN(B15,D15,B24,D24,B33,D33,B42,D42,B51,D51,B60,D60)</f>
        <v>-5.7</v>
      </c>
      <c r="I12" s="66">
        <f>MAX(B15,D15,B24,D24,B33,D33,B42,D42,B51,D51,B60,D60)</f>
        <v>10</v>
      </c>
    </row>
    <row r="13" spans="1:9" ht="15.75" customHeight="1">
      <c r="A13" s="42" t="s">
        <v>68</v>
      </c>
      <c r="B13" s="63">
        <f>ROUND(B12/B11*100,1)</f>
        <v>3.2</v>
      </c>
      <c r="C13" s="164"/>
      <c r="D13" s="63">
        <f>ROUND(D12/D11*100,1)</f>
        <v>1.7</v>
      </c>
      <c r="E13" s="164"/>
    </row>
    <row r="14" spans="1:9" ht="15.75" customHeight="1">
      <c r="A14" s="42" t="s">
        <v>69</v>
      </c>
      <c r="B14" s="63">
        <f>ROUND(B11/B6*100,1)</f>
        <v>97.7</v>
      </c>
      <c r="C14" s="164"/>
      <c r="D14" s="63">
        <f>ROUND(D11/D6*100,1)</f>
        <v>103.7</v>
      </c>
      <c r="E14" s="164"/>
    </row>
    <row r="15" spans="1:9" ht="15.75" customHeight="1">
      <c r="A15" s="42" t="s">
        <v>67</v>
      </c>
      <c r="B15" s="63">
        <f>ROUND((B11-B6)/B6*100,1)</f>
        <v>-2.2999999999999998</v>
      </c>
      <c r="C15" s="164"/>
      <c r="D15" s="63">
        <f>ROUND((D11-D6)/D6*100,1)</f>
        <v>3.7</v>
      </c>
      <c r="E15" s="164"/>
    </row>
    <row r="16" spans="1:9" ht="15.75" customHeight="1">
      <c r="A16" s="42" t="s">
        <v>5</v>
      </c>
      <c r="B16" s="65">
        <v>3</v>
      </c>
      <c r="C16" s="165"/>
      <c r="D16" s="65">
        <v>3</v>
      </c>
      <c r="E16" s="165"/>
    </row>
    <row r="17" spans="1:7" ht="15.75" customHeight="1">
      <c r="A17" s="166" t="s">
        <v>129</v>
      </c>
      <c r="B17" s="36">
        <v>29.349</v>
      </c>
      <c r="C17" s="63">
        <f>ROUND((B17-B6)/B6*100,1)</f>
        <v>-2.2000000000000002</v>
      </c>
      <c r="D17" s="36">
        <v>8169.5770000000002</v>
      </c>
      <c r="E17" s="63">
        <f>ROUND((D17-D6)/D6*100,1)</f>
        <v>8.9</v>
      </c>
    </row>
    <row r="18" spans="1:7" ht="15.75" customHeight="1">
      <c r="A18" s="166"/>
      <c r="B18" s="36">
        <v>27.664999999999999</v>
      </c>
      <c r="C18" s="63">
        <f>ROUND((B18-B6)/B6*100,1)</f>
        <v>-7.8</v>
      </c>
      <c r="D18" s="36">
        <v>8152.4560000000001</v>
      </c>
      <c r="E18" s="63">
        <f>ROUND((D18-D6)/D6*100,1)</f>
        <v>8.6999999999999993</v>
      </c>
    </row>
    <row r="19" spans="1:7" ht="13.5">
      <c r="A19" s="166"/>
      <c r="B19" s="36">
        <v>29.707000000000001</v>
      </c>
      <c r="C19" s="63">
        <f>ROUND((B19-B6)/B6*100,1)</f>
        <v>-1</v>
      </c>
      <c r="D19" s="36">
        <v>8154.0410000000002</v>
      </c>
      <c r="E19" s="63">
        <f>ROUND((D19-D6)/D6*100,1)</f>
        <v>8.6999999999999993</v>
      </c>
    </row>
    <row r="20" spans="1:7" ht="15.75" customHeight="1">
      <c r="A20" s="42" t="s">
        <v>16</v>
      </c>
      <c r="B20" s="36">
        <f>ROUND(AVERAGE(B17:B19),3)</f>
        <v>28.907</v>
      </c>
      <c r="C20" s="163"/>
      <c r="D20" s="36">
        <f>ROUND(AVERAGE(D17:D19),3)</f>
        <v>8158.6909999999998</v>
      </c>
      <c r="E20" s="163"/>
      <c r="G20" s="2"/>
    </row>
    <row r="21" spans="1:7" ht="15.75" customHeight="1">
      <c r="A21" s="42" t="s">
        <v>4</v>
      </c>
      <c r="B21" s="36">
        <f>ROUND(STDEV(B17:B19),3)</f>
        <v>1.0900000000000001</v>
      </c>
      <c r="C21" s="164"/>
      <c r="D21" s="36">
        <f>ROUND(STDEV(D17:D19),3)</f>
        <v>9.4610000000000003</v>
      </c>
      <c r="E21" s="164"/>
      <c r="G21" s="2"/>
    </row>
    <row r="22" spans="1:7" ht="15.75" customHeight="1">
      <c r="A22" s="42" t="s">
        <v>68</v>
      </c>
      <c r="B22" s="63">
        <f>ROUND(B21/B20*100,1)</f>
        <v>3.8</v>
      </c>
      <c r="C22" s="164"/>
      <c r="D22" s="63">
        <f>ROUND(D21/D20*100,1)</f>
        <v>0.1</v>
      </c>
      <c r="E22" s="164"/>
      <c r="G22" s="2"/>
    </row>
    <row r="23" spans="1:7" ht="15.75" customHeight="1">
      <c r="A23" s="42" t="s">
        <v>69</v>
      </c>
      <c r="B23" s="63">
        <f>ROUND(B20/B6*100,1)</f>
        <v>96.4</v>
      </c>
      <c r="C23" s="164"/>
      <c r="D23" s="63">
        <f>ROUND(D20/D6*100,1)</f>
        <v>108.8</v>
      </c>
      <c r="E23" s="164"/>
      <c r="G23" s="2"/>
    </row>
    <row r="24" spans="1:7" ht="15.75" customHeight="1">
      <c r="A24" s="42" t="s">
        <v>67</v>
      </c>
      <c r="B24" s="63">
        <f>ROUND((B20-B6)/B6*100,1)</f>
        <v>-3.6</v>
      </c>
      <c r="C24" s="164"/>
      <c r="D24" s="63">
        <f>ROUND((D20-D6)/D6*100,1)</f>
        <v>8.8000000000000007</v>
      </c>
      <c r="E24" s="164"/>
    </row>
    <row r="25" spans="1:7" ht="15.75" customHeight="1">
      <c r="A25" s="42" t="s">
        <v>5</v>
      </c>
      <c r="B25" s="65">
        <v>3</v>
      </c>
      <c r="C25" s="165"/>
      <c r="D25" s="65">
        <v>3</v>
      </c>
      <c r="E25" s="165"/>
      <c r="F25" s="2"/>
    </row>
    <row r="26" spans="1:7" ht="15.75" customHeight="1">
      <c r="A26" s="154" t="s">
        <v>130</v>
      </c>
      <c r="B26" s="36">
        <v>30.37</v>
      </c>
      <c r="C26" s="63">
        <f>ROUND((B26-B6)/B6*100,1)</f>
        <v>1.2</v>
      </c>
      <c r="D26" s="36">
        <v>8340.2559999999994</v>
      </c>
      <c r="E26" s="63">
        <f>ROUND((D26-D6)/D6*100,1)</f>
        <v>11.2</v>
      </c>
    </row>
    <row r="27" spans="1:7" ht="15.75" customHeight="1">
      <c r="A27" s="154"/>
      <c r="B27" s="36">
        <v>29.373000000000001</v>
      </c>
      <c r="C27" s="63">
        <f>ROUND((B27-B6)/B6*100,1)</f>
        <v>-2.1</v>
      </c>
      <c r="D27" s="36">
        <v>8284.5849999999991</v>
      </c>
      <c r="E27" s="63">
        <f>ROUND((D27-D6)/D6*100,1)</f>
        <v>10.5</v>
      </c>
    </row>
    <row r="28" spans="1:7" ht="15.75" customHeight="1">
      <c r="A28" s="154"/>
      <c r="B28" s="36">
        <v>25.824999999999999</v>
      </c>
      <c r="C28" s="63">
        <f>ROUND((B28-B6)/B6*100,1)</f>
        <v>-13.9</v>
      </c>
      <c r="D28" s="36">
        <v>8129.7640000000001</v>
      </c>
      <c r="E28" s="63">
        <f>ROUND((D28-D6)/D6*100,1)</f>
        <v>8.4</v>
      </c>
    </row>
    <row r="29" spans="1:7" ht="15.75" customHeight="1">
      <c r="A29" s="42" t="s">
        <v>16</v>
      </c>
      <c r="B29" s="36">
        <f>ROUND(AVERAGE(B26:B28),3)</f>
        <v>28.523</v>
      </c>
      <c r="C29" s="163"/>
      <c r="D29" s="36">
        <f>ROUND(AVERAGE(D26:D28),3)</f>
        <v>8251.5349999999999</v>
      </c>
      <c r="E29" s="163"/>
    </row>
    <row r="30" spans="1:7" ht="15.75" customHeight="1">
      <c r="A30" s="42" t="s">
        <v>4</v>
      </c>
      <c r="B30" s="36">
        <f>ROUND(STDEV(B26:B28),3)</f>
        <v>2.3889999999999998</v>
      </c>
      <c r="C30" s="164"/>
      <c r="D30" s="36">
        <f>ROUND(STDEV(D26:D28),3)</f>
        <v>109.069</v>
      </c>
      <c r="E30" s="164"/>
    </row>
    <row r="31" spans="1:7" ht="15.75" customHeight="1">
      <c r="A31" s="42" t="s">
        <v>68</v>
      </c>
      <c r="B31" s="63">
        <f>ROUND(B30/B29*100,1)</f>
        <v>8.4</v>
      </c>
      <c r="C31" s="164"/>
      <c r="D31" s="63">
        <f>ROUND(D30/D29*100,1)</f>
        <v>1.3</v>
      </c>
      <c r="E31" s="164"/>
    </row>
    <row r="32" spans="1:7" ht="15.75" customHeight="1">
      <c r="A32" s="42" t="s">
        <v>69</v>
      </c>
      <c r="B32" s="63">
        <f>ROUND(B29/B6*100,1)</f>
        <v>95.1</v>
      </c>
      <c r="C32" s="164"/>
      <c r="D32" s="63">
        <f>ROUND(D29/D6*100,1)</f>
        <v>110</v>
      </c>
      <c r="E32" s="164"/>
    </row>
    <row r="33" spans="1:5" ht="15.75" customHeight="1">
      <c r="A33" s="42" t="s">
        <v>67</v>
      </c>
      <c r="B33" s="63">
        <f>ROUND((B29-B6)/B6*100,1)</f>
        <v>-4.9000000000000004</v>
      </c>
      <c r="C33" s="164"/>
      <c r="D33" s="63">
        <f>ROUND((D29-D6)/D6*100,1)</f>
        <v>10</v>
      </c>
      <c r="E33" s="164"/>
    </row>
    <row r="34" spans="1:5" ht="15.75" customHeight="1">
      <c r="A34" s="42" t="s">
        <v>5</v>
      </c>
      <c r="B34" s="65">
        <v>3</v>
      </c>
      <c r="C34" s="165"/>
      <c r="D34" s="65">
        <v>3</v>
      </c>
      <c r="E34" s="165"/>
    </row>
    <row r="35" spans="1:5" ht="15.75" customHeight="1">
      <c r="A35" s="154" t="s">
        <v>131</v>
      </c>
      <c r="B35" s="36">
        <v>30.315000000000001</v>
      </c>
      <c r="C35" s="63">
        <f>ROUND((B35-B6)/B6*100,1)</f>
        <v>1.1000000000000001</v>
      </c>
      <c r="D35" s="36">
        <v>7878.5659999999998</v>
      </c>
      <c r="E35" s="63">
        <f>ROUND((D35-D6)/D6*100,1)</f>
        <v>5</v>
      </c>
    </row>
    <row r="36" spans="1:5" ht="15.75" customHeight="1">
      <c r="A36" s="154"/>
      <c r="B36" s="36">
        <v>28.96</v>
      </c>
      <c r="C36" s="63">
        <f>ROUND((B36-B6)/B6*100,1)</f>
        <v>-3.5</v>
      </c>
      <c r="D36" s="36">
        <v>7953.8530000000001</v>
      </c>
      <c r="E36" s="63">
        <f>ROUND((D36-D6)/D6*100,1)</f>
        <v>6.1</v>
      </c>
    </row>
    <row r="37" spans="1:5" ht="15.75" customHeight="1">
      <c r="A37" s="154"/>
      <c r="B37" s="36">
        <v>30.506</v>
      </c>
      <c r="C37" s="63">
        <f>ROUND((B37-B6)/B6*100,1)</f>
        <v>1.7</v>
      </c>
      <c r="D37" s="36">
        <v>8221.5920000000006</v>
      </c>
      <c r="E37" s="63">
        <f>ROUND((D37-D6)/D6*100,1)</f>
        <v>9.6</v>
      </c>
    </row>
    <row r="38" spans="1:5" ht="15.75" customHeight="1">
      <c r="A38" s="42" t="s">
        <v>16</v>
      </c>
      <c r="B38" s="36">
        <f>ROUND(AVERAGE(B35:B37),3)</f>
        <v>29.927</v>
      </c>
      <c r="C38" s="163"/>
      <c r="D38" s="36">
        <f>ROUND(AVERAGE(D35:D37),3)</f>
        <v>8018.0039999999999</v>
      </c>
      <c r="E38" s="163"/>
    </row>
    <row r="39" spans="1:5" ht="15.75" customHeight="1">
      <c r="A39" s="42" t="s">
        <v>4</v>
      </c>
      <c r="B39" s="36">
        <f>ROUND(STDEV(B35:B37),3)</f>
        <v>0.84299999999999997</v>
      </c>
      <c r="C39" s="164"/>
      <c r="D39" s="36">
        <f>ROUND(STDEV(D35:D37),3)</f>
        <v>180.286</v>
      </c>
      <c r="E39" s="164"/>
    </row>
    <row r="40" spans="1:5" ht="15.75" customHeight="1">
      <c r="A40" s="42" t="s">
        <v>68</v>
      </c>
      <c r="B40" s="63">
        <f>ROUND(B39/B38*100,1)</f>
        <v>2.8</v>
      </c>
      <c r="C40" s="164"/>
      <c r="D40" s="63">
        <f>ROUND(D39/D38*100,1)</f>
        <v>2.2000000000000002</v>
      </c>
      <c r="E40" s="164"/>
    </row>
    <row r="41" spans="1:5" ht="15.75" customHeight="1">
      <c r="A41" s="42" t="s">
        <v>69</v>
      </c>
      <c r="B41" s="63">
        <f>ROUND(B38/B6*100,1)</f>
        <v>99.8</v>
      </c>
      <c r="C41" s="164"/>
      <c r="D41" s="63">
        <f>ROUND(D38/D6*100,1)</f>
        <v>106.9</v>
      </c>
      <c r="E41" s="164"/>
    </row>
    <row r="42" spans="1:5" ht="15.75" customHeight="1">
      <c r="A42" s="42" t="s">
        <v>67</v>
      </c>
      <c r="B42" s="63">
        <f>ROUND((B38-B6)/B6*100,1)</f>
        <v>-0.2</v>
      </c>
      <c r="C42" s="164"/>
      <c r="D42" s="63">
        <f>ROUND((D38-D6)/D6*100,1)</f>
        <v>6.9</v>
      </c>
      <c r="E42" s="164"/>
    </row>
    <row r="43" spans="1:5" ht="15.75" customHeight="1">
      <c r="A43" s="42" t="s">
        <v>5</v>
      </c>
      <c r="B43" s="65">
        <v>3</v>
      </c>
      <c r="C43" s="165"/>
      <c r="D43" s="65">
        <v>3</v>
      </c>
      <c r="E43" s="165"/>
    </row>
    <row r="44" spans="1:5" ht="15.75" customHeight="1">
      <c r="A44" s="162" t="s">
        <v>133</v>
      </c>
      <c r="B44" s="36">
        <v>28.216999999999999</v>
      </c>
      <c r="C44" s="63">
        <f>ROUND((B44-B6)/B6*100,1)</f>
        <v>-5.9</v>
      </c>
      <c r="D44" s="36">
        <v>8159.9459999999999</v>
      </c>
      <c r="E44" s="63">
        <f>ROUND((D44-D6)/D6*100,1)</f>
        <v>8.8000000000000007</v>
      </c>
    </row>
    <row r="45" spans="1:5" ht="15.75" customHeight="1">
      <c r="A45" s="162"/>
      <c r="B45" s="36">
        <v>29.385000000000002</v>
      </c>
      <c r="C45" s="63">
        <f>ROUND((B45-B6)/B6*100,1)</f>
        <v>-2</v>
      </c>
      <c r="D45" s="36">
        <v>7694.2979999999998</v>
      </c>
      <c r="E45" s="63">
        <f>ROUND((D45-D6)/D6*100,1)</f>
        <v>2.6</v>
      </c>
    </row>
    <row r="46" spans="1:5" ht="15.75" customHeight="1">
      <c r="A46" s="162"/>
      <c r="B46" s="36">
        <v>27.303000000000001</v>
      </c>
      <c r="C46" s="63">
        <f>ROUND((B46-B6)/B6*100,1)</f>
        <v>-9</v>
      </c>
      <c r="D46" s="36">
        <v>7837.3069999999998</v>
      </c>
      <c r="E46" s="63">
        <f>ROUND((D46-D6)/D6*100,1)</f>
        <v>4.5</v>
      </c>
    </row>
    <row r="47" spans="1:5" ht="15.75" customHeight="1">
      <c r="A47" s="42" t="s">
        <v>16</v>
      </c>
      <c r="B47" s="36">
        <f>ROUND(AVERAGE(B44:B46),3)</f>
        <v>28.302</v>
      </c>
      <c r="C47" s="163"/>
      <c r="D47" s="36">
        <f>ROUND(AVERAGE(D44:D46),3)</f>
        <v>7897.1840000000002</v>
      </c>
      <c r="E47" s="163"/>
    </row>
    <row r="48" spans="1:5" ht="15.75" customHeight="1">
      <c r="A48" s="42" t="s">
        <v>4</v>
      </c>
      <c r="B48" s="36">
        <f>ROUND(STDEV(B44:B46),3)</f>
        <v>1.044</v>
      </c>
      <c r="C48" s="164"/>
      <c r="D48" s="36">
        <f>ROUND(STDEV(D44:D46),3)</f>
        <v>238.529</v>
      </c>
      <c r="E48" s="164"/>
    </row>
    <row r="49" spans="1:5" ht="15.75" customHeight="1">
      <c r="A49" s="42" t="s">
        <v>68</v>
      </c>
      <c r="B49" s="63">
        <f>ROUND(B48/B47*100,1)</f>
        <v>3.7</v>
      </c>
      <c r="C49" s="164"/>
      <c r="D49" s="63">
        <f>ROUND(D48/D47*100,1)</f>
        <v>3</v>
      </c>
      <c r="E49" s="164"/>
    </row>
    <row r="50" spans="1:5" ht="15.75" customHeight="1">
      <c r="A50" s="42" t="s">
        <v>69</v>
      </c>
      <c r="B50" s="63">
        <f>ROUND(B47/B6*100,1)</f>
        <v>94.3</v>
      </c>
      <c r="C50" s="164"/>
      <c r="D50" s="63">
        <f>ROUND(D47/D6*100,1)</f>
        <v>105.3</v>
      </c>
      <c r="E50" s="164"/>
    </row>
    <row r="51" spans="1:5" ht="15.75" customHeight="1">
      <c r="A51" s="42" t="s">
        <v>67</v>
      </c>
      <c r="B51" s="63">
        <f>ROUND((B47-B6)/B6*100,1)</f>
        <v>-5.7</v>
      </c>
      <c r="C51" s="164"/>
      <c r="D51" s="63">
        <f>ROUND((D47-D6)/D6*100,1)</f>
        <v>5.3</v>
      </c>
      <c r="E51" s="164"/>
    </row>
    <row r="52" spans="1:5" ht="15.75" customHeight="1">
      <c r="A52" s="42" t="s">
        <v>5</v>
      </c>
      <c r="B52" s="65">
        <v>3</v>
      </c>
      <c r="C52" s="165"/>
      <c r="D52" s="65">
        <v>3</v>
      </c>
      <c r="E52" s="165"/>
    </row>
    <row r="53" spans="1:5" ht="15.75" customHeight="1">
      <c r="A53" s="162" t="s">
        <v>134</v>
      </c>
      <c r="B53" s="36">
        <v>28.753</v>
      </c>
      <c r="C53" s="63">
        <f>ROUND((B53-B6)/B6*100,1)</f>
        <v>-4.2</v>
      </c>
      <c r="D53" s="36">
        <v>7802.2939999999999</v>
      </c>
      <c r="E53" s="63">
        <f>ROUND((D53-D6)/D6*100,1)</f>
        <v>4</v>
      </c>
    </row>
    <row r="54" spans="1:5" ht="15.75" customHeight="1">
      <c r="A54" s="162"/>
      <c r="B54" s="36">
        <v>30.41</v>
      </c>
      <c r="C54" s="63">
        <f>ROUND((B54-B6)/B6*100,1)</f>
        <v>1.4</v>
      </c>
      <c r="D54" s="36">
        <v>8014.4260000000004</v>
      </c>
      <c r="E54" s="63">
        <f>ROUND((D54-D6)/D6*100,1)</f>
        <v>6.9</v>
      </c>
    </row>
    <row r="55" spans="1:5" ht="15.75" customHeight="1">
      <c r="A55" s="162"/>
      <c r="B55" s="36">
        <v>27.41</v>
      </c>
      <c r="C55" s="63">
        <f>ROUND((B55-B6)/B6*100,1)</f>
        <v>-8.6</v>
      </c>
      <c r="D55" s="36">
        <v>7903.808</v>
      </c>
      <c r="E55" s="63">
        <f>ROUND((D55-D6)/D6*100,1)</f>
        <v>5.4</v>
      </c>
    </row>
    <row r="56" spans="1:5" ht="15.75" customHeight="1">
      <c r="A56" s="42" t="s">
        <v>16</v>
      </c>
      <c r="B56" s="36">
        <f>ROUND(AVERAGE(B53:B55),3)</f>
        <v>28.858000000000001</v>
      </c>
      <c r="C56" s="163"/>
      <c r="D56" s="36">
        <f>ROUND(AVERAGE(D53:D55),3)</f>
        <v>7906.8429999999998</v>
      </c>
      <c r="E56" s="163"/>
    </row>
    <row r="57" spans="1:5" ht="15.75" customHeight="1">
      <c r="A57" s="42" t="s">
        <v>4</v>
      </c>
      <c r="B57" s="36">
        <f>ROUND(STDEV(B53:B55),3)</f>
        <v>1.5029999999999999</v>
      </c>
      <c r="C57" s="164"/>
      <c r="D57" s="36">
        <f>ROUND(STDEV(D53:D55),3)</f>
        <v>106.099</v>
      </c>
      <c r="E57" s="164"/>
    </row>
    <row r="58" spans="1:5" ht="15.75" customHeight="1">
      <c r="A58" s="42" t="s">
        <v>68</v>
      </c>
      <c r="B58" s="63">
        <f>ROUND(B57/B56*100,1)</f>
        <v>5.2</v>
      </c>
      <c r="C58" s="164"/>
      <c r="D58" s="63">
        <f>ROUND(D57/D56*100,1)</f>
        <v>1.3</v>
      </c>
      <c r="E58" s="164"/>
    </row>
    <row r="59" spans="1:5" ht="15.75" customHeight="1">
      <c r="A59" s="42" t="s">
        <v>69</v>
      </c>
      <c r="B59" s="63">
        <f>ROUND(B56/B6*100,1)</f>
        <v>96.2</v>
      </c>
      <c r="C59" s="164"/>
      <c r="D59" s="63">
        <f>ROUND(D56/D6*100,1)</f>
        <v>105.4</v>
      </c>
      <c r="E59" s="164"/>
    </row>
    <row r="60" spans="1:5" ht="15.75" customHeight="1">
      <c r="A60" s="42" t="s">
        <v>67</v>
      </c>
      <c r="B60" s="63">
        <f>ROUND((B56-B6)/B6*100,1)</f>
        <v>-3.8</v>
      </c>
      <c r="C60" s="164"/>
      <c r="D60" s="63">
        <f>ROUND((D56-D6)/D6*100,1)</f>
        <v>5.4</v>
      </c>
      <c r="E60" s="164"/>
    </row>
    <row r="61" spans="1:5" ht="15.75" customHeight="1">
      <c r="A61" s="42" t="s">
        <v>5</v>
      </c>
      <c r="B61" s="65">
        <v>3</v>
      </c>
      <c r="C61" s="165"/>
      <c r="D61" s="65">
        <v>3</v>
      </c>
      <c r="E61" s="165"/>
    </row>
    <row r="63" spans="1:5" ht="15.75" customHeight="1">
      <c r="A63" s="2" t="s">
        <v>102</v>
      </c>
    </row>
    <row r="64" spans="1:5" ht="15.75" customHeight="1">
      <c r="A64" s="167" t="s">
        <v>126</v>
      </c>
      <c r="B64" s="149"/>
      <c r="C64" s="150"/>
      <c r="D64" s="167" t="s">
        <v>174</v>
      </c>
      <c r="E64" s="150"/>
    </row>
    <row r="65" spans="1:9" ht="15.75" customHeight="1">
      <c r="A65" s="147" t="s">
        <v>66</v>
      </c>
      <c r="B65" s="42" t="s">
        <v>7</v>
      </c>
      <c r="C65" s="168" t="s">
        <v>67</v>
      </c>
      <c r="D65" s="43" t="s">
        <v>1</v>
      </c>
      <c r="E65" s="168" t="s">
        <v>67</v>
      </c>
    </row>
    <row r="66" spans="1:9" ht="15.75" customHeight="1">
      <c r="A66" s="147"/>
      <c r="B66" s="80">
        <v>30</v>
      </c>
      <c r="C66" s="169"/>
      <c r="D66" s="80">
        <v>7500</v>
      </c>
      <c r="E66" s="169"/>
    </row>
    <row r="67" spans="1:9" ht="15.75" customHeight="1">
      <c r="A67" s="147"/>
      <c r="B67" s="74" t="s">
        <v>70</v>
      </c>
      <c r="C67" s="170"/>
      <c r="D67" s="74" t="s">
        <v>70</v>
      </c>
      <c r="E67" s="170"/>
    </row>
    <row r="68" spans="1:9" ht="15.75" customHeight="1">
      <c r="A68" s="166" t="s">
        <v>127</v>
      </c>
      <c r="B68" s="36">
        <v>27.178000000000001</v>
      </c>
      <c r="C68" s="63">
        <f>ROUND((B68-B66)/B66*100,1)</f>
        <v>-9.4</v>
      </c>
      <c r="D68" s="36">
        <v>7163.3959999999997</v>
      </c>
      <c r="E68" s="63">
        <f>ROUND((D68-D66)/D66*100,1)</f>
        <v>-4.5</v>
      </c>
      <c r="F68" s="2"/>
    </row>
    <row r="69" spans="1:9" ht="15.75" customHeight="1">
      <c r="A69" s="166"/>
      <c r="B69" s="36">
        <v>27.815999999999999</v>
      </c>
      <c r="C69" s="63">
        <f>ROUND((B69-B66)/B66*100,1)</f>
        <v>-7.3</v>
      </c>
      <c r="D69" s="36">
        <v>7357.2790000000005</v>
      </c>
      <c r="E69" s="63">
        <f>ROUND((D69-D66)/D66*100,1)</f>
        <v>-1.9</v>
      </c>
      <c r="F69" s="2"/>
    </row>
    <row r="70" spans="1:9" ht="15.75" customHeight="1">
      <c r="A70" s="166"/>
      <c r="B70" s="36">
        <v>28.773</v>
      </c>
      <c r="C70" s="63">
        <f>ROUND((B70-B66)/B66*100,1)</f>
        <v>-4.0999999999999996</v>
      </c>
      <c r="D70" s="36">
        <v>7345.6880000000001</v>
      </c>
      <c r="E70" s="63">
        <f>ROUND((D70-D66)/D66*100,1)</f>
        <v>-2.1</v>
      </c>
      <c r="F70" s="2"/>
      <c r="G70" s="51"/>
      <c r="H70" s="50" t="s">
        <v>79</v>
      </c>
      <c r="I70" s="49" t="s">
        <v>80</v>
      </c>
    </row>
    <row r="71" spans="1:9" ht="15.75" customHeight="1">
      <c r="A71" s="42" t="s">
        <v>16</v>
      </c>
      <c r="B71" s="36">
        <f>ROUND(AVERAGE(B68:B70),3)</f>
        <v>27.922000000000001</v>
      </c>
      <c r="C71" s="163"/>
      <c r="D71" s="36">
        <f>ROUND(AVERAGE(D68:D70),3)</f>
        <v>7288.7879999999996</v>
      </c>
      <c r="E71" s="163"/>
      <c r="F71" s="2"/>
      <c r="G71" s="42" t="s">
        <v>68</v>
      </c>
      <c r="H71" s="52"/>
      <c r="I71" s="48">
        <f>MAX(B73,D73,B82,D82,B91,D91,B100,D100,B109,D109,B118,D118)</f>
        <v>4.3</v>
      </c>
    </row>
    <row r="72" spans="1:9" ht="15.75" customHeight="1">
      <c r="A72" s="42" t="s">
        <v>4</v>
      </c>
      <c r="B72" s="36">
        <f>ROUND(STDEV(B68:B70),3)</f>
        <v>0.80300000000000005</v>
      </c>
      <c r="C72" s="164"/>
      <c r="D72" s="36">
        <f>ROUND(STDEV(D68:D70),3)</f>
        <v>108.747</v>
      </c>
      <c r="E72" s="164"/>
      <c r="F72" s="2"/>
      <c r="G72" s="42" t="s">
        <v>67</v>
      </c>
      <c r="H72" s="47">
        <f>MIN(B75,D75,B84,D84,B93,D93,B102,D102,B111,D111,B120,D120)</f>
        <v>-8.9</v>
      </c>
      <c r="I72" s="47">
        <f>MAX(B75,D75,B84,D84,B93,D93,B102,D102,B111,D111,B120,D120)</f>
        <v>0.1</v>
      </c>
    </row>
    <row r="73" spans="1:9" ht="15.75" customHeight="1">
      <c r="A73" s="42" t="s">
        <v>68</v>
      </c>
      <c r="B73" s="63">
        <f>ROUND(B72/B71*100,1)</f>
        <v>2.9</v>
      </c>
      <c r="C73" s="164"/>
      <c r="D73" s="63">
        <f>ROUND(D72/D71*100,1)</f>
        <v>1.5</v>
      </c>
      <c r="E73" s="164"/>
      <c r="F73" s="2"/>
    </row>
    <row r="74" spans="1:9" ht="15.75" customHeight="1">
      <c r="A74" s="42" t="s">
        <v>69</v>
      </c>
      <c r="B74" s="63">
        <f>ROUND(B71/B66*100,1)</f>
        <v>93.1</v>
      </c>
      <c r="C74" s="164"/>
      <c r="D74" s="63">
        <f>ROUND(D71/D66*100,1)</f>
        <v>97.2</v>
      </c>
      <c r="E74" s="164"/>
      <c r="F74" s="2"/>
    </row>
    <row r="75" spans="1:9" ht="15.75" customHeight="1">
      <c r="A75" s="42" t="s">
        <v>67</v>
      </c>
      <c r="B75" s="63">
        <f>ROUND((B71-B66)/B66*100,1)</f>
        <v>-6.9</v>
      </c>
      <c r="C75" s="164"/>
      <c r="D75" s="63">
        <f>ROUND((D71-D66)/D66*100,1)</f>
        <v>-2.8</v>
      </c>
      <c r="E75" s="164"/>
      <c r="F75" s="2"/>
    </row>
    <row r="76" spans="1:9" ht="15.75" customHeight="1">
      <c r="A76" s="42" t="s">
        <v>5</v>
      </c>
      <c r="B76" s="65">
        <v>3</v>
      </c>
      <c r="C76" s="165"/>
      <c r="D76" s="65">
        <v>3</v>
      </c>
      <c r="E76" s="165"/>
      <c r="F76" s="2"/>
    </row>
    <row r="77" spans="1:9" ht="15.75" customHeight="1">
      <c r="A77" s="166" t="s">
        <v>129</v>
      </c>
      <c r="B77" s="36">
        <v>29.317</v>
      </c>
      <c r="C77" s="63">
        <f>ROUND((B77-B66)/B66*100,1)</f>
        <v>-2.2999999999999998</v>
      </c>
      <c r="D77" s="36">
        <v>7416.8419999999996</v>
      </c>
      <c r="E77" s="63">
        <f>ROUND((D77-D66)/D66*100,1)</f>
        <v>-1.1000000000000001</v>
      </c>
      <c r="F77" s="2"/>
    </row>
    <row r="78" spans="1:9" ht="15.75" customHeight="1">
      <c r="A78" s="166"/>
      <c r="B78" s="36">
        <v>31.331</v>
      </c>
      <c r="C78" s="63">
        <f>ROUND((B78-B66)/B66*100,1)</f>
        <v>4.4000000000000004</v>
      </c>
      <c r="D78" s="36">
        <v>7500.0110000000004</v>
      </c>
      <c r="E78" s="63">
        <f>ROUND((D78-D66)/D66*100,1)</f>
        <v>0</v>
      </c>
      <c r="F78" s="2"/>
    </row>
    <row r="79" spans="1:9" ht="15.75" customHeight="1">
      <c r="A79" s="166"/>
      <c r="B79" s="36">
        <v>29.181000000000001</v>
      </c>
      <c r="C79" s="63">
        <f>ROUND((B79-B66)/B66*100,1)</f>
        <v>-2.7</v>
      </c>
      <c r="D79" s="36">
        <v>7468.2550000000001</v>
      </c>
      <c r="E79" s="63">
        <f>ROUND((D79-D66)/D66*100,1)</f>
        <v>-0.4</v>
      </c>
      <c r="F79" s="2"/>
    </row>
    <row r="80" spans="1:9" ht="15.75" customHeight="1">
      <c r="A80" s="42" t="s">
        <v>16</v>
      </c>
      <c r="B80" s="36">
        <f>ROUND(AVERAGE(B77:B79),3)</f>
        <v>29.943000000000001</v>
      </c>
      <c r="C80" s="163"/>
      <c r="D80" s="36">
        <f>ROUND(AVERAGE(D77:D79),3)</f>
        <v>7461.7030000000004</v>
      </c>
      <c r="E80" s="163"/>
      <c r="F80" s="2"/>
      <c r="G80" s="2"/>
    </row>
    <row r="81" spans="1:7" ht="15.75" customHeight="1">
      <c r="A81" s="42" t="s">
        <v>4</v>
      </c>
      <c r="B81" s="36">
        <f>ROUND(STDEV(B77:B79),3)</f>
        <v>1.204</v>
      </c>
      <c r="C81" s="164"/>
      <c r="D81" s="36">
        <f>ROUND(STDEV(D77:D79),3)</f>
        <v>41.97</v>
      </c>
      <c r="E81" s="164"/>
      <c r="F81" s="2"/>
      <c r="G81" s="2"/>
    </row>
    <row r="82" spans="1:7" ht="15.75" customHeight="1">
      <c r="A82" s="42" t="s">
        <v>68</v>
      </c>
      <c r="B82" s="63">
        <f>ROUND(B81/B80*100,1)</f>
        <v>4</v>
      </c>
      <c r="C82" s="164"/>
      <c r="D82" s="63">
        <f>ROUND(D81/D80*100,1)</f>
        <v>0.6</v>
      </c>
      <c r="E82" s="164"/>
      <c r="F82" s="2"/>
      <c r="G82" s="2"/>
    </row>
    <row r="83" spans="1:7" ht="15.75" customHeight="1">
      <c r="A83" s="42" t="s">
        <v>69</v>
      </c>
      <c r="B83" s="63">
        <f>ROUND(B80/B66*100,1)</f>
        <v>99.8</v>
      </c>
      <c r="C83" s="164"/>
      <c r="D83" s="63">
        <f>ROUND(D80/D66*100,1)</f>
        <v>99.5</v>
      </c>
      <c r="E83" s="164"/>
      <c r="F83" s="2"/>
      <c r="G83" s="2"/>
    </row>
    <row r="84" spans="1:7" ht="15.75" customHeight="1">
      <c r="A84" s="42" t="s">
        <v>67</v>
      </c>
      <c r="B84" s="63">
        <f>ROUND((B80-B66)/B66*100,1)</f>
        <v>-0.2</v>
      </c>
      <c r="C84" s="164"/>
      <c r="D84" s="63">
        <f>ROUND((D80-D66)/D66*100,1)</f>
        <v>-0.5</v>
      </c>
      <c r="E84" s="164"/>
      <c r="F84" s="2"/>
    </row>
    <row r="85" spans="1:7" ht="15.75" customHeight="1">
      <c r="A85" s="42" t="s">
        <v>5</v>
      </c>
      <c r="B85" s="65">
        <v>3</v>
      </c>
      <c r="C85" s="165"/>
      <c r="D85" s="65">
        <v>3</v>
      </c>
      <c r="E85" s="165"/>
      <c r="F85" s="2"/>
    </row>
    <row r="86" spans="1:7" ht="15.75" customHeight="1">
      <c r="A86" s="154" t="s">
        <v>130</v>
      </c>
      <c r="B86" s="36">
        <v>28.396000000000001</v>
      </c>
      <c r="C86" s="63">
        <f>ROUND((B86-B66)/B66*100,1)</f>
        <v>-5.3</v>
      </c>
      <c r="D86" s="36">
        <v>7587.9660000000003</v>
      </c>
      <c r="E86" s="63">
        <f>ROUND((D86-D66)/D66*100,1)</f>
        <v>1.2</v>
      </c>
    </row>
    <row r="87" spans="1:7" ht="15.75" customHeight="1">
      <c r="A87" s="154"/>
      <c r="B87" s="36">
        <v>27.821000000000002</v>
      </c>
      <c r="C87" s="63">
        <f>ROUND((B87-B66)/B66*100,1)</f>
        <v>-7.3</v>
      </c>
      <c r="D87" s="36">
        <v>7537.17</v>
      </c>
      <c r="E87" s="63">
        <f>ROUND((D87-D66)/D66*100,1)</f>
        <v>0.5</v>
      </c>
    </row>
    <row r="88" spans="1:7" ht="15.75" customHeight="1">
      <c r="A88" s="154"/>
      <c r="B88" s="36">
        <v>27.878</v>
      </c>
      <c r="C88" s="63">
        <f>ROUND((B88-B66)/B66*100,1)</f>
        <v>-7.1</v>
      </c>
      <c r="D88" s="36">
        <v>7405.3969999999999</v>
      </c>
      <c r="E88" s="63">
        <f>ROUND((D88-D66)/D66*100,1)</f>
        <v>-1.3</v>
      </c>
    </row>
    <row r="89" spans="1:7" ht="15.75" customHeight="1">
      <c r="A89" s="42" t="s">
        <v>16</v>
      </c>
      <c r="B89" s="36">
        <f>ROUND(AVERAGE(B86:B88),3)</f>
        <v>28.032</v>
      </c>
      <c r="C89" s="163"/>
      <c r="D89" s="36">
        <f>ROUND(AVERAGE(D86:D88),3)</f>
        <v>7510.1779999999999</v>
      </c>
      <c r="E89" s="163"/>
    </row>
    <row r="90" spans="1:7" ht="15.75" customHeight="1">
      <c r="A90" s="42" t="s">
        <v>4</v>
      </c>
      <c r="B90" s="36">
        <f>ROUND(STDEV(B86:B88),3)</f>
        <v>0.317</v>
      </c>
      <c r="C90" s="164"/>
      <c r="D90" s="36">
        <f>ROUND(STDEV(D86:D88),3)</f>
        <v>94.23</v>
      </c>
      <c r="E90" s="164"/>
    </row>
    <row r="91" spans="1:7" ht="15.75" customHeight="1">
      <c r="A91" s="42" t="s">
        <v>68</v>
      </c>
      <c r="B91" s="63">
        <f>ROUND(B90/B89*100,1)</f>
        <v>1.1000000000000001</v>
      </c>
      <c r="C91" s="164"/>
      <c r="D91" s="63">
        <f>ROUND(D90/D89*100,1)</f>
        <v>1.3</v>
      </c>
      <c r="E91" s="164"/>
    </row>
    <row r="92" spans="1:7" ht="15.75" customHeight="1">
      <c r="A92" s="42" t="s">
        <v>69</v>
      </c>
      <c r="B92" s="63">
        <f>ROUND(B89/B66*100,1)</f>
        <v>93.4</v>
      </c>
      <c r="C92" s="164"/>
      <c r="D92" s="63">
        <f>ROUND(D89/D66*100,1)</f>
        <v>100.1</v>
      </c>
      <c r="E92" s="164"/>
    </row>
    <row r="93" spans="1:7" ht="15.75" customHeight="1">
      <c r="A93" s="42" t="s">
        <v>67</v>
      </c>
      <c r="B93" s="63">
        <f>ROUND((B89-B66)/B66*100,1)</f>
        <v>-6.6</v>
      </c>
      <c r="C93" s="164"/>
      <c r="D93" s="63">
        <f>ROUND((D89-D66)/D66*100,1)</f>
        <v>0.1</v>
      </c>
      <c r="E93" s="164"/>
    </row>
    <row r="94" spans="1:7" ht="15.75" customHeight="1">
      <c r="A94" s="42" t="s">
        <v>5</v>
      </c>
      <c r="B94" s="65">
        <v>3</v>
      </c>
      <c r="C94" s="165"/>
      <c r="D94" s="65">
        <v>3</v>
      </c>
      <c r="E94" s="165"/>
    </row>
    <row r="95" spans="1:7" ht="15.75" customHeight="1">
      <c r="A95" s="154" t="s">
        <v>131</v>
      </c>
      <c r="B95" s="36">
        <v>26.989000000000001</v>
      </c>
      <c r="C95" s="63">
        <f>ROUND((B95-B66)/B66*100,1)</f>
        <v>-10</v>
      </c>
      <c r="D95" s="36">
        <v>7104.7280000000001</v>
      </c>
      <c r="E95" s="63">
        <f>ROUND((D95-D66)/D66*100,1)</f>
        <v>-5.3</v>
      </c>
    </row>
    <row r="96" spans="1:7" ht="15.75" customHeight="1">
      <c r="A96" s="154"/>
      <c r="B96" s="36">
        <v>26.524000000000001</v>
      </c>
      <c r="C96" s="63">
        <f>ROUND((B96-B66)/B66*100,1)</f>
        <v>-11.6</v>
      </c>
      <c r="D96" s="36">
        <v>7343.93</v>
      </c>
      <c r="E96" s="63">
        <f>ROUND((D96-D66)/D66*100,1)</f>
        <v>-2.1</v>
      </c>
    </row>
    <row r="97" spans="1:5" ht="15.75" customHeight="1">
      <c r="A97" s="154"/>
      <c r="B97" s="36">
        <v>28.7</v>
      </c>
      <c r="C97" s="63">
        <f>ROUND((B97-B66)/B66*100,1)</f>
        <v>-4.3</v>
      </c>
      <c r="D97" s="36">
        <v>7496.2449999999999</v>
      </c>
      <c r="E97" s="63">
        <f>ROUND((D97-D66)/D66*100,1)</f>
        <v>-0.1</v>
      </c>
    </row>
    <row r="98" spans="1:5" ht="15.75" customHeight="1">
      <c r="A98" s="42" t="s">
        <v>16</v>
      </c>
      <c r="B98" s="36">
        <f>ROUND(AVERAGE(B95:B97),3)</f>
        <v>27.404</v>
      </c>
      <c r="C98" s="163"/>
      <c r="D98" s="36">
        <f>ROUND(AVERAGE(D95:D97),3)</f>
        <v>7314.9679999999998</v>
      </c>
      <c r="E98" s="163"/>
    </row>
    <row r="99" spans="1:5" ht="15.75" customHeight="1">
      <c r="A99" s="42" t="s">
        <v>4</v>
      </c>
      <c r="B99" s="36">
        <f>ROUND(STDEV(B95:B97),3)</f>
        <v>1.1459999999999999</v>
      </c>
      <c r="C99" s="164"/>
      <c r="D99" s="36">
        <f>ROUND(STDEV(D95:D97),3)</f>
        <v>197.35900000000001</v>
      </c>
      <c r="E99" s="164"/>
    </row>
    <row r="100" spans="1:5" ht="15.75" customHeight="1">
      <c r="A100" s="42" t="s">
        <v>68</v>
      </c>
      <c r="B100" s="63">
        <f>ROUND(B99/B98*100,1)</f>
        <v>4.2</v>
      </c>
      <c r="C100" s="164"/>
      <c r="D100" s="63">
        <f>ROUND(D99/D98*100,1)</f>
        <v>2.7</v>
      </c>
      <c r="E100" s="164"/>
    </row>
    <row r="101" spans="1:5" ht="15.75" customHeight="1">
      <c r="A101" s="42" t="s">
        <v>69</v>
      </c>
      <c r="B101" s="63">
        <f>ROUND(B98/B66*100,1)</f>
        <v>91.3</v>
      </c>
      <c r="C101" s="164"/>
      <c r="D101" s="63">
        <f>ROUND(D98/D66*100,1)</f>
        <v>97.5</v>
      </c>
      <c r="E101" s="164"/>
    </row>
    <row r="102" spans="1:5" ht="15.75" customHeight="1">
      <c r="A102" s="42" t="s">
        <v>67</v>
      </c>
      <c r="B102" s="63">
        <f>ROUND((B98-B66)/B66*100,1)</f>
        <v>-8.6999999999999993</v>
      </c>
      <c r="C102" s="164"/>
      <c r="D102" s="63">
        <f>ROUND((D98-D66)/D66*100,1)</f>
        <v>-2.5</v>
      </c>
      <c r="E102" s="164"/>
    </row>
    <row r="103" spans="1:5" ht="15.75" customHeight="1">
      <c r="A103" s="42" t="s">
        <v>5</v>
      </c>
      <c r="B103" s="65">
        <v>3</v>
      </c>
      <c r="C103" s="165"/>
      <c r="D103" s="65">
        <v>3</v>
      </c>
      <c r="E103" s="165"/>
    </row>
    <row r="104" spans="1:5" ht="15.75" customHeight="1">
      <c r="A104" s="162" t="s">
        <v>133</v>
      </c>
      <c r="B104" s="36">
        <v>27.931000000000001</v>
      </c>
      <c r="C104" s="63">
        <f>ROUND((B104-B66)/B66*100,1)</f>
        <v>-6.9</v>
      </c>
      <c r="D104" s="36">
        <v>7420.9790000000003</v>
      </c>
      <c r="E104" s="63">
        <f>ROUND((D104-D66)/D66*100,1)</f>
        <v>-1.1000000000000001</v>
      </c>
    </row>
    <row r="105" spans="1:5" ht="15.75" customHeight="1">
      <c r="A105" s="162"/>
      <c r="B105" s="36">
        <v>28.213000000000001</v>
      </c>
      <c r="C105" s="63">
        <f>ROUND((B105-B66)/B66*100,1)</f>
        <v>-6</v>
      </c>
      <c r="D105" s="36">
        <v>7216.085</v>
      </c>
      <c r="E105" s="63">
        <f>ROUND((D105-D66)/D66*100,1)</f>
        <v>-3.8</v>
      </c>
    </row>
    <row r="106" spans="1:5" ht="15.75" customHeight="1">
      <c r="A106" s="162"/>
      <c r="B106" s="36">
        <v>30.210999999999999</v>
      </c>
      <c r="C106" s="63">
        <f>ROUND((B106-B66)/B66*100,1)</f>
        <v>0.7</v>
      </c>
      <c r="D106" s="36">
        <v>7235.7110000000002</v>
      </c>
      <c r="E106" s="63">
        <f>ROUND((D106-D66)/D66*100,1)</f>
        <v>-3.5</v>
      </c>
    </row>
    <row r="107" spans="1:5" ht="15.75" customHeight="1">
      <c r="A107" s="42" t="s">
        <v>16</v>
      </c>
      <c r="B107" s="36">
        <f>ROUND(AVERAGE(B104:B106),3)</f>
        <v>28.785</v>
      </c>
      <c r="C107" s="163"/>
      <c r="D107" s="36">
        <f>ROUND(AVERAGE(D104:D106),3)</f>
        <v>7290.9250000000002</v>
      </c>
      <c r="E107" s="163"/>
    </row>
    <row r="108" spans="1:5" ht="15.75" customHeight="1">
      <c r="A108" s="42" t="s">
        <v>4</v>
      </c>
      <c r="B108" s="36">
        <f>ROUND(STDEV(B104:B106),3)</f>
        <v>1.2430000000000001</v>
      </c>
      <c r="C108" s="164"/>
      <c r="D108" s="36">
        <f>ROUND(STDEV(D104:D106),3)</f>
        <v>113.057</v>
      </c>
      <c r="E108" s="164"/>
    </row>
    <row r="109" spans="1:5" ht="15.75" customHeight="1">
      <c r="A109" s="42" t="s">
        <v>68</v>
      </c>
      <c r="B109" s="63">
        <f>ROUND(B108/B107*100,1)</f>
        <v>4.3</v>
      </c>
      <c r="C109" s="164"/>
      <c r="D109" s="63">
        <f>ROUND(D108/D107*100,1)</f>
        <v>1.6</v>
      </c>
      <c r="E109" s="164"/>
    </row>
    <row r="110" spans="1:5" ht="15.75" customHeight="1">
      <c r="A110" s="42" t="s">
        <v>69</v>
      </c>
      <c r="B110" s="63">
        <f>ROUND(B107/B66*100,1)</f>
        <v>96</v>
      </c>
      <c r="C110" s="164"/>
      <c r="D110" s="63">
        <f>ROUND(D107/D66*100,1)</f>
        <v>97.2</v>
      </c>
      <c r="E110" s="164"/>
    </row>
    <row r="111" spans="1:5" ht="15.75" customHeight="1">
      <c r="A111" s="42" t="s">
        <v>67</v>
      </c>
      <c r="B111" s="63">
        <f>ROUND((B107-B66)/B66*100,1)</f>
        <v>-4.0999999999999996</v>
      </c>
      <c r="C111" s="164"/>
      <c r="D111" s="63">
        <f>ROUND((D107-D66)/D66*100,1)</f>
        <v>-2.8</v>
      </c>
      <c r="E111" s="164"/>
    </row>
    <row r="112" spans="1:5" ht="15.75" customHeight="1">
      <c r="A112" s="42" t="s">
        <v>5</v>
      </c>
      <c r="B112" s="65">
        <v>3</v>
      </c>
      <c r="C112" s="165"/>
      <c r="D112" s="65">
        <v>3</v>
      </c>
      <c r="E112" s="165"/>
    </row>
    <row r="113" spans="1:5" ht="15.75" customHeight="1">
      <c r="A113" s="162" t="s">
        <v>134</v>
      </c>
      <c r="B113" s="36">
        <v>28.123999999999999</v>
      </c>
      <c r="C113" s="63">
        <f>ROUND((B113-B66)/B66*100,1)</f>
        <v>-6.3</v>
      </c>
      <c r="D113" s="36">
        <v>7222.6710000000003</v>
      </c>
      <c r="E113" s="63">
        <f>ROUND((D113-D66)/D66*100,1)</f>
        <v>-3.7</v>
      </c>
    </row>
    <row r="114" spans="1:5" ht="15.75" customHeight="1">
      <c r="A114" s="162"/>
      <c r="B114" s="36">
        <v>27.45</v>
      </c>
      <c r="C114" s="63">
        <f>ROUND((B114-B66)/B66*100,1)</f>
        <v>-8.5</v>
      </c>
      <c r="D114" s="36">
        <v>7286.4229999999998</v>
      </c>
      <c r="E114" s="63">
        <f>ROUND((D114-D66)/D66*100,1)</f>
        <v>-2.8</v>
      </c>
    </row>
    <row r="115" spans="1:5" ht="15.75" customHeight="1">
      <c r="A115" s="162"/>
      <c r="B115" s="36">
        <v>26.45</v>
      </c>
      <c r="C115" s="63">
        <f>ROUND((B115-B66)/B66*100,1)</f>
        <v>-11.8</v>
      </c>
      <c r="D115" s="36">
        <v>7292.7839999999997</v>
      </c>
      <c r="E115" s="63">
        <f>ROUND((D115-D66)/D66*100,1)</f>
        <v>-2.8</v>
      </c>
    </row>
    <row r="116" spans="1:5" ht="15.75" customHeight="1">
      <c r="A116" s="42" t="s">
        <v>16</v>
      </c>
      <c r="B116" s="36">
        <f>ROUND(AVERAGE(B113:B115),3)</f>
        <v>27.341000000000001</v>
      </c>
      <c r="C116" s="163"/>
      <c r="D116" s="36">
        <f>ROUND(AVERAGE(D113:D115),3)</f>
        <v>7267.2929999999997</v>
      </c>
      <c r="E116" s="163"/>
    </row>
    <row r="117" spans="1:5" ht="15.75" customHeight="1">
      <c r="A117" s="42" t="s">
        <v>4</v>
      </c>
      <c r="B117" s="36">
        <f>ROUND(STDEV(B113:B115),3)</f>
        <v>0.84199999999999997</v>
      </c>
      <c r="C117" s="164"/>
      <c r="D117" s="36">
        <f>ROUND(STDEV(D113:D115),3)</f>
        <v>38.774000000000001</v>
      </c>
      <c r="E117" s="164"/>
    </row>
    <row r="118" spans="1:5" ht="15.75" customHeight="1">
      <c r="A118" s="42" t="s">
        <v>68</v>
      </c>
      <c r="B118" s="63">
        <f>ROUND(B117/B116*100,1)</f>
        <v>3.1</v>
      </c>
      <c r="C118" s="164"/>
      <c r="D118" s="63">
        <f>ROUND(D117/D116*100,1)</f>
        <v>0.5</v>
      </c>
      <c r="E118" s="164"/>
    </row>
    <row r="119" spans="1:5" ht="15.75" customHeight="1">
      <c r="A119" s="42" t="s">
        <v>69</v>
      </c>
      <c r="B119" s="63">
        <f>ROUND(B116/B66*100,1)</f>
        <v>91.1</v>
      </c>
      <c r="C119" s="164"/>
      <c r="D119" s="63">
        <f>ROUND(D116/D66*100,1)</f>
        <v>96.9</v>
      </c>
      <c r="E119" s="164"/>
    </row>
    <row r="120" spans="1:5" ht="15.75" customHeight="1">
      <c r="A120" s="42" t="s">
        <v>67</v>
      </c>
      <c r="B120" s="63">
        <f>ROUND((B116-B66)/B66*100,1)</f>
        <v>-8.9</v>
      </c>
      <c r="C120" s="164"/>
      <c r="D120" s="63">
        <f>ROUND((D116-D66)/D66*100,1)</f>
        <v>-3.1</v>
      </c>
      <c r="E120" s="164"/>
    </row>
    <row r="121" spans="1:5" ht="15.75" customHeight="1">
      <c r="A121" s="42" t="s">
        <v>5</v>
      </c>
      <c r="B121" s="65">
        <v>3</v>
      </c>
      <c r="C121" s="165"/>
      <c r="D121" s="65">
        <v>3</v>
      </c>
      <c r="E121" s="165"/>
    </row>
  </sheetData>
  <autoFilter ref="A67:I121" xr:uid="{00000000-0001-0000-0B00-000000000000}"/>
  <mergeCells count="46">
    <mergeCell ref="C47:C52"/>
    <mergeCell ref="E47:E52"/>
    <mergeCell ref="A53:A55"/>
    <mergeCell ref="C56:C61"/>
    <mergeCell ref="E56:E61"/>
    <mergeCell ref="A44:A46"/>
    <mergeCell ref="C11:C16"/>
    <mergeCell ref="E11:E16"/>
    <mergeCell ref="A17:A19"/>
    <mergeCell ref="C20:C25"/>
    <mergeCell ref="E20:E25"/>
    <mergeCell ref="A26:A28"/>
    <mergeCell ref="C29:C34"/>
    <mergeCell ref="E29:E34"/>
    <mergeCell ref="A35:A37"/>
    <mergeCell ref="C38:C43"/>
    <mergeCell ref="E38:E43"/>
    <mergeCell ref="A8:A10"/>
    <mergeCell ref="A4:C4"/>
    <mergeCell ref="D4:E4"/>
    <mergeCell ref="A5:A7"/>
    <mergeCell ref="C5:C7"/>
    <mergeCell ref="E5:E7"/>
    <mergeCell ref="A64:C64"/>
    <mergeCell ref="D64:E64"/>
    <mergeCell ref="A65:A67"/>
    <mergeCell ref="C65:C67"/>
    <mergeCell ref="E65:E67"/>
    <mergeCell ref="A68:A70"/>
    <mergeCell ref="C71:C76"/>
    <mergeCell ref="E71:E76"/>
    <mergeCell ref="A77:A79"/>
    <mergeCell ref="C80:C85"/>
    <mergeCell ref="E80:E85"/>
    <mergeCell ref="A86:A88"/>
    <mergeCell ref="C89:C94"/>
    <mergeCell ref="E89:E94"/>
    <mergeCell ref="A95:A97"/>
    <mergeCell ref="C98:C103"/>
    <mergeCell ref="E98:E103"/>
    <mergeCell ref="A104:A106"/>
    <mergeCell ref="C107:C112"/>
    <mergeCell ref="E107:E112"/>
    <mergeCell ref="A113:A115"/>
    <mergeCell ref="C116:C121"/>
    <mergeCell ref="E116:E121"/>
  </mergeCells>
  <phoneticPr fontId="21" type="noConversion"/>
  <printOptions headings="1" gridLines="1"/>
  <pageMargins left="0.70866141732283472" right="0.70866141732283472" top="0.74803149606299213" bottom="0.74803149606299213" header="0.31496062992125984" footer="0.31496062992125984"/>
  <pageSetup scale="29" orientation="landscape" r:id="rId1"/>
  <headerFooter>
    <oddHeader>&amp;CSSC23009MV01验证数据汇总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84A5-7174-4587-B0F5-7A92C3502921}">
  <sheetPr>
    <tabColor rgb="FF00B050"/>
    <pageSetUpPr fitToPage="1"/>
  </sheetPr>
  <dimension ref="A2:P92"/>
  <sheetViews>
    <sheetView topLeftCell="A73" zoomScaleNormal="100" zoomScaleSheetLayoutView="100" workbookViewId="0">
      <selection activeCell="S23" sqref="S23"/>
    </sheetView>
  </sheetViews>
  <sheetFormatPr defaultColWidth="8.875" defaultRowHeight="13.5"/>
  <cols>
    <col min="1" max="1" width="24.625" style="8" customWidth="1"/>
    <col min="2" max="2" width="9.875" style="8" customWidth="1"/>
    <col min="3" max="10" width="10.875" style="8" customWidth="1"/>
    <col min="11" max="11" width="12.375" style="8" customWidth="1"/>
    <col min="12" max="12" width="12" style="8" customWidth="1"/>
    <col min="13" max="16384" width="8.875" style="8"/>
  </cols>
  <sheetData>
    <row r="2" spans="1:16">
      <c r="A2" s="138" t="s">
        <v>36</v>
      </c>
      <c r="B2" s="138"/>
      <c r="C2" s="138"/>
      <c r="D2" s="138"/>
      <c r="E2" s="138"/>
    </row>
    <row r="3" spans="1:16">
      <c r="A3" s="10"/>
      <c r="B3" s="10"/>
      <c r="C3" s="10"/>
      <c r="D3" s="10"/>
      <c r="E3" s="10"/>
    </row>
    <row r="4" spans="1:16">
      <c r="A4" s="181"/>
      <c r="B4" s="181"/>
      <c r="C4" s="181"/>
      <c r="D4" s="181"/>
      <c r="E4" s="181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</row>
    <row r="5" spans="1:16">
      <c r="A5" s="104" t="s">
        <v>101</v>
      </c>
      <c r="B5" s="104"/>
      <c r="C5" s="104"/>
      <c r="D5" s="104"/>
      <c r="E5" s="104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</row>
    <row r="6" spans="1:16" ht="14.1" customHeight="1">
      <c r="A6" s="180" t="s">
        <v>11</v>
      </c>
      <c r="B6" s="180" t="s">
        <v>9</v>
      </c>
      <c r="C6" s="102" t="s">
        <v>0</v>
      </c>
      <c r="D6" s="180" t="s">
        <v>43</v>
      </c>
      <c r="E6" s="106" t="s">
        <v>3</v>
      </c>
      <c r="F6" s="180" t="s">
        <v>43</v>
      </c>
      <c r="G6" s="106" t="s">
        <v>64</v>
      </c>
      <c r="H6" s="180" t="s">
        <v>43</v>
      </c>
      <c r="I6" s="106" t="s">
        <v>65</v>
      </c>
      <c r="J6" s="180" t="s">
        <v>43</v>
      </c>
      <c r="K6" s="106" t="s">
        <v>1</v>
      </c>
      <c r="L6" s="180" t="s">
        <v>43</v>
      </c>
      <c r="M6" s="105"/>
      <c r="N6" s="105"/>
      <c r="O6" s="105"/>
      <c r="P6" s="105"/>
    </row>
    <row r="7" spans="1:16" ht="14.1" customHeight="1">
      <c r="A7" s="180"/>
      <c r="B7" s="180"/>
      <c r="C7" s="107">
        <v>10</v>
      </c>
      <c r="D7" s="180"/>
      <c r="E7" s="107">
        <v>30</v>
      </c>
      <c r="F7" s="180"/>
      <c r="G7" s="107">
        <v>300</v>
      </c>
      <c r="H7" s="180"/>
      <c r="I7" s="107">
        <v>3000</v>
      </c>
      <c r="J7" s="180"/>
      <c r="K7" s="107">
        <v>7500</v>
      </c>
      <c r="L7" s="180"/>
      <c r="M7" s="105"/>
      <c r="N7" s="105"/>
      <c r="O7" s="105"/>
      <c r="P7" s="105"/>
    </row>
    <row r="8" spans="1:16" ht="14.1" customHeight="1">
      <c r="A8" s="180"/>
      <c r="B8" s="180"/>
      <c r="C8" s="103" t="s">
        <v>6</v>
      </c>
      <c r="D8" s="180"/>
      <c r="E8" s="103" t="s">
        <v>6</v>
      </c>
      <c r="F8" s="180"/>
      <c r="G8" s="103" t="s">
        <v>6</v>
      </c>
      <c r="H8" s="180"/>
      <c r="I8" s="103" t="s">
        <v>6</v>
      </c>
      <c r="J8" s="180"/>
      <c r="K8" s="103" t="s">
        <v>6</v>
      </c>
      <c r="L8" s="180"/>
      <c r="M8" s="105"/>
      <c r="N8" s="105"/>
      <c r="O8" s="105"/>
      <c r="P8" s="105"/>
    </row>
    <row r="9" spans="1:16">
      <c r="A9" s="171">
        <v>45792</v>
      </c>
      <c r="B9" s="172">
        <v>1</v>
      </c>
      <c r="C9" s="108">
        <v>11.731</v>
      </c>
      <c r="D9" s="109">
        <v>17.3</v>
      </c>
      <c r="E9" s="108">
        <v>28.824999999999999</v>
      </c>
      <c r="F9" s="109">
        <v>-3.9</v>
      </c>
      <c r="G9" s="108">
        <v>334.17200000000003</v>
      </c>
      <c r="H9" s="109">
        <v>11.4</v>
      </c>
      <c r="I9" s="108">
        <v>2999.4780000000001</v>
      </c>
      <c r="J9" s="109">
        <v>0</v>
      </c>
      <c r="K9" s="108">
        <v>7233.0150000000003</v>
      </c>
      <c r="L9" s="109">
        <v>-3.6</v>
      </c>
      <c r="M9" s="105"/>
      <c r="N9" s="105"/>
      <c r="O9" s="105"/>
      <c r="P9" s="105"/>
    </row>
    <row r="10" spans="1:16">
      <c r="A10" s="171"/>
      <c r="B10" s="173"/>
      <c r="C10" s="108">
        <v>11.87</v>
      </c>
      <c r="D10" s="109">
        <v>18.7</v>
      </c>
      <c r="E10" s="108">
        <v>32.698</v>
      </c>
      <c r="F10" s="109">
        <v>9</v>
      </c>
      <c r="G10" s="108">
        <v>324.89999999999998</v>
      </c>
      <c r="H10" s="109">
        <v>8.3000000000000007</v>
      </c>
      <c r="I10" s="108">
        <v>3044.2049999999999</v>
      </c>
      <c r="J10" s="109">
        <v>1.5</v>
      </c>
      <c r="K10" s="108">
        <v>7458.7950000000001</v>
      </c>
      <c r="L10" s="109">
        <v>-0.5</v>
      </c>
      <c r="M10" s="105"/>
      <c r="N10" s="105"/>
      <c r="O10" s="105"/>
      <c r="P10" s="105"/>
    </row>
    <row r="11" spans="1:16">
      <c r="A11" s="171"/>
      <c r="B11" s="173"/>
      <c r="C11" s="108">
        <v>10.5</v>
      </c>
      <c r="D11" s="109">
        <v>5</v>
      </c>
      <c r="E11" s="108" t="s">
        <v>185</v>
      </c>
      <c r="F11" s="109">
        <v>20.399999999999999</v>
      </c>
      <c r="G11" s="108">
        <v>295.77199999999999</v>
      </c>
      <c r="H11" s="109">
        <v>-1.4</v>
      </c>
      <c r="I11" s="108">
        <v>3069.5630000000001</v>
      </c>
      <c r="J11" s="109">
        <v>2.2999999999999998</v>
      </c>
      <c r="K11" s="108">
        <v>7114.424</v>
      </c>
      <c r="L11" s="109">
        <v>-5.0999999999999996</v>
      </c>
      <c r="M11" s="105"/>
      <c r="N11" s="105"/>
      <c r="O11" s="105"/>
      <c r="P11" s="105"/>
    </row>
    <row r="12" spans="1:16">
      <c r="A12" s="171"/>
      <c r="B12" s="173"/>
      <c r="C12" s="108" t="s">
        <v>184</v>
      </c>
      <c r="D12" s="109">
        <v>23.6</v>
      </c>
      <c r="E12" s="108">
        <v>28.093</v>
      </c>
      <c r="F12" s="109">
        <v>-6.4</v>
      </c>
      <c r="G12" s="108">
        <v>319.18400000000003</v>
      </c>
      <c r="H12" s="109">
        <v>6.4</v>
      </c>
      <c r="I12" s="108">
        <v>3087.4279999999999</v>
      </c>
      <c r="J12" s="109">
        <v>2.9</v>
      </c>
      <c r="K12" s="108">
        <v>7149.098</v>
      </c>
      <c r="L12" s="109">
        <v>-4.7</v>
      </c>
      <c r="M12" s="105"/>
      <c r="N12" s="105"/>
      <c r="O12" s="105"/>
      <c r="P12" s="105"/>
    </row>
    <row r="13" spans="1:16">
      <c r="A13" s="171"/>
      <c r="B13" s="173"/>
      <c r="C13" s="108">
        <v>9.9870000000000001</v>
      </c>
      <c r="D13" s="109">
        <v>-0.1</v>
      </c>
      <c r="E13" s="108">
        <v>29.856000000000002</v>
      </c>
      <c r="F13" s="109">
        <v>-0.5</v>
      </c>
      <c r="G13" s="108">
        <v>320.99099999999999</v>
      </c>
      <c r="H13" s="109">
        <v>7</v>
      </c>
      <c r="I13" s="108">
        <v>3089.0439999999999</v>
      </c>
      <c r="J13" s="109">
        <v>3</v>
      </c>
      <c r="K13" s="108">
        <v>7147.1480000000001</v>
      </c>
      <c r="L13" s="109">
        <v>-4.7</v>
      </c>
      <c r="M13" s="105"/>
      <c r="N13" s="105"/>
      <c r="O13" s="105"/>
      <c r="P13" s="105"/>
    </row>
    <row r="14" spans="1:16">
      <c r="A14" s="171"/>
      <c r="B14" s="174"/>
      <c r="C14" s="108">
        <v>8.2870000000000008</v>
      </c>
      <c r="D14" s="109">
        <v>-17.100000000000001</v>
      </c>
      <c r="E14" s="108">
        <v>29.248999999999999</v>
      </c>
      <c r="F14" s="109">
        <v>-2.5</v>
      </c>
      <c r="G14" s="108">
        <v>302.166</v>
      </c>
      <c r="H14" s="109">
        <v>0.7</v>
      </c>
      <c r="I14" s="108">
        <v>3039.6410000000001</v>
      </c>
      <c r="J14" s="109">
        <v>1.3</v>
      </c>
      <c r="K14" s="108">
        <v>7096.4070000000002</v>
      </c>
      <c r="L14" s="109">
        <v>-5.4</v>
      </c>
      <c r="M14" s="105"/>
      <c r="N14" s="105"/>
      <c r="O14" s="105"/>
      <c r="P14" s="105"/>
    </row>
    <row r="15" spans="1:16" ht="13.5" customHeight="1">
      <c r="A15" s="106" t="s">
        <v>169</v>
      </c>
      <c r="B15" s="175"/>
      <c r="C15" s="108">
        <v>10.789</v>
      </c>
      <c r="D15" s="175"/>
      <c r="E15" s="108">
        <v>30.806000000000001</v>
      </c>
      <c r="F15" s="175"/>
      <c r="G15" s="108">
        <v>316.19799999999998</v>
      </c>
      <c r="H15" s="175"/>
      <c r="I15" s="108">
        <v>3054.893</v>
      </c>
      <c r="J15" s="175"/>
      <c r="K15" s="108">
        <v>7199.8149999999996</v>
      </c>
      <c r="L15" s="175"/>
      <c r="M15" s="105"/>
      <c r="N15" s="105"/>
      <c r="O15" s="105"/>
      <c r="P15" s="105"/>
    </row>
    <row r="16" spans="1:16" ht="13.5" customHeight="1">
      <c r="A16" s="106" t="s">
        <v>170</v>
      </c>
      <c r="B16" s="176"/>
      <c r="C16" s="108">
        <v>1.516</v>
      </c>
      <c r="D16" s="176"/>
      <c r="E16" s="108">
        <v>3.0459999999999998</v>
      </c>
      <c r="F16" s="176"/>
      <c r="G16" s="108">
        <v>14.455</v>
      </c>
      <c r="H16" s="176"/>
      <c r="I16" s="108">
        <v>34.228000000000002</v>
      </c>
      <c r="J16" s="176"/>
      <c r="K16" s="108">
        <v>135.28</v>
      </c>
      <c r="L16" s="176"/>
      <c r="M16" s="105"/>
      <c r="N16" s="105"/>
      <c r="O16" s="105"/>
      <c r="P16" s="105"/>
    </row>
    <row r="17" spans="1:16" ht="13.5" customHeight="1">
      <c r="A17" s="106" t="s">
        <v>45</v>
      </c>
      <c r="B17" s="176"/>
      <c r="C17" s="109">
        <v>14.1</v>
      </c>
      <c r="D17" s="176"/>
      <c r="E17" s="109">
        <v>9.9</v>
      </c>
      <c r="F17" s="176"/>
      <c r="G17" s="109">
        <v>4.5999999999999996</v>
      </c>
      <c r="H17" s="176"/>
      <c r="I17" s="109">
        <v>1.1000000000000001</v>
      </c>
      <c r="J17" s="176"/>
      <c r="K17" s="109">
        <v>1.9</v>
      </c>
      <c r="L17" s="176"/>
      <c r="M17" s="105"/>
      <c r="N17" s="105"/>
      <c r="O17" s="105"/>
      <c r="P17" s="105"/>
    </row>
    <row r="18" spans="1:16" ht="13.5" customHeight="1">
      <c r="A18" s="106" t="s">
        <v>46</v>
      </c>
      <c r="B18" s="176"/>
      <c r="C18" s="109">
        <v>7.9</v>
      </c>
      <c r="D18" s="176"/>
      <c r="E18" s="109">
        <v>2.7</v>
      </c>
      <c r="F18" s="176"/>
      <c r="G18" s="109">
        <v>5.4</v>
      </c>
      <c r="H18" s="176"/>
      <c r="I18" s="109">
        <v>1.8</v>
      </c>
      <c r="J18" s="176"/>
      <c r="K18" s="109">
        <v>-4</v>
      </c>
      <c r="L18" s="176"/>
      <c r="M18" s="105"/>
      <c r="N18" s="105"/>
      <c r="O18" s="105"/>
      <c r="P18" s="105"/>
    </row>
    <row r="19" spans="1:16" ht="13.5" customHeight="1">
      <c r="A19" s="106" t="s">
        <v>5</v>
      </c>
      <c r="B19" s="177"/>
      <c r="C19" s="110">
        <v>6</v>
      </c>
      <c r="D19" s="177"/>
      <c r="E19" s="110">
        <v>6</v>
      </c>
      <c r="F19" s="177"/>
      <c r="G19" s="110">
        <v>6</v>
      </c>
      <c r="H19" s="177"/>
      <c r="I19" s="110">
        <v>6</v>
      </c>
      <c r="J19" s="177"/>
      <c r="K19" s="110">
        <v>6</v>
      </c>
      <c r="L19" s="177"/>
      <c r="M19" s="105"/>
      <c r="N19" s="105"/>
      <c r="O19" s="105"/>
      <c r="P19" s="105"/>
    </row>
    <row r="20" spans="1:16">
      <c r="A20" s="171">
        <v>45794</v>
      </c>
      <c r="B20" s="172">
        <v>3</v>
      </c>
      <c r="C20" s="108">
        <v>11.35</v>
      </c>
      <c r="D20" s="109">
        <v>13.5</v>
      </c>
      <c r="E20" s="108">
        <v>31.646000000000001</v>
      </c>
      <c r="F20" s="109">
        <v>5.5</v>
      </c>
      <c r="G20" s="108">
        <v>301.22899999999998</v>
      </c>
      <c r="H20" s="109">
        <v>0.4</v>
      </c>
      <c r="I20" s="108">
        <v>2974.1509999999998</v>
      </c>
      <c r="J20" s="109">
        <v>-0.9</v>
      </c>
      <c r="K20" s="108">
        <v>7318.9409999999998</v>
      </c>
      <c r="L20" s="109">
        <v>-2.4</v>
      </c>
      <c r="M20" s="105"/>
      <c r="N20" s="8" t="s">
        <v>171</v>
      </c>
    </row>
    <row r="21" spans="1:16">
      <c r="A21" s="171"/>
      <c r="B21" s="173"/>
      <c r="C21" s="108">
        <v>8.7590000000000003</v>
      </c>
      <c r="D21" s="109">
        <v>-12.4</v>
      </c>
      <c r="E21" s="108">
        <v>29.437000000000001</v>
      </c>
      <c r="F21" s="109">
        <v>-1.9</v>
      </c>
      <c r="G21" s="108">
        <v>297.80399999999997</v>
      </c>
      <c r="H21" s="109">
        <v>-0.7</v>
      </c>
      <c r="I21" s="108">
        <v>2982.9160000000002</v>
      </c>
      <c r="J21" s="109">
        <v>-0.6</v>
      </c>
      <c r="K21" s="108">
        <v>7205.7849999999999</v>
      </c>
      <c r="L21" s="109">
        <v>-3.9</v>
      </c>
      <c r="M21" s="105"/>
      <c r="N21" s="8" t="s">
        <v>195</v>
      </c>
      <c r="O21" s="8" t="s">
        <v>59</v>
      </c>
      <c r="P21" s="8" t="s">
        <v>60</v>
      </c>
    </row>
    <row r="22" spans="1:16">
      <c r="A22" s="171"/>
      <c r="B22" s="173"/>
      <c r="C22" s="108">
        <v>9.6140000000000008</v>
      </c>
      <c r="D22" s="109">
        <v>-3.9</v>
      </c>
      <c r="E22" s="108">
        <v>29.151</v>
      </c>
      <c r="F22" s="109">
        <v>-2.8</v>
      </c>
      <c r="G22" s="108">
        <v>294.71199999999999</v>
      </c>
      <c r="H22" s="109">
        <v>-1.8</v>
      </c>
      <c r="I22" s="108">
        <v>3025.002</v>
      </c>
      <c r="J22" s="109">
        <v>0.8</v>
      </c>
      <c r="K22" s="108">
        <v>7354.2290000000003</v>
      </c>
      <c r="L22" s="109">
        <v>-1.9</v>
      </c>
      <c r="M22" s="105"/>
      <c r="N22" s="8" t="s">
        <v>61</v>
      </c>
      <c r="O22" s="111">
        <f>MAX(E18,G18,I18,K18,E29,G29,I29,K29,E40,G40,I40,K40)</f>
        <v>5.4</v>
      </c>
      <c r="P22" s="111">
        <f>MIN(E18,G18,I18,K18,E29,G29,I29,K29,E40,G40,I40,K40)</f>
        <v>-4</v>
      </c>
    </row>
    <row r="23" spans="1:16">
      <c r="A23" s="171"/>
      <c r="B23" s="173"/>
      <c r="C23" s="108" t="s">
        <v>183</v>
      </c>
      <c r="D23" s="109">
        <v>34.799999999999997</v>
      </c>
      <c r="E23" s="108">
        <v>31.125</v>
      </c>
      <c r="F23" s="109">
        <v>3.8</v>
      </c>
      <c r="G23" s="108">
        <v>296.12299999999999</v>
      </c>
      <c r="H23" s="109">
        <v>-1.3</v>
      </c>
      <c r="I23" s="108">
        <v>3141.4960000000001</v>
      </c>
      <c r="J23" s="109">
        <v>4.7</v>
      </c>
      <c r="K23" s="108">
        <v>7709.1149999999998</v>
      </c>
      <c r="L23" s="109">
        <v>2.8</v>
      </c>
      <c r="M23" s="105"/>
      <c r="N23" s="8" t="s">
        <v>62</v>
      </c>
      <c r="O23" s="111">
        <f>MAX(E17,G17,I17,K17,E28,G28,I28,K28,E39,G39,I39,K39)</f>
        <v>9.9</v>
      </c>
      <c r="P23" s="111">
        <f>MIN(E17,G17,I17,K17,E28,G28,I28,K28,E39,G39,I39,K39)</f>
        <v>1.1000000000000001</v>
      </c>
    </row>
    <row r="24" spans="1:16">
      <c r="A24" s="171"/>
      <c r="B24" s="173"/>
      <c r="C24" s="108" t="s">
        <v>182</v>
      </c>
      <c r="D24" s="109">
        <v>28.8</v>
      </c>
      <c r="E24" s="108">
        <v>30.593</v>
      </c>
      <c r="F24" s="109">
        <v>2</v>
      </c>
      <c r="G24" s="108">
        <v>309.46100000000001</v>
      </c>
      <c r="H24" s="109">
        <v>3.2</v>
      </c>
      <c r="I24" s="108">
        <v>3083.2510000000002</v>
      </c>
      <c r="J24" s="109">
        <v>2.8</v>
      </c>
      <c r="K24" s="108">
        <v>7855.5559999999996</v>
      </c>
      <c r="L24" s="109">
        <v>4.7</v>
      </c>
      <c r="M24" s="105"/>
    </row>
    <row r="25" spans="1:16">
      <c r="A25" s="171"/>
      <c r="B25" s="174"/>
      <c r="C25" s="108">
        <v>9.2919999999999998</v>
      </c>
      <c r="D25" s="109">
        <v>-7.1</v>
      </c>
      <c r="E25" s="108">
        <v>31.181000000000001</v>
      </c>
      <c r="F25" s="109">
        <v>3.9</v>
      </c>
      <c r="G25" s="108">
        <v>298.08199999999999</v>
      </c>
      <c r="H25" s="109">
        <v>-0.6</v>
      </c>
      <c r="I25" s="108">
        <v>3123.2539999999999</v>
      </c>
      <c r="J25" s="109">
        <v>4.0999999999999996</v>
      </c>
      <c r="K25" s="108">
        <v>7778.4459999999999</v>
      </c>
      <c r="L25" s="109">
        <v>3.7</v>
      </c>
      <c r="M25" s="105"/>
      <c r="N25" s="8" t="s">
        <v>196</v>
      </c>
      <c r="O25" s="8" t="s">
        <v>59</v>
      </c>
      <c r="P25" s="8" t="s">
        <v>60</v>
      </c>
    </row>
    <row r="26" spans="1:16" ht="13.5" customHeight="1">
      <c r="A26" s="106" t="s">
        <v>169</v>
      </c>
      <c r="B26" s="175"/>
      <c r="C26" s="108">
        <v>10.896000000000001</v>
      </c>
      <c r="D26" s="175"/>
      <c r="E26" s="108">
        <v>30.521999999999998</v>
      </c>
      <c r="F26" s="175"/>
      <c r="G26" s="108">
        <v>299.56900000000002</v>
      </c>
      <c r="H26" s="175"/>
      <c r="I26" s="108">
        <v>3055.0120000000002</v>
      </c>
      <c r="J26" s="175"/>
      <c r="K26" s="108">
        <v>7537.0119999999997</v>
      </c>
      <c r="L26" s="175"/>
      <c r="M26" s="105"/>
      <c r="N26" s="8" t="s">
        <v>61</v>
      </c>
      <c r="O26" s="111">
        <f>MAX(E45,G45,I45,K45)</f>
        <v>2</v>
      </c>
      <c r="P26" s="111">
        <f>MIN(E45,G45,I45,K45)</f>
        <v>-0.9</v>
      </c>
    </row>
    <row r="27" spans="1:16" ht="13.5" customHeight="1">
      <c r="A27" s="106" t="s">
        <v>170</v>
      </c>
      <c r="B27" s="176"/>
      <c r="C27" s="108">
        <v>1.98</v>
      </c>
      <c r="D27" s="176"/>
      <c r="E27" s="108">
        <v>1.012</v>
      </c>
      <c r="F27" s="176"/>
      <c r="G27" s="108">
        <v>5.3179999999999996</v>
      </c>
      <c r="H27" s="176"/>
      <c r="I27" s="108">
        <v>71.513000000000005</v>
      </c>
      <c r="J27" s="176"/>
      <c r="K27" s="108">
        <v>275.70100000000002</v>
      </c>
      <c r="L27" s="176"/>
      <c r="M27" s="105"/>
      <c r="N27" s="8" t="s">
        <v>62</v>
      </c>
      <c r="O27" s="111">
        <f>MAX(E44,G44,I44,K44)</f>
        <v>6.8</v>
      </c>
      <c r="P27" s="111">
        <f>MIN(E44,G44,I44,K44)</f>
        <v>1.6</v>
      </c>
    </row>
    <row r="28" spans="1:16" ht="13.5" customHeight="1">
      <c r="A28" s="106" t="s">
        <v>45</v>
      </c>
      <c r="B28" s="176"/>
      <c r="C28" s="109">
        <v>18.2</v>
      </c>
      <c r="D28" s="176"/>
      <c r="E28" s="109">
        <v>3.3</v>
      </c>
      <c r="F28" s="176"/>
      <c r="G28" s="109">
        <v>1.8</v>
      </c>
      <c r="H28" s="176"/>
      <c r="I28" s="109">
        <v>2.2999999999999998</v>
      </c>
      <c r="J28" s="176"/>
      <c r="K28" s="109">
        <v>3.7</v>
      </c>
      <c r="L28" s="176"/>
      <c r="M28" s="105"/>
    </row>
    <row r="29" spans="1:16" ht="13.5" customHeight="1">
      <c r="A29" s="106" t="s">
        <v>46</v>
      </c>
      <c r="B29" s="176"/>
      <c r="C29" s="109">
        <v>9</v>
      </c>
      <c r="D29" s="176"/>
      <c r="E29" s="109">
        <v>1.7</v>
      </c>
      <c r="F29" s="176"/>
      <c r="G29" s="109">
        <v>-0.1</v>
      </c>
      <c r="H29" s="176"/>
      <c r="I29" s="109">
        <v>1.8</v>
      </c>
      <c r="J29" s="176"/>
      <c r="K29" s="109">
        <v>0.5</v>
      </c>
      <c r="L29" s="176"/>
      <c r="M29" s="105"/>
      <c r="N29" s="8" t="s">
        <v>63</v>
      </c>
    </row>
    <row r="30" spans="1:16" ht="13.5" customHeight="1">
      <c r="A30" s="106" t="s">
        <v>5</v>
      </c>
      <c r="B30" s="177"/>
      <c r="C30" s="110">
        <v>6</v>
      </c>
      <c r="D30" s="177"/>
      <c r="E30" s="110">
        <v>6</v>
      </c>
      <c r="F30" s="177"/>
      <c r="G30" s="110">
        <v>6</v>
      </c>
      <c r="H30" s="177"/>
      <c r="I30" s="110">
        <v>6</v>
      </c>
      <c r="J30" s="177"/>
      <c r="K30" s="110">
        <v>6</v>
      </c>
      <c r="L30" s="177"/>
      <c r="M30" s="105"/>
      <c r="N30" s="8" t="s">
        <v>195</v>
      </c>
      <c r="O30" s="8" t="s">
        <v>59</v>
      </c>
      <c r="P30" s="8" t="s">
        <v>60</v>
      </c>
    </row>
    <row r="31" spans="1:16">
      <c r="A31" s="171">
        <v>45805</v>
      </c>
      <c r="B31" s="172">
        <v>5</v>
      </c>
      <c r="C31" s="108" t="s">
        <v>181</v>
      </c>
      <c r="D31" s="109">
        <v>24.7</v>
      </c>
      <c r="E31" s="108">
        <v>27.398</v>
      </c>
      <c r="F31" s="109">
        <v>-8.6999999999999993</v>
      </c>
      <c r="G31" s="108">
        <v>295.36200000000002</v>
      </c>
      <c r="H31" s="109">
        <v>-1.5</v>
      </c>
      <c r="I31" s="108">
        <v>3128.08</v>
      </c>
      <c r="J31" s="109">
        <v>4.3</v>
      </c>
      <c r="K31" s="108">
        <v>7688.18</v>
      </c>
      <c r="L31" s="109">
        <v>2.5</v>
      </c>
      <c r="M31" s="105"/>
      <c r="N31" s="8" t="s">
        <v>61</v>
      </c>
      <c r="O31" s="111">
        <f>MAX(C18,C29,C40)</f>
        <v>9</v>
      </c>
      <c r="P31" s="111">
        <f>MIN(C18,C29,C40)</f>
        <v>1.3</v>
      </c>
    </row>
    <row r="32" spans="1:16">
      <c r="A32" s="171"/>
      <c r="B32" s="173"/>
      <c r="C32" s="108">
        <v>9.4529999999999994</v>
      </c>
      <c r="D32" s="109">
        <v>-5.5</v>
      </c>
      <c r="E32" s="108">
        <v>29.245000000000001</v>
      </c>
      <c r="F32" s="109">
        <v>-2.5</v>
      </c>
      <c r="G32" s="108">
        <v>290.44799999999998</v>
      </c>
      <c r="H32" s="109">
        <v>-3.2</v>
      </c>
      <c r="I32" s="108">
        <v>2993.922</v>
      </c>
      <c r="J32" s="109">
        <v>-0.2</v>
      </c>
      <c r="K32" s="108">
        <v>7201.1210000000001</v>
      </c>
      <c r="L32" s="109">
        <v>-4</v>
      </c>
      <c r="M32" s="105"/>
      <c r="N32" s="8" t="s">
        <v>62</v>
      </c>
      <c r="O32" s="111">
        <f>MAX(C17,C28,C39)</f>
        <v>18.2</v>
      </c>
      <c r="P32" s="111">
        <f>MIN(C17,C28,C39)</f>
        <v>11.6</v>
      </c>
    </row>
    <row r="33" spans="1:16">
      <c r="A33" s="171"/>
      <c r="B33" s="173"/>
      <c r="C33" s="108">
        <v>9.3569999999999993</v>
      </c>
      <c r="D33" s="109">
        <v>-6.4</v>
      </c>
      <c r="E33" s="108">
        <v>28.407</v>
      </c>
      <c r="F33" s="109">
        <v>-5.3</v>
      </c>
      <c r="G33" s="108">
        <v>302.71800000000002</v>
      </c>
      <c r="H33" s="109">
        <v>0.9</v>
      </c>
      <c r="I33" s="108">
        <v>3067.2069999999999</v>
      </c>
      <c r="J33" s="109">
        <v>2.2000000000000002</v>
      </c>
      <c r="K33" s="108">
        <v>7655.2389999999996</v>
      </c>
      <c r="L33" s="109">
        <v>2.1</v>
      </c>
      <c r="M33" s="105"/>
    </row>
    <row r="34" spans="1:16">
      <c r="A34" s="171"/>
      <c r="B34" s="173"/>
      <c r="C34" s="108">
        <v>9.9689999999999994</v>
      </c>
      <c r="D34" s="109">
        <v>-0.3</v>
      </c>
      <c r="E34" s="108">
        <v>30.640999999999998</v>
      </c>
      <c r="F34" s="109">
        <v>2.1</v>
      </c>
      <c r="G34" s="108">
        <v>292.41000000000003</v>
      </c>
      <c r="H34" s="109">
        <v>-2.5</v>
      </c>
      <c r="I34" s="108">
        <v>3101.241</v>
      </c>
      <c r="J34" s="109">
        <v>3.4</v>
      </c>
      <c r="K34" s="108">
        <v>7571.857</v>
      </c>
      <c r="L34" s="109">
        <v>1</v>
      </c>
      <c r="M34" s="105"/>
      <c r="N34" s="8" t="s">
        <v>196</v>
      </c>
      <c r="O34" s="8" t="s">
        <v>59</v>
      </c>
      <c r="P34" s="8" t="s">
        <v>60</v>
      </c>
    </row>
    <row r="35" spans="1:16">
      <c r="A35" s="171"/>
      <c r="B35" s="173"/>
      <c r="C35" s="108">
        <v>9.8770000000000007</v>
      </c>
      <c r="D35" s="109">
        <v>-1.2</v>
      </c>
      <c r="E35" s="108">
        <v>28.462</v>
      </c>
      <c r="F35" s="109">
        <v>-5.0999999999999996</v>
      </c>
      <c r="G35" s="108">
        <v>314.19099999999997</v>
      </c>
      <c r="H35" s="109">
        <v>4.7</v>
      </c>
      <c r="I35" s="108">
        <v>3055.453</v>
      </c>
      <c r="J35" s="109">
        <v>1.8</v>
      </c>
      <c r="K35" s="108">
        <v>7568.2370000000001</v>
      </c>
      <c r="L35" s="109">
        <v>0.9</v>
      </c>
      <c r="M35" s="105"/>
      <c r="N35" s="8" t="s">
        <v>61</v>
      </c>
      <c r="O35" s="111">
        <f>MAX(C45)</f>
        <v>6</v>
      </c>
      <c r="P35" s="111">
        <f>MIN(C45)</f>
        <v>6</v>
      </c>
    </row>
    <row r="36" spans="1:16">
      <c r="A36" s="171"/>
      <c r="B36" s="174"/>
      <c r="C36" s="108">
        <v>9.6379999999999999</v>
      </c>
      <c r="D36" s="109">
        <v>-3.6</v>
      </c>
      <c r="E36" s="108">
        <v>31.442</v>
      </c>
      <c r="F36" s="109">
        <v>4.8</v>
      </c>
      <c r="G36" s="108">
        <v>280.66000000000003</v>
      </c>
      <c r="H36" s="109">
        <v>-6.4</v>
      </c>
      <c r="I36" s="108">
        <v>3069.8470000000002</v>
      </c>
      <c r="J36" s="109">
        <v>2.2999999999999998</v>
      </c>
      <c r="K36" s="108">
        <v>7704.66</v>
      </c>
      <c r="L36" s="109">
        <v>2.7</v>
      </c>
      <c r="M36" s="105"/>
      <c r="N36" s="8" t="s">
        <v>62</v>
      </c>
      <c r="O36" s="111">
        <f>MAX(C44)</f>
        <v>14.5</v>
      </c>
      <c r="P36" s="111">
        <f>MIN(C44)</f>
        <v>14.5</v>
      </c>
    </row>
    <row r="37" spans="1:16" ht="14.1" customHeight="1">
      <c r="A37" s="106" t="s">
        <v>169</v>
      </c>
      <c r="B37" s="175"/>
      <c r="C37" s="108">
        <v>10.127000000000001</v>
      </c>
      <c r="D37" s="175"/>
      <c r="E37" s="108">
        <v>29.265999999999998</v>
      </c>
      <c r="F37" s="175"/>
      <c r="G37" s="108">
        <v>295.96499999999997</v>
      </c>
      <c r="H37" s="175"/>
      <c r="I37" s="108">
        <v>3069.2919999999999</v>
      </c>
      <c r="J37" s="175"/>
      <c r="K37" s="108">
        <v>7564.8819999999996</v>
      </c>
      <c r="L37" s="175"/>
      <c r="M37" s="105"/>
      <c r="N37" s="105"/>
      <c r="O37" s="105"/>
      <c r="P37" s="105"/>
    </row>
    <row r="38" spans="1:16" ht="14.1" customHeight="1">
      <c r="A38" s="106" t="s">
        <v>170</v>
      </c>
      <c r="B38" s="176"/>
      <c r="C38" s="108">
        <v>1.17</v>
      </c>
      <c r="D38" s="176"/>
      <c r="E38" s="108">
        <v>1.5169999999999999</v>
      </c>
      <c r="F38" s="176"/>
      <c r="G38" s="108">
        <v>11.45</v>
      </c>
      <c r="H38" s="176"/>
      <c r="I38" s="108">
        <v>45.505000000000003</v>
      </c>
      <c r="J38" s="176"/>
      <c r="K38" s="108">
        <v>187.23599999999999</v>
      </c>
      <c r="L38" s="176"/>
      <c r="M38" s="105"/>
      <c r="N38" s="105"/>
      <c r="O38" s="105"/>
      <c r="P38" s="105"/>
    </row>
    <row r="39" spans="1:16" ht="14.1" customHeight="1">
      <c r="A39" s="106" t="s">
        <v>45</v>
      </c>
      <c r="B39" s="176"/>
      <c r="C39" s="109">
        <v>11.6</v>
      </c>
      <c r="D39" s="176"/>
      <c r="E39" s="109">
        <v>5.2</v>
      </c>
      <c r="F39" s="176"/>
      <c r="G39" s="109">
        <v>3.9</v>
      </c>
      <c r="H39" s="176"/>
      <c r="I39" s="109">
        <v>1.5</v>
      </c>
      <c r="J39" s="176"/>
      <c r="K39" s="109">
        <v>2.5</v>
      </c>
      <c r="L39" s="176"/>
      <c r="M39" s="105"/>
      <c r="N39" s="105"/>
      <c r="O39" s="105"/>
      <c r="P39" s="105"/>
    </row>
    <row r="40" spans="1:16" ht="14.1" customHeight="1">
      <c r="A40" s="106" t="s">
        <v>46</v>
      </c>
      <c r="B40" s="176"/>
      <c r="C40" s="109">
        <v>1.3</v>
      </c>
      <c r="D40" s="176"/>
      <c r="E40" s="109">
        <v>-2.4</v>
      </c>
      <c r="F40" s="176"/>
      <c r="G40" s="109">
        <v>-1.3</v>
      </c>
      <c r="H40" s="176"/>
      <c r="I40" s="109">
        <v>2.2999999999999998</v>
      </c>
      <c r="J40" s="176"/>
      <c r="K40" s="109">
        <v>0.9</v>
      </c>
      <c r="L40" s="176"/>
      <c r="M40" s="105"/>
      <c r="N40" s="105"/>
      <c r="O40" s="105"/>
      <c r="P40" s="105"/>
    </row>
    <row r="41" spans="1:16" ht="14.1" customHeight="1">
      <c r="A41" s="106" t="s">
        <v>5</v>
      </c>
      <c r="B41" s="177"/>
      <c r="C41" s="110">
        <v>6</v>
      </c>
      <c r="D41" s="177"/>
      <c r="E41" s="110">
        <v>6</v>
      </c>
      <c r="F41" s="177"/>
      <c r="G41" s="110">
        <v>6</v>
      </c>
      <c r="H41" s="177"/>
      <c r="I41" s="110">
        <v>6</v>
      </c>
      <c r="J41" s="177"/>
      <c r="K41" s="110">
        <v>6</v>
      </c>
      <c r="L41" s="177"/>
      <c r="M41" s="105"/>
      <c r="N41" s="105"/>
      <c r="O41" s="105"/>
      <c r="P41" s="105"/>
    </row>
    <row r="42" spans="1:16" ht="15" customHeight="1">
      <c r="A42" s="106" t="s">
        <v>172</v>
      </c>
      <c r="B42" s="175"/>
      <c r="C42" s="108">
        <v>10.603999999999999</v>
      </c>
      <c r="D42" s="175"/>
      <c r="E42" s="108">
        <v>30.198</v>
      </c>
      <c r="F42" s="175"/>
      <c r="G42" s="108">
        <v>303.91000000000003</v>
      </c>
      <c r="H42" s="175"/>
      <c r="I42" s="108">
        <v>3059.732</v>
      </c>
      <c r="J42" s="175"/>
      <c r="K42" s="108">
        <v>7433.9030000000002</v>
      </c>
      <c r="L42" s="175"/>
      <c r="M42" s="105"/>
      <c r="N42" s="105"/>
      <c r="O42" s="105"/>
      <c r="P42" s="105"/>
    </row>
    <row r="43" spans="1:16" ht="15" customHeight="1">
      <c r="A43" s="106" t="s">
        <v>173</v>
      </c>
      <c r="B43" s="176"/>
      <c r="C43" s="108">
        <v>1.534</v>
      </c>
      <c r="D43" s="176"/>
      <c r="E43" s="108">
        <v>2.0449999999999999</v>
      </c>
      <c r="F43" s="176"/>
      <c r="G43" s="108">
        <v>13.804</v>
      </c>
      <c r="H43" s="176"/>
      <c r="I43" s="108">
        <v>50.061</v>
      </c>
      <c r="J43" s="176"/>
      <c r="K43" s="108">
        <v>259.22399999999999</v>
      </c>
      <c r="L43" s="176"/>
      <c r="M43" s="105"/>
      <c r="N43" s="105"/>
      <c r="O43" s="105"/>
      <c r="P43" s="105"/>
    </row>
    <row r="44" spans="1:16" ht="15" customHeight="1">
      <c r="A44" s="106" t="s">
        <v>93</v>
      </c>
      <c r="B44" s="176"/>
      <c r="C44" s="109">
        <v>14.5</v>
      </c>
      <c r="D44" s="176"/>
      <c r="E44" s="109">
        <v>6.8</v>
      </c>
      <c r="F44" s="176"/>
      <c r="G44" s="109">
        <v>4.5</v>
      </c>
      <c r="H44" s="176"/>
      <c r="I44" s="109">
        <v>1.6</v>
      </c>
      <c r="J44" s="176"/>
      <c r="K44" s="109">
        <v>3.5</v>
      </c>
      <c r="L44" s="176"/>
      <c r="M44" s="105"/>
      <c r="N44" s="105"/>
      <c r="O44" s="105"/>
      <c r="P44" s="105"/>
    </row>
    <row r="45" spans="1:16" ht="15" customHeight="1">
      <c r="A45" s="106" t="s">
        <v>94</v>
      </c>
      <c r="B45" s="176"/>
      <c r="C45" s="109">
        <v>6</v>
      </c>
      <c r="D45" s="176"/>
      <c r="E45" s="109">
        <v>0.7</v>
      </c>
      <c r="F45" s="176"/>
      <c r="G45" s="109">
        <v>1.3</v>
      </c>
      <c r="H45" s="176"/>
      <c r="I45" s="109">
        <v>2</v>
      </c>
      <c r="J45" s="176"/>
      <c r="K45" s="109">
        <v>-0.9</v>
      </c>
      <c r="L45" s="176"/>
      <c r="M45" s="105"/>
      <c r="N45" s="105"/>
      <c r="O45" s="105"/>
      <c r="P45" s="105"/>
    </row>
    <row r="46" spans="1:16" ht="15" customHeight="1">
      <c r="A46" s="106" t="s">
        <v>5</v>
      </c>
      <c r="B46" s="177"/>
      <c r="C46" s="110">
        <v>18</v>
      </c>
      <c r="D46" s="177"/>
      <c r="E46" s="110">
        <v>18</v>
      </c>
      <c r="F46" s="177"/>
      <c r="G46" s="110">
        <v>18</v>
      </c>
      <c r="H46" s="177"/>
      <c r="I46" s="110">
        <v>18</v>
      </c>
      <c r="J46" s="177"/>
      <c r="K46" s="110">
        <v>18</v>
      </c>
      <c r="L46" s="177"/>
      <c r="M46" s="105"/>
      <c r="N46" s="105"/>
      <c r="O46" s="105"/>
      <c r="P46" s="105"/>
    </row>
    <row r="47" spans="1:16" ht="13.5" customHeight="1">
      <c r="A47" s="178" t="s">
        <v>98</v>
      </c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05"/>
      <c r="N47" s="105"/>
      <c r="O47" s="105"/>
      <c r="P47" s="105"/>
    </row>
    <row r="49" spans="1:16">
      <c r="A49" s="182" t="s">
        <v>103</v>
      </c>
      <c r="B49" s="182"/>
      <c r="C49" s="182"/>
      <c r="D49" s="182"/>
      <c r="E49" s="182"/>
    </row>
    <row r="50" spans="1:16" ht="14.1" customHeight="1">
      <c r="A50" s="180" t="s">
        <v>11</v>
      </c>
      <c r="B50" s="180" t="s">
        <v>9</v>
      </c>
      <c r="C50" s="102" t="s">
        <v>0</v>
      </c>
      <c r="D50" s="180" t="s">
        <v>43</v>
      </c>
      <c r="E50" s="106" t="s">
        <v>3</v>
      </c>
      <c r="F50" s="180" t="s">
        <v>43</v>
      </c>
      <c r="G50" s="106" t="s">
        <v>64</v>
      </c>
      <c r="H50" s="180" t="s">
        <v>43</v>
      </c>
      <c r="I50" s="106" t="s">
        <v>65</v>
      </c>
      <c r="J50" s="180" t="s">
        <v>43</v>
      </c>
      <c r="K50" s="106" t="s">
        <v>1</v>
      </c>
      <c r="L50" s="180" t="s">
        <v>43</v>
      </c>
      <c r="M50" s="105"/>
      <c r="N50" s="105"/>
      <c r="O50" s="105"/>
      <c r="P50" s="105"/>
    </row>
    <row r="51" spans="1:16" ht="14.1" customHeight="1">
      <c r="A51" s="180"/>
      <c r="B51" s="180"/>
      <c r="C51" s="107">
        <v>10</v>
      </c>
      <c r="D51" s="180"/>
      <c r="E51" s="107">
        <v>30</v>
      </c>
      <c r="F51" s="180"/>
      <c r="G51" s="107">
        <v>300</v>
      </c>
      <c r="H51" s="180"/>
      <c r="I51" s="107">
        <v>3000</v>
      </c>
      <c r="J51" s="180"/>
      <c r="K51" s="107">
        <v>7500</v>
      </c>
      <c r="L51" s="180"/>
      <c r="M51" s="105"/>
      <c r="N51" s="105"/>
      <c r="O51" s="105"/>
      <c r="P51" s="105"/>
    </row>
    <row r="52" spans="1:16" ht="14.1" customHeight="1">
      <c r="A52" s="180"/>
      <c r="B52" s="180"/>
      <c r="C52" s="103" t="s">
        <v>6</v>
      </c>
      <c r="D52" s="180"/>
      <c r="E52" s="103" t="s">
        <v>6</v>
      </c>
      <c r="F52" s="180"/>
      <c r="G52" s="103" t="s">
        <v>6</v>
      </c>
      <c r="H52" s="180"/>
      <c r="I52" s="103" t="s">
        <v>6</v>
      </c>
      <c r="J52" s="180"/>
      <c r="K52" s="103" t="s">
        <v>6</v>
      </c>
      <c r="L52" s="180"/>
      <c r="M52" s="105"/>
      <c r="N52" s="105"/>
      <c r="O52" s="105"/>
      <c r="P52" s="105"/>
    </row>
    <row r="53" spans="1:16">
      <c r="A53" s="171">
        <v>45792</v>
      </c>
      <c r="B53" s="172">
        <v>1</v>
      </c>
      <c r="C53" s="108">
        <v>11.244999999999999</v>
      </c>
      <c r="D53" s="109">
        <v>12.5</v>
      </c>
      <c r="E53" s="108">
        <v>26.515000000000001</v>
      </c>
      <c r="F53" s="109">
        <v>-11.6</v>
      </c>
      <c r="G53" s="108" t="s">
        <v>180</v>
      </c>
      <c r="H53" s="109">
        <v>15.4</v>
      </c>
      <c r="I53" s="108">
        <v>2986.2959999999998</v>
      </c>
      <c r="J53" s="109">
        <v>-0.5</v>
      </c>
      <c r="K53" s="108">
        <v>7437.732</v>
      </c>
      <c r="L53" s="109">
        <v>-0.8</v>
      </c>
      <c r="M53" s="105"/>
      <c r="N53" s="105"/>
      <c r="O53" s="105"/>
      <c r="P53" s="105"/>
    </row>
    <row r="54" spans="1:16">
      <c r="A54" s="171"/>
      <c r="B54" s="173"/>
      <c r="C54" s="108">
        <v>10.895</v>
      </c>
      <c r="D54" s="109">
        <v>9</v>
      </c>
      <c r="E54" s="108">
        <v>29.626999999999999</v>
      </c>
      <c r="F54" s="109">
        <v>-1.2</v>
      </c>
      <c r="G54" s="108">
        <v>310.43299999999999</v>
      </c>
      <c r="H54" s="109">
        <v>3.5</v>
      </c>
      <c r="I54" s="108">
        <v>3248.9960000000001</v>
      </c>
      <c r="J54" s="109">
        <v>8.3000000000000007</v>
      </c>
      <c r="K54" s="108">
        <v>7474.97</v>
      </c>
      <c r="L54" s="109">
        <v>-0.3</v>
      </c>
      <c r="M54" s="105"/>
      <c r="N54" s="105"/>
      <c r="O54" s="105"/>
      <c r="P54" s="105"/>
    </row>
    <row r="55" spans="1:16">
      <c r="A55" s="171"/>
      <c r="B55" s="173"/>
      <c r="C55" s="108">
        <v>9.2899999999999991</v>
      </c>
      <c r="D55" s="109">
        <v>-7.1</v>
      </c>
      <c r="E55" s="108">
        <v>29.454999999999998</v>
      </c>
      <c r="F55" s="109">
        <v>-1.8</v>
      </c>
      <c r="G55" s="108">
        <v>299.56</v>
      </c>
      <c r="H55" s="109">
        <v>-0.1</v>
      </c>
      <c r="I55" s="108">
        <v>3146.7530000000002</v>
      </c>
      <c r="J55" s="109">
        <v>4.9000000000000004</v>
      </c>
      <c r="K55" s="108">
        <v>7127.308</v>
      </c>
      <c r="L55" s="109">
        <v>-5</v>
      </c>
      <c r="M55" s="105"/>
      <c r="N55" s="105"/>
      <c r="O55" s="105"/>
      <c r="P55" s="105"/>
    </row>
    <row r="56" spans="1:16">
      <c r="A56" s="171"/>
      <c r="B56" s="173"/>
      <c r="C56" s="108">
        <v>8.4429999999999996</v>
      </c>
      <c r="D56" s="109">
        <v>-15.6</v>
      </c>
      <c r="E56" s="108">
        <v>30.873000000000001</v>
      </c>
      <c r="F56" s="109">
        <v>2.9</v>
      </c>
      <c r="G56" s="108">
        <v>327.22899999999998</v>
      </c>
      <c r="H56" s="109">
        <v>9.1</v>
      </c>
      <c r="I56" s="108">
        <v>3105.0740000000001</v>
      </c>
      <c r="J56" s="109">
        <v>3.5</v>
      </c>
      <c r="K56" s="108">
        <v>7383.5410000000002</v>
      </c>
      <c r="L56" s="109">
        <v>-1.6</v>
      </c>
      <c r="M56" s="105"/>
      <c r="N56" s="105"/>
      <c r="O56" s="105"/>
      <c r="P56" s="105"/>
    </row>
    <row r="57" spans="1:16">
      <c r="A57" s="171"/>
      <c r="B57" s="173"/>
      <c r="C57" s="108" t="s">
        <v>179</v>
      </c>
      <c r="D57" s="109">
        <v>-23.6</v>
      </c>
      <c r="E57" s="108">
        <v>27.15</v>
      </c>
      <c r="F57" s="109">
        <v>-9.5</v>
      </c>
      <c r="G57" s="108">
        <v>329.86900000000003</v>
      </c>
      <c r="H57" s="109">
        <v>10</v>
      </c>
      <c r="I57" s="108">
        <v>3143.2820000000002</v>
      </c>
      <c r="J57" s="109">
        <v>4.8</v>
      </c>
      <c r="K57" s="108">
        <v>7255.1360000000004</v>
      </c>
      <c r="L57" s="109">
        <v>-3.3</v>
      </c>
      <c r="M57" s="105"/>
      <c r="N57" s="105"/>
      <c r="O57" s="105"/>
      <c r="P57" s="105"/>
    </row>
    <row r="58" spans="1:16">
      <c r="A58" s="171"/>
      <c r="B58" s="174"/>
      <c r="C58" s="108">
        <v>9.8759999999999994</v>
      </c>
      <c r="D58" s="109">
        <v>-1.2</v>
      </c>
      <c r="E58" s="108">
        <v>29.169</v>
      </c>
      <c r="F58" s="109">
        <v>-2.8</v>
      </c>
      <c r="G58" s="108">
        <v>288.86500000000001</v>
      </c>
      <c r="H58" s="109">
        <v>-3.7</v>
      </c>
      <c r="I58" s="108">
        <v>3127.7310000000002</v>
      </c>
      <c r="J58" s="109">
        <v>4.3</v>
      </c>
      <c r="K58" s="108">
        <v>7002.473</v>
      </c>
      <c r="L58" s="109">
        <v>-6.6</v>
      </c>
      <c r="M58" s="105"/>
      <c r="N58" s="105"/>
      <c r="O58" s="105"/>
      <c r="P58" s="105"/>
    </row>
    <row r="59" spans="1:16" ht="13.5" customHeight="1">
      <c r="A59" s="106" t="s">
        <v>169</v>
      </c>
      <c r="B59" s="175"/>
      <c r="C59" s="108">
        <v>9.5649999999999995</v>
      </c>
      <c r="D59" s="175"/>
      <c r="E59" s="108">
        <v>28.797999999999998</v>
      </c>
      <c r="F59" s="175"/>
      <c r="G59" s="108">
        <v>317.02199999999999</v>
      </c>
      <c r="H59" s="175"/>
      <c r="I59" s="108">
        <v>3126.355</v>
      </c>
      <c r="J59" s="175"/>
      <c r="K59" s="108">
        <v>7280.1930000000002</v>
      </c>
      <c r="L59" s="175"/>
      <c r="M59" s="105"/>
      <c r="N59" s="105"/>
      <c r="O59" s="105"/>
      <c r="P59" s="105"/>
    </row>
    <row r="60" spans="1:16" ht="13.5" customHeight="1">
      <c r="A60" s="106" t="s">
        <v>170</v>
      </c>
      <c r="B60" s="176"/>
      <c r="C60" s="108">
        <v>1.395</v>
      </c>
      <c r="D60" s="176"/>
      <c r="E60" s="108">
        <v>1.643</v>
      </c>
      <c r="F60" s="176"/>
      <c r="G60" s="108">
        <v>21.262</v>
      </c>
      <c r="H60" s="176"/>
      <c r="I60" s="108">
        <v>84.634</v>
      </c>
      <c r="J60" s="176"/>
      <c r="K60" s="108">
        <v>186.852</v>
      </c>
      <c r="L60" s="176"/>
      <c r="M60" s="105"/>
      <c r="N60" s="105"/>
      <c r="O60" s="105"/>
      <c r="P60" s="105"/>
    </row>
    <row r="61" spans="1:16" ht="13.5" customHeight="1">
      <c r="A61" s="106" t="s">
        <v>45</v>
      </c>
      <c r="B61" s="176"/>
      <c r="C61" s="109">
        <v>14.6</v>
      </c>
      <c r="D61" s="176"/>
      <c r="E61" s="109">
        <v>5.7</v>
      </c>
      <c r="F61" s="176"/>
      <c r="G61" s="109">
        <v>6.7</v>
      </c>
      <c r="H61" s="176"/>
      <c r="I61" s="109">
        <v>2.7</v>
      </c>
      <c r="J61" s="176"/>
      <c r="K61" s="109">
        <v>2.6</v>
      </c>
      <c r="L61" s="176"/>
      <c r="M61" s="105"/>
      <c r="N61" s="105"/>
      <c r="O61" s="105"/>
      <c r="P61" s="105"/>
    </row>
    <row r="62" spans="1:16" ht="13.5" customHeight="1">
      <c r="A62" s="106" t="s">
        <v>46</v>
      </c>
      <c r="B62" s="176"/>
      <c r="C62" s="109">
        <v>-4.4000000000000004</v>
      </c>
      <c r="D62" s="176"/>
      <c r="E62" s="109">
        <v>-4</v>
      </c>
      <c r="F62" s="176"/>
      <c r="G62" s="109">
        <v>5.7</v>
      </c>
      <c r="H62" s="176"/>
      <c r="I62" s="109">
        <v>4.2</v>
      </c>
      <c r="J62" s="176"/>
      <c r="K62" s="109">
        <v>-2.9</v>
      </c>
      <c r="L62" s="176"/>
      <c r="M62" s="105"/>
      <c r="N62" s="105"/>
      <c r="O62" s="105"/>
      <c r="P62" s="105"/>
    </row>
    <row r="63" spans="1:16" ht="13.5" customHeight="1">
      <c r="A63" s="106" t="s">
        <v>5</v>
      </c>
      <c r="B63" s="177"/>
      <c r="C63" s="110">
        <v>6</v>
      </c>
      <c r="D63" s="177"/>
      <c r="E63" s="110">
        <v>6</v>
      </c>
      <c r="F63" s="177"/>
      <c r="G63" s="110">
        <v>6</v>
      </c>
      <c r="H63" s="177"/>
      <c r="I63" s="110">
        <v>6</v>
      </c>
      <c r="J63" s="177"/>
      <c r="K63" s="110">
        <v>6</v>
      </c>
      <c r="L63" s="177"/>
      <c r="M63" s="105"/>
      <c r="N63" s="105"/>
      <c r="O63" s="105"/>
      <c r="P63" s="105"/>
    </row>
    <row r="64" spans="1:16">
      <c r="A64" s="171">
        <v>45794</v>
      </c>
      <c r="B64" s="172">
        <v>3</v>
      </c>
      <c r="C64" s="108">
        <v>9.9420000000000002</v>
      </c>
      <c r="D64" s="109">
        <v>-0.6</v>
      </c>
      <c r="E64" s="108">
        <v>30.446999999999999</v>
      </c>
      <c r="F64" s="109">
        <v>1.5</v>
      </c>
      <c r="G64" s="108">
        <v>294.32799999999997</v>
      </c>
      <c r="H64" s="109">
        <v>-1.9</v>
      </c>
      <c r="I64" s="108">
        <v>3082.32</v>
      </c>
      <c r="J64" s="109">
        <v>2.7</v>
      </c>
      <c r="K64" s="108">
        <v>7748.116</v>
      </c>
      <c r="L64" s="109">
        <v>3.3</v>
      </c>
      <c r="M64" s="105"/>
      <c r="N64" s="8" t="s">
        <v>171</v>
      </c>
    </row>
    <row r="65" spans="1:16">
      <c r="A65" s="171"/>
      <c r="B65" s="173"/>
      <c r="C65" s="108">
        <v>11.004</v>
      </c>
      <c r="D65" s="109">
        <v>10</v>
      </c>
      <c r="E65" s="108">
        <v>31.984999999999999</v>
      </c>
      <c r="F65" s="109">
        <v>6.6</v>
      </c>
      <c r="G65" s="108">
        <v>305.54300000000001</v>
      </c>
      <c r="H65" s="109">
        <v>1.8</v>
      </c>
      <c r="I65" s="108">
        <v>3217.7339999999999</v>
      </c>
      <c r="J65" s="109">
        <v>7.3</v>
      </c>
      <c r="K65" s="108">
        <v>7403.88</v>
      </c>
      <c r="L65" s="109">
        <v>-1.3</v>
      </c>
      <c r="M65" s="105"/>
      <c r="N65" s="8" t="s">
        <v>195</v>
      </c>
      <c r="O65" s="8" t="s">
        <v>59</v>
      </c>
      <c r="P65" s="8" t="s">
        <v>60</v>
      </c>
    </row>
    <row r="66" spans="1:16">
      <c r="A66" s="171"/>
      <c r="B66" s="173"/>
      <c r="C66" s="108" t="s">
        <v>178</v>
      </c>
      <c r="D66" s="109">
        <v>21.3</v>
      </c>
      <c r="E66" s="108">
        <v>29.102</v>
      </c>
      <c r="F66" s="109">
        <v>-3</v>
      </c>
      <c r="G66" s="108">
        <v>301.58300000000003</v>
      </c>
      <c r="H66" s="109">
        <v>0.5</v>
      </c>
      <c r="I66" s="108">
        <v>3188.9490000000001</v>
      </c>
      <c r="J66" s="109">
        <v>6.3</v>
      </c>
      <c r="K66" s="108">
        <v>7581.6840000000002</v>
      </c>
      <c r="L66" s="109">
        <v>1.1000000000000001</v>
      </c>
      <c r="M66" s="105"/>
      <c r="N66" s="8" t="s">
        <v>61</v>
      </c>
      <c r="O66" s="111">
        <f>MAX(E62,G62,I62,K62,E73,G73,I73,K73,E84,G84,I84,K84)</f>
        <v>5.7</v>
      </c>
      <c r="P66" s="111">
        <f>MIN(E62,G62,I62,K62,E73,G73,I73,K73,E84,G84,I84,K84)</f>
        <v>-5.8</v>
      </c>
    </row>
    <row r="67" spans="1:16">
      <c r="A67" s="171"/>
      <c r="B67" s="173"/>
      <c r="C67" s="108">
        <v>11.36</v>
      </c>
      <c r="D67" s="109">
        <v>13.6</v>
      </c>
      <c r="E67" s="108" t="s">
        <v>194</v>
      </c>
      <c r="F67" s="109">
        <v>-17.8</v>
      </c>
      <c r="G67" s="108">
        <v>255.149</v>
      </c>
      <c r="H67" s="109">
        <v>-15</v>
      </c>
      <c r="I67" s="108">
        <v>2871.029</v>
      </c>
      <c r="J67" s="109">
        <v>-4.3</v>
      </c>
      <c r="K67" s="108">
        <v>7060.68</v>
      </c>
      <c r="L67" s="109">
        <v>-5.9</v>
      </c>
      <c r="M67" s="105"/>
      <c r="N67" s="8" t="s">
        <v>62</v>
      </c>
      <c r="O67" s="111">
        <f>MAX(E61,G61,I61,K61,E72,G72,I72,K72,E83,G83,I83,K83)</f>
        <v>9.6</v>
      </c>
      <c r="P67" s="111">
        <f>MIN(E61,G61,I61,K61,E72,G72,I72,K72,E83,G83,I83,K83)</f>
        <v>2.2000000000000002</v>
      </c>
    </row>
    <row r="68" spans="1:16">
      <c r="A68" s="171"/>
      <c r="B68" s="173"/>
      <c r="C68" s="108">
        <v>8.0120000000000005</v>
      </c>
      <c r="D68" s="109">
        <v>-19.899999999999999</v>
      </c>
      <c r="E68" s="108">
        <v>27.779</v>
      </c>
      <c r="F68" s="109">
        <v>-7.4</v>
      </c>
      <c r="G68" s="108">
        <v>270.83699999999999</v>
      </c>
      <c r="H68" s="109">
        <v>-9.6999999999999993</v>
      </c>
      <c r="I68" s="108">
        <v>2765.3519999999999</v>
      </c>
      <c r="J68" s="109">
        <v>-7.8</v>
      </c>
      <c r="K68" s="108">
        <v>7175.8029999999999</v>
      </c>
      <c r="L68" s="109">
        <v>-4.3</v>
      </c>
      <c r="M68" s="105"/>
    </row>
    <row r="69" spans="1:16">
      <c r="A69" s="171"/>
      <c r="B69" s="174"/>
      <c r="C69" s="108">
        <v>10.930999999999999</v>
      </c>
      <c r="D69" s="109">
        <v>9.3000000000000007</v>
      </c>
      <c r="E69" s="108">
        <v>26.163</v>
      </c>
      <c r="F69" s="109">
        <v>-12.8</v>
      </c>
      <c r="G69" s="108">
        <v>268.26799999999997</v>
      </c>
      <c r="H69" s="109">
        <v>-10.6</v>
      </c>
      <c r="I69" s="108">
        <v>2849.2220000000002</v>
      </c>
      <c r="J69" s="109">
        <v>-5</v>
      </c>
      <c r="K69" s="108">
        <v>7281.4589999999998</v>
      </c>
      <c r="L69" s="109">
        <v>-2.9</v>
      </c>
      <c r="M69" s="105"/>
      <c r="N69" s="8" t="s">
        <v>196</v>
      </c>
      <c r="O69" s="8" t="s">
        <v>59</v>
      </c>
      <c r="P69" s="8" t="s">
        <v>60</v>
      </c>
    </row>
    <row r="70" spans="1:16" ht="13.5" customHeight="1">
      <c r="A70" s="106" t="s">
        <v>169</v>
      </c>
      <c r="B70" s="175"/>
      <c r="C70" s="108">
        <v>10.564</v>
      </c>
      <c r="D70" s="175"/>
      <c r="E70" s="108">
        <v>28.356000000000002</v>
      </c>
      <c r="F70" s="175"/>
      <c r="G70" s="108">
        <v>282.61799999999999</v>
      </c>
      <c r="H70" s="175"/>
      <c r="I70" s="108">
        <v>2995.768</v>
      </c>
      <c r="J70" s="175"/>
      <c r="K70" s="108">
        <v>7375.27</v>
      </c>
      <c r="L70" s="175"/>
      <c r="M70" s="105"/>
      <c r="N70" s="8" t="s">
        <v>61</v>
      </c>
      <c r="O70" s="111">
        <f>MAX(E89,G89,I89,K89)</f>
        <v>2.8</v>
      </c>
      <c r="P70" s="111">
        <f>MIN(E89,G89,I89,K89)</f>
        <v>-4.5</v>
      </c>
    </row>
    <row r="71" spans="1:16" ht="13.5" customHeight="1">
      <c r="A71" s="106" t="s">
        <v>170</v>
      </c>
      <c r="B71" s="176"/>
      <c r="C71" s="108">
        <v>1.4370000000000001</v>
      </c>
      <c r="D71" s="176"/>
      <c r="E71" s="108">
        <v>2.7160000000000002</v>
      </c>
      <c r="F71" s="176"/>
      <c r="G71" s="108">
        <v>20.599</v>
      </c>
      <c r="H71" s="176"/>
      <c r="I71" s="108">
        <v>191.941</v>
      </c>
      <c r="J71" s="176"/>
      <c r="K71" s="108">
        <v>256.90199999999999</v>
      </c>
      <c r="L71" s="176"/>
      <c r="M71" s="105"/>
      <c r="N71" s="8" t="s">
        <v>62</v>
      </c>
      <c r="O71" s="111">
        <f>MAX(E88,G88,I88,K88)</f>
        <v>7.8</v>
      </c>
      <c r="P71" s="111">
        <f>MIN(E88,G88,I88,K88)</f>
        <v>4.2</v>
      </c>
    </row>
    <row r="72" spans="1:16" ht="13.5" customHeight="1">
      <c r="A72" s="106" t="s">
        <v>45</v>
      </c>
      <c r="B72" s="176"/>
      <c r="C72" s="109">
        <v>13.6</v>
      </c>
      <c r="D72" s="176"/>
      <c r="E72" s="109">
        <v>9.6</v>
      </c>
      <c r="F72" s="176"/>
      <c r="G72" s="109">
        <v>7.3</v>
      </c>
      <c r="H72" s="176"/>
      <c r="I72" s="109">
        <v>6.4</v>
      </c>
      <c r="J72" s="176"/>
      <c r="K72" s="109">
        <v>3.5</v>
      </c>
      <c r="L72" s="176"/>
      <c r="M72" s="105"/>
    </row>
    <row r="73" spans="1:16" ht="13.5" customHeight="1">
      <c r="A73" s="106" t="s">
        <v>46</v>
      </c>
      <c r="B73" s="176"/>
      <c r="C73" s="109">
        <v>5.6</v>
      </c>
      <c r="D73" s="176"/>
      <c r="E73" s="109">
        <v>-5.5</v>
      </c>
      <c r="F73" s="176"/>
      <c r="G73" s="109">
        <v>-5.8</v>
      </c>
      <c r="H73" s="176"/>
      <c r="I73" s="109">
        <v>-0.1</v>
      </c>
      <c r="J73" s="176"/>
      <c r="K73" s="109">
        <v>-1.7</v>
      </c>
      <c r="L73" s="176"/>
      <c r="M73" s="105"/>
      <c r="N73" s="8" t="s">
        <v>63</v>
      </c>
    </row>
    <row r="74" spans="1:16" ht="13.5" customHeight="1">
      <c r="A74" s="106" t="s">
        <v>5</v>
      </c>
      <c r="B74" s="177"/>
      <c r="C74" s="110">
        <v>6</v>
      </c>
      <c r="D74" s="177"/>
      <c r="E74" s="110">
        <v>6</v>
      </c>
      <c r="F74" s="177"/>
      <c r="G74" s="110">
        <v>6</v>
      </c>
      <c r="H74" s="177"/>
      <c r="I74" s="110">
        <v>6</v>
      </c>
      <c r="J74" s="177"/>
      <c r="K74" s="110">
        <v>6</v>
      </c>
      <c r="L74" s="177"/>
      <c r="M74" s="105"/>
      <c r="N74" s="8" t="s">
        <v>195</v>
      </c>
      <c r="O74" s="8" t="s">
        <v>59</v>
      </c>
      <c r="P74" s="8" t="s">
        <v>60</v>
      </c>
    </row>
    <row r="75" spans="1:16">
      <c r="A75" s="171">
        <v>45805</v>
      </c>
      <c r="B75" s="172">
        <v>5</v>
      </c>
      <c r="C75" s="108">
        <v>10.79</v>
      </c>
      <c r="D75" s="109">
        <v>7.9</v>
      </c>
      <c r="E75" s="108">
        <v>28.280999999999999</v>
      </c>
      <c r="F75" s="109">
        <v>-5.7</v>
      </c>
      <c r="G75" s="108">
        <v>288.642</v>
      </c>
      <c r="H75" s="109">
        <v>-3.8</v>
      </c>
      <c r="I75" s="108">
        <v>3173.64</v>
      </c>
      <c r="J75" s="109">
        <v>5.8</v>
      </c>
      <c r="K75" s="108">
        <v>7736.1869999999999</v>
      </c>
      <c r="L75" s="109">
        <v>3.1</v>
      </c>
      <c r="M75" s="105"/>
      <c r="N75" s="8" t="s">
        <v>61</v>
      </c>
      <c r="O75" s="111">
        <f>MAX(C62,C73,C84)</f>
        <v>5.6</v>
      </c>
      <c r="P75" s="111">
        <f>MIN(C62,C73,C84)</f>
        <v>-4.4000000000000004</v>
      </c>
    </row>
    <row r="76" spans="1:16">
      <c r="A76" s="171"/>
      <c r="B76" s="173"/>
      <c r="C76" s="108">
        <v>10.085000000000001</v>
      </c>
      <c r="D76" s="109">
        <v>0.9</v>
      </c>
      <c r="E76" s="108">
        <v>29.571000000000002</v>
      </c>
      <c r="F76" s="109">
        <v>-1.4</v>
      </c>
      <c r="G76" s="108">
        <v>283.40699999999998</v>
      </c>
      <c r="H76" s="109">
        <v>-5.5</v>
      </c>
      <c r="I76" s="108">
        <v>3106.3319999999999</v>
      </c>
      <c r="J76" s="109">
        <v>3.5</v>
      </c>
      <c r="K76" s="108">
        <v>7235.24</v>
      </c>
      <c r="L76" s="109">
        <v>-3.5</v>
      </c>
      <c r="M76" s="105"/>
      <c r="N76" s="8" t="s">
        <v>62</v>
      </c>
      <c r="O76" s="111">
        <f>MAX(C61,C72,C83)</f>
        <v>14.6</v>
      </c>
      <c r="P76" s="111">
        <f>MIN(C61,C72,C83)</f>
        <v>7.5</v>
      </c>
    </row>
    <row r="77" spans="1:16">
      <c r="A77" s="171"/>
      <c r="B77" s="173"/>
      <c r="C77" s="108">
        <v>9.532</v>
      </c>
      <c r="D77" s="109">
        <v>-4.7</v>
      </c>
      <c r="E77" s="108">
        <v>26.65</v>
      </c>
      <c r="F77" s="109">
        <v>-11.2</v>
      </c>
      <c r="G77" s="108">
        <v>283.35399999999998</v>
      </c>
      <c r="H77" s="109">
        <v>-5.5</v>
      </c>
      <c r="I77" s="108">
        <v>3113.5830000000001</v>
      </c>
      <c r="J77" s="109">
        <v>3.8</v>
      </c>
      <c r="K77" s="108">
        <v>7850.4709999999995</v>
      </c>
      <c r="L77" s="109">
        <v>4.7</v>
      </c>
      <c r="M77" s="105"/>
    </row>
    <row r="78" spans="1:16">
      <c r="A78" s="171"/>
      <c r="B78" s="173"/>
      <c r="C78" s="108">
        <v>11.548</v>
      </c>
      <c r="D78" s="109">
        <v>15.5</v>
      </c>
      <c r="E78" s="108">
        <v>30.597000000000001</v>
      </c>
      <c r="F78" s="109">
        <v>2</v>
      </c>
      <c r="G78" s="108">
        <v>294.14699999999999</v>
      </c>
      <c r="H78" s="109">
        <v>-2</v>
      </c>
      <c r="I78" s="108">
        <v>3244.8110000000001</v>
      </c>
      <c r="J78" s="109">
        <v>8.1999999999999993</v>
      </c>
      <c r="K78" s="108">
        <v>7984.9769999999999</v>
      </c>
      <c r="L78" s="109">
        <v>6.5</v>
      </c>
      <c r="M78" s="105"/>
      <c r="N78" s="8" t="s">
        <v>196</v>
      </c>
      <c r="O78" s="8" t="s">
        <v>59</v>
      </c>
      <c r="P78" s="8" t="s">
        <v>60</v>
      </c>
    </row>
    <row r="79" spans="1:16">
      <c r="A79" s="171"/>
      <c r="B79" s="173"/>
      <c r="C79" s="108">
        <v>9.6959999999999997</v>
      </c>
      <c r="D79" s="109">
        <v>-3</v>
      </c>
      <c r="E79" s="108">
        <v>29.170999999999999</v>
      </c>
      <c r="F79" s="109">
        <v>-2.8</v>
      </c>
      <c r="G79" s="108">
        <v>287.137</v>
      </c>
      <c r="H79" s="109">
        <v>-4.3</v>
      </c>
      <c r="I79" s="108">
        <v>3006.2510000000002</v>
      </c>
      <c r="J79" s="109">
        <v>0.2</v>
      </c>
      <c r="K79" s="108">
        <v>7916.9790000000003</v>
      </c>
      <c r="L79" s="109">
        <v>5.6</v>
      </c>
      <c r="M79" s="105"/>
      <c r="N79" s="8" t="s">
        <v>61</v>
      </c>
      <c r="O79" s="111">
        <f>MAX(C89)</f>
        <v>1.3</v>
      </c>
      <c r="P79" s="111">
        <f>MIN(C89)</f>
        <v>1.3</v>
      </c>
    </row>
    <row r="80" spans="1:16">
      <c r="A80" s="171"/>
      <c r="B80" s="174"/>
      <c r="C80" s="108">
        <v>9.9109999999999996</v>
      </c>
      <c r="D80" s="109">
        <v>-0.9</v>
      </c>
      <c r="E80" s="108">
        <v>28.734000000000002</v>
      </c>
      <c r="F80" s="109">
        <v>-4.2</v>
      </c>
      <c r="G80" s="108">
        <v>275.45</v>
      </c>
      <c r="H80" s="109">
        <v>-8.1999999999999993</v>
      </c>
      <c r="I80" s="108">
        <v>3119.672</v>
      </c>
      <c r="J80" s="109">
        <v>4</v>
      </c>
      <c r="K80" s="108">
        <v>7822.7439999999997</v>
      </c>
      <c r="L80" s="109">
        <v>4.3</v>
      </c>
      <c r="M80" s="105"/>
      <c r="N80" s="8" t="s">
        <v>62</v>
      </c>
      <c r="O80" s="111">
        <f>MAX(C88)</f>
        <v>12.2</v>
      </c>
      <c r="P80" s="111">
        <f>MIN(C88)</f>
        <v>12.2</v>
      </c>
    </row>
    <row r="81" spans="1:16" ht="14.1" customHeight="1">
      <c r="A81" s="106" t="s">
        <v>169</v>
      </c>
      <c r="B81" s="175"/>
      <c r="C81" s="108">
        <v>10.26</v>
      </c>
      <c r="D81" s="175"/>
      <c r="E81" s="108">
        <v>28.834</v>
      </c>
      <c r="F81" s="175"/>
      <c r="G81" s="108">
        <v>285.35599999999999</v>
      </c>
      <c r="H81" s="175"/>
      <c r="I81" s="108">
        <v>3127.3820000000001</v>
      </c>
      <c r="J81" s="175"/>
      <c r="K81" s="108">
        <v>7757.7659999999996</v>
      </c>
      <c r="L81" s="175"/>
      <c r="M81" s="105"/>
      <c r="N81" s="105"/>
      <c r="O81" s="105"/>
      <c r="P81" s="105"/>
    </row>
    <row r="82" spans="1:16" ht="14.1" customHeight="1">
      <c r="A82" s="106" t="s">
        <v>170</v>
      </c>
      <c r="B82" s="176"/>
      <c r="C82" s="108">
        <v>0.76700000000000002</v>
      </c>
      <c r="D82" s="176"/>
      <c r="E82" s="108">
        <v>1.33</v>
      </c>
      <c r="F82" s="176"/>
      <c r="G82" s="108">
        <v>6.28</v>
      </c>
      <c r="H82" s="176"/>
      <c r="I82" s="108">
        <v>79.114000000000004</v>
      </c>
      <c r="J82" s="176"/>
      <c r="K82" s="108">
        <v>269.55099999999999</v>
      </c>
      <c r="L82" s="176"/>
      <c r="M82" s="105"/>
      <c r="N82" s="105"/>
      <c r="O82" s="105"/>
      <c r="P82" s="105"/>
    </row>
    <row r="83" spans="1:16" ht="14.1" customHeight="1">
      <c r="A83" s="106" t="s">
        <v>45</v>
      </c>
      <c r="B83" s="176"/>
      <c r="C83" s="109">
        <v>7.5</v>
      </c>
      <c r="D83" s="176"/>
      <c r="E83" s="109">
        <v>4.5999999999999996</v>
      </c>
      <c r="F83" s="176"/>
      <c r="G83" s="109">
        <v>2.2000000000000002</v>
      </c>
      <c r="H83" s="176"/>
      <c r="I83" s="109">
        <v>2.5</v>
      </c>
      <c r="J83" s="176"/>
      <c r="K83" s="109">
        <v>3.5</v>
      </c>
      <c r="L83" s="176"/>
      <c r="M83" s="105"/>
      <c r="N83" s="105"/>
      <c r="O83" s="105"/>
      <c r="P83" s="105"/>
    </row>
    <row r="84" spans="1:16" ht="14.1" customHeight="1">
      <c r="A84" s="106" t="s">
        <v>46</v>
      </c>
      <c r="B84" s="176"/>
      <c r="C84" s="109">
        <v>2.6</v>
      </c>
      <c r="D84" s="176"/>
      <c r="E84" s="109">
        <v>-3.9</v>
      </c>
      <c r="F84" s="176"/>
      <c r="G84" s="109">
        <v>-4.9000000000000004</v>
      </c>
      <c r="H84" s="176"/>
      <c r="I84" s="109">
        <v>4.2</v>
      </c>
      <c r="J84" s="176"/>
      <c r="K84" s="109">
        <v>3.4</v>
      </c>
      <c r="L84" s="176"/>
      <c r="M84" s="105"/>
      <c r="N84" s="105"/>
      <c r="O84" s="105"/>
      <c r="P84" s="105"/>
    </row>
    <row r="85" spans="1:16" ht="14.1" customHeight="1">
      <c r="A85" s="106" t="s">
        <v>5</v>
      </c>
      <c r="B85" s="177"/>
      <c r="C85" s="110">
        <v>6</v>
      </c>
      <c r="D85" s="177"/>
      <c r="E85" s="110">
        <v>6</v>
      </c>
      <c r="F85" s="177"/>
      <c r="G85" s="110">
        <v>6</v>
      </c>
      <c r="H85" s="177"/>
      <c r="I85" s="110">
        <v>6</v>
      </c>
      <c r="J85" s="177"/>
      <c r="K85" s="110">
        <v>6</v>
      </c>
      <c r="L85" s="177"/>
      <c r="M85" s="105"/>
      <c r="N85" s="105"/>
      <c r="O85" s="105"/>
      <c r="P85" s="105"/>
    </row>
    <row r="86" spans="1:16" ht="15" customHeight="1">
      <c r="A86" s="106" t="s">
        <v>172</v>
      </c>
      <c r="B86" s="175"/>
      <c r="C86" s="108">
        <v>10.130000000000001</v>
      </c>
      <c r="D86" s="175"/>
      <c r="E86" s="108">
        <v>28.663</v>
      </c>
      <c r="F86" s="175"/>
      <c r="G86" s="108">
        <v>294.99900000000002</v>
      </c>
      <c r="H86" s="175"/>
      <c r="I86" s="108">
        <v>3083.1680000000001</v>
      </c>
      <c r="J86" s="175"/>
      <c r="K86" s="108">
        <v>7471.0770000000002</v>
      </c>
      <c r="L86" s="175"/>
      <c r="M86" s="105"/>
      <c r="N86" s="105"/>
      <c r="O86" s="105"/>
      <c r="P86" s="105"/>
    </row>
    <row r="87" spans="1:16" ht="15" customHeight="1">
      <c r="A87" s="106" t="s">
        <v>173</v>
      </c>
      <c r="B87" s="176"/>
      <c r="C87" s="108">
        <v>1.24</v>
      </c>
      <c r="D87" s="176"/>
      <c r="E87" s="108">
        <v>1.88</v>
      </c>
      <c r="F87" s="176"/>
      <c r="G87" s="108">
        <v>22.966999999999999</v>
      </c>
      <c r="H87" s="176"/>
      <c r="I87" s="108">
        <v>137.214</v>
      </c>
      <c r="J87" s="176"/>
      <c r="K87" s="108">
        <v>310.09399999999999</v>
      </c>
      <c r="L87" s="176"/>
      <c r="M87" s="105"/>
      <c r="N87" s="105"/>
      <c r="O87" s="105"/>
      <c r="P87" s="105"/>
    </row>
    <row r="88" spans="1:16" ht="15" customHeight="1">
      <c r="A88" s="106" t="s">
        <v>93</v>
      </c>
      <c r="B88" s="176"/>
      <c r="C88" s="109">
        <v>12.2</v>
      </c>
      <c r="D88" s="176"/>
      <c r="E88" s="109">
        <v>6.6</v>
      </c>
      <c r="F88" s="176"/>
      <c r="G88" s="109">
        <v>7.8</v>
      </c>
      <c r="H88" s="176"/>
      <c r="I88" s="109">
        <v>4.5</v>
      </c>
      <c r="J88" s="176"/>
      <c r="K88" s="109">
        <v>4.2</v>
      </c>
      <c r="L88" s="176"/>
      <c r="M88" s="105"/>
      <c r="N88" s="105"/>
      <c r="O88" s="105"/>
      <c r="P88" s="105"/>
    </row>
    <row r="89" spans="1:16" ht="15" customHeight="1">
      <c r="A89" s="106" t="s">
        <v>94</v>
      </c>
      <c r="B89" s="176"/>
      <c r="C89" s="109">
        <v>1.3</v>
      </c>
      <c r="D89" s="176"/>
      <c r="E89" s="109">
        <v>-4.5</v>
      </c>
      <c r="F89" s="176"/>
      <c r="G89" s="109">
        <v>-1.7</v>
      </c>
      <c r="H89" s="176"/>
      <c r="I89" s="109">
        <v>2.8</v>
      </c>
      <c r="J89" s="176"/>
      <c r="K89" s="109">
        <v>-0.4</v>
      </c>
      <c r="L89" s="176"/>
      <c r="M89" s="105"/>
      <c r="N89" s="105"/>
      <c r="O89" s="105"/>
      <c r="P89" s="105"/>
    </row>
    <row r="90" spans="1:16" ht="15" customHeight="1">
      <c r="A90" s="106" t="s">
        <v>5</v>
      </c>
      <c r="B90" s="177"/>
      <c r="C90" s="110">
        <v>18</v>
      </c>
      <c r="D90" s="177"/>
      <c r="E90" s="110">
        <v>18</v>
      </c>
      <c r="F90" s="177"/>
      <c r="G90" s="110">
        <v>18</v>
      </c>
      <c r="H90" s="177"/>
      <c r="I90" s="110">
        <v>18</v>
      </c>
      <c r="J90" s="177"/>
      <c r="K90" s="110">
        <v>18</v>
      </c>
      <c r="L90" s="177"/>
      <c r="M90" s="105"/>
      <c r="N90" s="105"/>
      <c r="O90" s="105"/>
      <c r="P90" s="105"/>
    </row>
    <row r="91" spans="1:16" ht="13.5" customHeight="1">
      <c r="A91" s="178" t="s">
        <v>98</v>
      </c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05"/>
      <c r="N91" s="105"/>
      <c r="O91" s="105"/>
      <c r="P91" s="105"/>
    </row>
    <row r="92" spans="1:16" s="7" customFormat="1"/>
  </sheetData>
  <mergeCells count="79">
    <mergeCell ref="B86:B90"/>
    <mergeCell ref="D86:D90"/>
    <mergeCell ref="J86:J90"/>
    <mergeCell ref="H81:H85"/>
    <mergeCell ref="J81:J85"/>
    <mergeCell ref="D42:D46"/>
    <mergeCell ref="F42:F46"/>
    <mergeCell ref="F86:F90"/>
    <mergeCell ref="H86:H90"/>
    <mergeCell ref="H59:H63"/>
    <mergeCell ref="H70:H74"/>
    <mergeCell ref="J70:J74"/>
    <mergeCell ref="B75:B80"/>
    <mergeCell ref="B81:B85"/>
    <mergeCell ref="D81:D85"/>
    <mergeCell ref="F81:F85"/>
    <mergeCell ref="A75:A80"/>
    <mergeCell ref="H6:H8"/>
    <mergeCell ref="H26:H30"/>
    <mergeCell ref="B37:B41"/>
    <mergeCell ref="B26:B30"/>
    <mergeCell ref="A9:A14"/>
    <mergeCell ref="B9:B14"/>
    <mergeCell ref="A31:A36"/>
    <mergeCell ref="B31:B36"/>
    <mergeCell ref="A20:A25"/>
    <mergeCell ref="A50:A52"/>
    <mergeCell ref="B50:B52"/>
    <mergeCell ref="D50:D52"/>
    <mergeCell ref="F50:F52"/>
    <mergeCell ref="H50:H52"/>
    <mergeCell ref="A49:E49"/>
    <mergeCell ref="B20:B25"/>
    <mergeCell ref="F6:F8"/>
    <mergeCell ref="D37:D41"/>
    <mergeCell ref="F37:F41"/>
    <mergeCell ref="H37:H41"/>
    <mergeCell ref="F15:F19"/>
    <mergeCell ref="H15:H19"/>
    <mergeCell ref="A2:E2"/>
    <mergeCell ref="A4:E4"/>
    <mergeCell ref="B15:B19"/>
    <mergeCell ref="A6:A8"/>
    <mergeCell ref="B6:B8"/>
    <mergeCell ref="D6:D8"/>
    <mergeCell ref="D15:D19"/>
    <mergeCell ref="F59:F63"/>
    <mergeCell ref="J6:J8"/>
    <mergeCell ref="J37:J41"/>
    <mergeCell ref="J15:J19"/>
    <mergeCell ref="J42:J46"/>
    <mergeCell ref="H42:H46"/>
    <mergeCell ref="J59:J63"/>
    <mergeCell ref="L6:L8"/>
    <mergeCell ref="L15:L19"/>
    <mergeCell ref="L26:L30"/>
    <mergeCell ref="L37:L41"/>
    <mergeCell ref="L42:L46"/>
    <mergeCell ref="B42:B46"/>
    <mergeCell ref="A91:L91"/>
    <mergeCell ref="A47:L47"/>
    <mergeCell ref="L86:L90"/>
    <mergeCell ref="J26:J30"/>
    <mergeCell ref="L50:L52"/>
    <mergeCell ref="J50:J52"/>
    <mergeCell ref="L70:L74"/>
    <mergeCell ref="L81:L85"/>
    <mergeCell ref="F26:F30"/>
    <mergeCell ref="D26:D30"/>
    <mergeCell ref="L59:L63"/>
    <mergeCell ref="A53:A58"/>
    <mergeCell ref="B53:B58"/>
    <mergeCell ref="B59:B63"/>
    <mergeCell ref="D59:D63"/>
    <mergeCell ref="A64:A69"/>
    <mergeCell ref="B64:B69"/>
    <mergeCell ref="B70:B74"/>
    <mergeCell ref="D70:D74"/>
    <mergeCell ref="F70:F74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&amp;C 1632MV7生物分析方法学验证数据</oddHeader>
    <oddFooter>&amp;C第&amp;P页，共&amp;N页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2:J65"/>
  <sheetViews>
    <sheetView zoomScaleNormal="100" zoomScaleSheetLayoutView="100" workbookViewId="0">
      <selection activeCell="F25" sqref="F25"/>
    </sheetView>
  </sheetViews>
  <sheetFormatPr defaultColWidth="8.875" defaultRowHeight="15.75" customHeight="1"/>
  <cols>
    <col min="1" max="1" width="13.625" style="26" customWidth="1"/>
    <col min="2" max="2" width="13.5" style="26" customWidth="1"/>
    <col min="3" max="3" width="17.875" style="26" customWidth="1"/>
    <col min="4" max="4" width="13.5" style="68" customWidth="1"/>
    <col min="5" max="5" width="13.125" style="26" customWidth="1"/>
    <col min="6" max="6" width="16.125" style="26" customWidth="1"/>
    <col min="7" max="7" width="16.75" style="68" customWidth="1"/>
    <col min="8" max="8" width="17.75" style="26" customWidth="1"/>
    <col min="9" max="9" width="15.625" style="26" customWidth="1"/>
    <col min="10" max="10" width="12" style="68" customWidth="1"/>
    <col min="11" max="11" width="9.625" style="26" customWidth="1"/>
    <col min="12" max="12" width="8.5" style="26" customWidth="1"/>
    <col min="13" max="13" width="10.125" style="26" customWidth="1"/>
    <col min="14" max="14" width="12" style="26" customWidth="1"/>
    <col min="15" max="15" width="13.375" style="26" customWidth="1"/>
    <col min="16" max="16384" width="8.875" style="26"/>
  </cols>
  <sheetData>
    <row r="2" spans="1:10" ht="15.75" customHeight="1">
      <c r="A2" s="59" t="s">
        <v>87</v>
      </c>
    </row>
    <row r="3" spans="1:10" ht="15.75" customHeight="1">
      <c r="A3" s="59" t="s">
        <v>197</v>
      </c>
    </row>
    <row r="4" spans="1:10" ht="15.75" customHeight="1">
      <c r="A4" s="7" t="s">
        <v>101</v>
      </c>
    </row>
    <row r="5" spans="1:10" ht="15.75" customHeight="1">
      <c r="A5" s="189" t="s">
        <v>108</v>
      </c>
      <c r="B5" s="190"/>
      <c r="C5" s="190"/>
      <c r="D5" s="190"/>
      <c r="E5" s="190"/>
      <c r="F5" s="190"/>
      <c r="G5" s="190"/>
      <c r="H5" s="190"/>
      <c r="I5" s="190"/>
      <c r="J5" s="191"/>
    </row>
    <row r="6" spans="1:10" ht="15.75" customHeight="1">
      <c r="A6" s="192"/>
      <c r="B6" s="193" t="s">
        <v>3</v>
      </c>
      <c r="C6" s="193"/>
      <c r="D6" s="193"/>
      <c r="E6" s="194" t="s">
        <v>2</v>
      </c>
      <c r="F6" s="195"/>
      <c r="G6" s="196"/>
      <c r="H6" s="194" t="s">
        <v>1</v>
      </c>
      <c r="I6" s="195"/>
      <c r="J6" s="196"/>
    </row>
    <row r="7" spans="1:10" ht="29.45" customHeight="1">
      <c r="A7" s="192"/>
      <c r="B7" s="60" t="s">
        <v>88</v>
      </c>
      <c r="C7" s="56" t="s">
        <v>82</v>
      </c>
      <c r="D7" s="69" t="s">
        <v>44</v>
      </c>
      <c r="E7" s="56" t="s">
        <v>83</v>
      </c>
      <c r="F7" s="56" t="s">
        <v>82</v>
      </c>
      <c r="G7" s="69" t="s">
        <v>44</v>
      </c>
      <c r="H7" s="55" t="s">
        <v>84</v>
      </c>
      <c r="I7" s="55" t="s">
        <v>85</v>
      </c>
      <c r="J7" s="69" t="s">
        <v>44</v>
      </c>
    </row>
    <row r="8" spans="1:10" ht="15.75" customHeight="1">
      <c r="A8" s="55">
        <v>1</v>
      </c>
      <c r="B8" s="81">
        <v>6.783E-3</v>
      </c>
      <c r="C8" s="81">
        <v>7.6049999999999998E-3</v>
      </c>
      <c r="D8" s="82">
        <f>ROUND(B8/C14*100,1)</f>
        <v>94.4</v>
      </c>
      <c r="E8" s="81">
        <v>0.53300899999999996</v>
      </c>
      <c r="F8" s="81">
        <v>0.73425799999999997</v>
      </c>
      <c r="G8" s="82">
        <f>ROUND(E8/F14*100,1)</f>
        <v>71.7</v>
      </c>
      <c r="H8" s="81">
        <v>1.4379169999999999</v>
      </c>
      <c r="I8" s="81">
        <v>1.839755</v>
      </c>
      <c r="J8" s="82">
        <f>ROUND(H8/I14*100,1)</f>
        <v>77.8</v>
      </c>
    </row>
    <row r="9" spans="1:10" ht="15.75" customHeight="1">
      <c r="A9" s="55">
        <v>2</v>
      </c>
      <c r="B9" s="81">
        <v>6.058E-3</v>
      </c>
      <c r="C9" s="81">
        <v>6.8690000000000001E-3</v>
      </c>
      <c r="D9" s="82">
        <f>ROUND(B9/C14*100,1)</f>
        <v>84.3</v>
      </c>
      <c r="E9" s="81">
        <v>0.56765699999999997</v>
      </c>
      <c r="F9" s="81">
        <v>0.74169200000000002</v>
      </c>
      <c r="G9" s="82">
        <f>ROUND(E9/F14*100,1)</f>
        <v>76.400000000000006</v>
      </c>
      <c r="H9" s="81">
        <v>1.3288800000000001</v>
      </c>
      <c r="I9" s="81">
        <v>1.862506</v>
      </c>
      <c r="J9" s="82">
        <f>ROUND(H9/I14*100,1)</f>
        <v>71.900000000000006</v>
      </c>
    </row>
    <row r="10" spans="1:10" ht="15.75" customHeight="1">
      <c r="A10" s="55">
        <v>3</v>
      </c>
      <c r="B10" s="81">
        <v>6.0280000000000004E-3</v>
      </c>
      <c r="C10" s="81">
        <v>7.1199999999999996E-3</v>
      </c>
      <c r="D10" s="82">
        <f>ROUND(B10/C14*100,1)</f>
        <v>83.9</v>
      </c>
      <c r="E10" s="81">
        <v>0.51472200000000001</v>
      </c>
      <c r="F10" s="81">
        <v>0.75167799999999996</v>
      </c>
      <c r="G10" s="82">
        <f>ROUND(E10/F14*100,1)</f>
        <v>69.2</v>
      </c>
      <c r="H10" s="81">
        <v>1.4130579999999999</v>
      </c>
      <c r="I10" s="81">
        <v>1.793944</v>
      </c>
      <c r="J10" s="82">
        <f>ROUND(H10/I14*100,1)</f>
        <v>76.400000000000006</v>
      </c>
    </row>
    <row r="11" spans="1:10" ht="15.75" customHeight="1">
      <c r="A11" s="55">
        <v>4</v>
      </c>
      <c r="B11" s="81">
        <v>6.182E-3</v>
      </c>
      <c r="C11" s="81">
        <v>7.1789999999999996E-3</v>
      </c>
      <c r="D11" s="82">
        <f>ROUND(B11/C14*100,1)</f>
        <v>86</v>
      </c>
      <c r="E11" s="81">
        <v>0.54712899999999998</v>
      </c>
      <c r="F11" s="81">
        <v>0.74866200000000005</v>
      </c>
      <c r="G11" s="82">
        <f>ROUND(E11/F14*100,1)</f>
        <v>73.599999999999994</v>
      </c>
      <c r="H11" s="81">
        <v>1.385858</v>
      </c>
      <c r="I11" s="81">
        <v>1.870857</v>
      </c>
      <c r="J11" s="82">
        <f>ROUND(H11/I14*100,1)</f>
        <v>75</v>
      </c>
    </row>
    <row r="12" spans="1:10" ht="15.75" customHeight="1">
      <c r="A12" s="55">
        <v>5</v>
      </c>
      <c r="B12" s="81">
        <v>6.9890000000000004E-3</v>
      </c>
      <c r="C12" s="81">
        <v>7.143E-3</v>
      </c>
      <c r="D12" s="82">
        <f>ROUND(B12/C14*100,1)</f>
        <v>97.3</v>
      </c>
      <c r="E12" s="81">
        <v>0.50778900000000005</v>
      </c>
      <c r="F12" s="81">
        <v>0.73791799999999996</v>
      </c>
      <c r="G12" s="82">
        <f>ROUND(E12/F14*100,1)</f>
        <v>68.3</v>
      </c>
      <c r="H12" s="81">
        <v>1.3825769999999999</v>
      </c>
      <c r="I12" s="81">
        <v>1.8753150000000001</v>
      </c>
      <c r="J12" s="82">
        <f>ROUND(H12/I14*100,1)</f>
        <v>74.8</v>
      </c>
    </row>
    <row r="13" spans="1:10" ht="15.75" customHeight="1">
      <c r="A13" s="55">
        <v>6</v>
      </c>
      <c r="B13" s="81">
        <v>6.2989999999999999E-3</v>
      </c>
      <c r="C13" s="81">
        <v>7.1999999999999998E-3</v>
      </c>
      <c r="D13" s="82">
        <f>ROUND(B13/C14*100,1)</f>
        <v>87.7</v>
      </c>
      <c r="E13" s="81">
        <v>0.57757700000000001</v>
      </c>
      <c r="F13" s="81">
        <v>0.74660400000000005</v>
      </c>
      <c r="G13" s="82">
        <f>ROUND(E13/F14*100,1)</f>
        <v>77.7</v>
      </c>
      <c r="H13" s="81">
        <v>1.3472409999999999</v>
      </c>
      <c r="I13" s="81">
        <v>1.8503540000000001</v>
      </c>
      <c r="J13" s="82">
        <f>ROUND(H13/I14*100,1)</f>
        <v>72.900000000000006</v>
      </c>
    </row>
    <row r="14" spans="1:10" ht="15.75" customHeight="1">
      <c r="A14" s="55" t="s">
        <v>86</v>
      </c>
      <c r="B14" s="83">
        <f>ROUND(AVERAGEA(B8:B13),6)</f>
        <v>6.3899999999999998E-3</v>
      </c>
      <c r="C14" s="83">
        <f>ROUND(AVERAGEA(C8:C13),6)</f>
        <v>7.1859999999999997E-3</v>
      </c>
      <c r="D14" s="84">
        <f>ROUND(AVERAGE(D8:D13),1)</f>
        <v>88.9</v>
      </c>
      <c r="E14" s="83">
        <f>ROUND(AVERAGEA(E8:E13),6)</f>
        <v>0.54131399999999996</v>
      </c>
      <c r="F14" s="83">
        <f>ROUND(AVERAGEA(F8:F13),6)</f>
        <v>0.74346900000000005</v>
      </c>
      <c r="G14" s="84">
        <f>ROUND(AVERAGE(G8:G13),1)</f>
        <v>72.8</v>
      </c>
      <c r="H14" s="83">
        <f>ROUND(AVERAGEA(H8:H13),6)</f>
        <v>1.3825890000000001</v>
      </c>
      <c r="I14" s="83">
        <f>ROUND(AVERAGEA(I8:I13),6)</f>
        <v>1.848789</v>
      </c>
      <c r="J14" s="84">
        <f>ROUND(AVERAGE(J8:J13),1)</f>
        <v>74.8</v>
      </c>
    </row>
    <row r="15" spans="1:10" s="68" customFormat="1" ht="15.75" customHeight="1">
      <c r="A15" s="69" t="s">
        <v>4</v>
      </c>
      <c r="B15" s="183"/>
      <c r="C15" s="184"/>
      <c r="D15" s="84">
        <f>ROUND(STDEV(D8:D13),1)</f>
        <v>5.6</v>
      </c>
      <c r="E15" s="183"/>
      <c r="F15" s="184"/>
      <c r="G15" s="84">
        <f>ROUND(STDEV(G8:G13),1)</f>
        <v>3.8</v>
      </c>
      <c r="H15" s="183"/>
      <c r="I15" s="184"/>
      <c r="J15" s="84">
        <f>ROUND(STDEV(J8:J13),1)</f>
        <v>2.2000000000000002</v>
      </c>
    </row>
    <row r="16" spans="1:10" s="68" customFormat="1" ht="15.75" customHeight="1">
      <c r="A16" s="69" t="s">
        <v>40</v>
      </c>
      <c r="B16" s="185"/>
      <c r="C16" s="186"/>
      <c r="D16" s="84">
        <f>ROUND(D15/D14*100,1)</f>
        <v>6.3</v>
      </c>
      <c r="E16" s="185"/>
      <c r="F16" s="186"/>
      <c r="G16" s="84">
        <f>ROUND(G15/G14*100,1)</f>
        <v>5.2</v>
      </c>
      <c r="H16" s="185"/>
      <c r="I16" s="186"/>
      <c r="J16" s="84">
        <f>ROUND(J15/J14*100,1)</f>
        <v>2.9</v>
      </c>
    </row>
    <row r="17" spans="1:10" s="68" customFormat="1" ht="15.75" customHeight="1">
      <c r="A17" s="71" t="s">
        <v>89</v>
      </c>
      <c r="B17" s="187">
        <f>ROUND(AVERAGE(D14,G14,J14),1)</f>
        <v>78.8</v>
      </c>
      <c r="C17" s="188"/>
      <c r="D17" s="188"/>
      <c r="E17" s="188"/>
      <c r="F17" s="188"/>
      <c r="G17" s="188"/>
      <c r="H17" s="188"/>
      <c r="I17" s="188"/>
      <c r="J17" s="188"/>
    </row>
    <row r="18" spans="1:10" s="68" customFormat="1" ht="15.75" customHeight="1">
      <c r="A18" s="71" t="s">
        <v>90</v>
      </c>
      <c r="B18" s="187">
        <f>ROUND(STDEV(D14,G14,J14)/B17*100,1)</f>
        <v>11.1</v>
      </c>
      <c r="C18" s="188"/>
      <c r="D18" s="188"/>
      <c r="E18" s="188"/>
      <c r="F18" s="188"/>
      <c r="G18" s="188"/>
      <c r="H18" s="188"/>
      <c r="I18" s="188"/>
      <c r="J18" s="188"/>
    </row>
    <row r="19" spans="1:10" s="68" customFormat="1" ht="15.75" customHeight="1">
      <c r="A19" s="117"/>
      <c r="B19" s="23"/>
      <c r="C19" s="118"/>
      <c r="D19" s="118"/>
      <c r="E19" s="118"/>
      <c r="F19" s="118"/>
      <c r="G19" s="118"/>
      <c r="H19" s="118"/>
      <c r="I19" s="118"/>
      <c r="J19" s="118"/>
    </row>
    <row r="20" spans="1:10" s="68" customFormat="1" ht="15.75" customHeight="1">
      <c r="A20" s="7" t="s">
        <v>103</v>
      </c>
      <c r="B20" s="53"/>
      <c r="C20" s="35"/>
      <c r="D20" s="70"/>
      <c r="E20" s="35"/>
      <c r="F20" s="35"/>
      <c r="G20" s="70"/>
      <c r="H20" s="26"/>
      <c r="I20" s="26"/>
    </row>
    <row r="21" spans="1:10" s="68" customFormat="1" ht="15.75" customHeight="1">
      <c r="A21" s="189" t="s">
        <v>187</v>
      </c>
      <c r="B21" s="190"/>
      <c r="C21" s="190"/>
      <c r="D21" s="190"/>
      <c r="E21" s="190"/>
      <c r="F21" s="190"/>
      <c r="G21" s="190"/>
      <c r="H21" s="190"/>
      <c r="I21" s="190"/>
      <c r="J21" s="191"/>
    </row>
    <row r="22" spans="1:10" s="68" customFormat="1" ht="15.75" customHeight="1">
      <c r="A22" s="192"/>
      <c r="B22" s="193" t="s">
        <v>3</v>
      </c>
      <c r="C22" s="193"/>
      <c r="D22" s="193"/>
      <c r="E22" s="194" t="s">
        <v>2</v>
      </c>
      <c r="F22" s="195"/>
      <c r="G22" s="196"/>
      <c r="H22" s="194" t="s">
        <v>1</v>
      </c>
      <c r="I22" s="195"/>
      <c r="J22" s="196"/>
    </row>
    <row r="23" spans="1:10" s="68" customFormat="1" ht="33" customHeight="1">
      <c r="A23" s="192"/>
      <c r="B23" s="60" t="s">
        <v>88</v>
      </c>
      <c r="C23" s="56" t="s">
        <v>82</v>
      </c>
      <c r="D23" s="69" t="s">
        <v>44</v>
      </c>
      <c r="E23" s="56" t="s">
        <v>83</v>
      </c>
      <c r="F23" s="56" t="s">
        <v>82</v>
      </c>
      <c r="G23" s="69" t="s">
        <v>44</v>
      </c>
      <c r="H23" s="55" t="s">
        <v>188</v>
      </c>
      <c r="I23" s="55" t="s">
        <v>85</v>
      </c>
      <c r="J23" s="69" t="s">
        <v>44</v>
      </c>
    </row>
    <row r="24" spans="1:10" s="68" customFormat="1" ht="15.75" customHeight="1">
      <c r="A24" s="55">
        <v>1</v>
      </c>
      <c r="B24" s="81">
        <v>6.3920000000000001E-3</v>
      </c>
      <c r="C24" s="81">
        <v>7.5050000000000004E-3</v>
      </c>
      <c r="D24" s="82">
        <f>ROUND(B24/C30*100,1)</f>
        <v>91.1</v>
      </c>
      <c r="E24" s="81">
        <v>0.68205199999999999</v>
      </c>
      <c r="F24" s="81">
        <v>0.761324</v>
      </c>
      <c r="G24" s="82">
        <f>ROUND(E24/F30*100,1)</f>
        <v>90.3</v>
      </c>
      <c r="H24" s="81">
        <v>1.6264430000000001</v>
      </c>
      <c r="I24" s="81">
        <v>1.800314</v>
      </c>
      <c r="J24" s="82">
        <f>ROUND(H24/I30*100,1)</f>
        <v>90.1</v>
      </c>
    </row>
    <row r="25" spans="1:10" s="68" customFormat="1" ht="15.75" customHeight="1">
      <c r="A25" s="55">
        <v>2</v>
      </c>
      <c r="B25" s="81">
        <v>5.672E-3</v>
      </c>
      <c r="C25" s="81">
        <v>8.0520000000000001E-3</v>
      </c>
      <c r="D25" s="82">
        <f>ROUND(B25/C30*100,1)</f>
        <v>80.8</v>
      </c>
      <c r="E25" s="81">
        <v>0.67325599999999997</v>
      </c>
      <c r="F25" s="81">
        <v>0.75863700000000001</v>
      </c>
      <c r="G25" s="82">
        <f>ROUND(E25/F30*100,1)</f>
        <v>89.1</v>
      </c>
      <c r="H25" s="81">
        <v>1.623518</v>
      </c>
      <c r="I25" s="81">
        <v>1.8093790000000001</v>
      </c>
      <c r="J25" s="82">
        <f>ROUND(H25/I30*100,1)</f>
        <v>90</v>
      </c>
    </row>
    <row r="26" spans="1:10" s="68" customFormat="1" ht="15.75" customHeight="1">
      <c r="A26" s="55">
        <v>3</v>
      </c>
      <c r="B26" s="81">
        <v>5.5389999999999997E-3</v>
      </c>
      <c r="C26" s="81">
        <v>6.4489999999999999E-3</v>
      </c>
      <c r="D26" s="82">
        <f>ROUND(B26/C30*100,1)</f>
        <v>78.900000000000006</v>
      </c>
      <c r="E26" s="81">
        <v>0.65532999999999997</v>
      </c>
      <c r="F26" s="81">
        <v>0.74785400000000002</v>
      </c>
      <c r="G26" s="82">
        <f>ROUND(E26/F30*100,1)</f>
        <v>86.7</v>
      </c>
      <c r="H26" s="81">
        <v>1.6213569999999999</v>
      </c>
      <c r="I26" s="81">
        <v>1.8443430000000001</v>
      </c>
      <c r="J26" s="82">
        <f>ROUND(H26/I30*100,1)</f>
        <v>89.9</v>
      </c>
    </row>
    <row r="27" spans="1:10" s="68" customFormat="1" ht="15.75" customHeight="1">
      <c r="A27" s="55">
        <v>4</v>
      </c>
      <c r="B27" s="81">
        <v>5.3540000000000003E-3</v>
      </c>
      <c r="C27" s="81">
        <v>7.0099999999999997E-3</v>
      </c>
      <c r="D27" s="82">
        <f>ROUND(B27/C30*100,1)</f>
        <v>76.3</v>
      </c>
      <c r="E27" s="81">
        <v>0.66538600000000003</v>
      </c>
      <c r="F27" s="81">
        <v>0.75424999999999998</v>
      </c>
      <c r="G27" s="82">
        <f>ROUND(E27/F30*100,1)</f>
        <v>88</v>
      </c>
      <c r="H27" s="81">
        <v>1.663435</v>
      </c>
      <c r="I27" s="81">
        <v>1.8128649999999999</v>
      </c>
      <c r="J27" s="82">
        <f>ROUND(H27/I30*100,1)</f>
        <v>92.2</v>
      </c>
    </row>
    <row r="28" spans="1:10" s="68" customFormat="1" ht="15.75" customHeight="1">
      <c r="A28" s="55">
        <v>5</v>
      </c>
      <c r="B28" s="81">
        <v>6.0289999999999996E-3</v>
      </c>
      <c r="C28" s="81">
        <v>6.6959999999999997E-3</v>
      </c>
      <c r="D28" s="82">
        <f>ROUND(B28/C30*100,1)</f>
        <v>85.9</v>
      </c>
      <c r="E28" s="81">
        <v>0.65949500000000005</v>
      </c>
      <c r="F28" s="81">
        <v>0.75925500000000001</v>
      </c>
      <c r="G28" s="82">
        <f>ROUND(E28/F30*100,1)</f>
        <v>87.3</v>
      </c>
      <c r="H28" s="81">
        <v>1.6455880000000001</v>
      </c>
      <c r="I28" s="81">
        <v>1.775261</v>
      </c>
      <c r="J28" s="82">
        <f>ROUND(H28/I30*100,1)</f>
        <v>91.2</v>
      </c>
    </row>
    <row r="29" spans="1:10" s="68" customFormat="1" ht="15.75" customHeight="1">
      <c r="A29" s="55">
        <v>6</v>
      </c>
      <c r="B29" s="81">
        <v>5.9610000000000002E-3</v>
      </c>
      <c r="C29" s="81">
        <v>6.3870000000000003E-3</v>
      </c>
      <c r="D29" s="82">
        <f>ROUND(B29/C30*100,1)</f>
        <v>85</v>
      </c>
      <c r="E29" s="81">
        <v>0.66667500000000002</v>
      </c>
      <c r="F29" s="81">
        <v>0.75285000000000002</v>
      </c>
      <c r="G29" s="82">
        <f>ROUND(E29/F30*100,1)</f>
        <v>88.2</v>
      </c>
      <c r="H29" s="81">
        <v>1.5959369999999999</v>
      </c>
      <c r="I29" s="81">
        <v>1.7833289999999999</v>
      </c>
      <c r="J29" s="82">
        <f>ROUND(H29/I30*100,1)</f>
        <v>88.5</v>
      </c>
    </row>
    <row r="30" spans="1:10" s="68" customFormat="1" ht="15.75" customHeight="1">
      <c r="A30" s="55" t="s">
        <v>189</v>
      </c>
      <c r="B30" s="83">
        <f>ROUND(AVERAGEA(B24:B29),6)</f>
        <v>5.8250000000000003E-3</v>
      </c>
      <c r="C30" s="83">
        <f>ROUND(AVERAGEA(C24:C29),6)</f>
        <v>7.0169999999999998E-3</v>
      </c>
      <c r="D30" s="84">
        <f>ROUND(AVERAGE(D24:D29),1)</f>
        <v>83</v>
      </c>
      <c r="E30" s="83">
        <f>ROUND(AVERAGEA(E24:E29),6)</f>
        <v>0.66703199999999996</v>
      </c>
      <c r="F30" s="83">
        <f>ROUND(AVERAGEA(F24:F29),6)</f>
        <v>0.75569500000000001</v>
      </c>
      <c r="G30" s="84">
        <f>ROUND(AVERAGE(G24:G29),1)</f>
        <v>88.3</v>
      </c>
      <c r="H30" s="83">
        <f>ROUND(AVERAGEA(H24:H29),6)</f>
        <v>1.6293800000000001</v>
      </c>
      <c r="I30" s="83">
        <f>ROUND(AVERAGEA(I24:I29),6)</f>
        <v>1.804249</v>
      </c>
      <c r="J30" s="84">
        <f>ROUND(AVERAGE(J24:J29),1)</f>
        <v>90.3</v>
      </c>
    </row>
    <row r="31" spans="1:10" s="68" customFormat="1" ht="15.75" customHeight="1">
      <c r="A31" s="69" t="s">
        <v>4</v>
      </c>
      <c r="B31" s="183"/>
      <c r="C31" s="184"/>
      <c r="D31" s="84">
        <f>ROUND(STDEV(D24:D29),1)</f>
        <v>5.4</v>
      </c>
      <c r="E31" s="183"/>
      <c r="F31" s="184"/>
      <c r="G31" s="84">
        <f>ROUND(STDEV(G24:G29),1)</f>
        <v>1.3</v>
      </c>
      <c r="H31" s="183"/>
      <c r="I31" s="184"/>
      <c r="J31" s="84">
        <f>ROUND(STDEV(J24:J29),1)</f>
        <v>1.3</v>
      </c>
    </row>
    <row r="32" spans="1:10" s="68" customFormat="1" ht="15.75" customHeight="1">
      <c r="A32" s="69" t="s">
        <v>40</v>
      </c>
      <c r="B32" s="185"/>
      <c r="C32" s="186"/>
      <c r="D32" s="84">
        <f>ROUND(D31/D30*100,1)</f>
        <v>6.5</v>
      </c>
      <c r="E32" s="185"/>
      <c r="F32" s="186"/>
      <c r="G32" s="84">
        <f>ROUND(G31/G30*100,1)</f>
        <v>1.5</v>
      </c>
      <c r="H32" s="185"/>
      <c r="I32" s="186"/>
      <c r="J32" s="84">
        <f>ROUND(J31/J30*100,1)</f>
        <v>1.4</v>
      </c>
    </row>
    <row r="33" spans="1:10" s="68" customFormat="1" ht="15.75" customHeight="1">
      <c r="A33" s="71" t="s">
        <v>89</v>
      </c>
      <c r="B33" s="187">
        <f>ROUND(AVERAGE(D30,G30,J30),1)</f>
        <v>87.2</v>
      </c>
      <c r="C33" s="188"/>
      <c r="D33" s="188"/>
      <c r="E33" s="188"/>
      <c r="F33" s="188"/>
      <c r="G33" s="188"/>
      <c r="H33" s="188"/>
      <c r="I33" s="188"/>
      <c r="J33" s="188"/>
    </row>
    <row r="34" spans="1:10" s="68" customFormat="1" ht="15.75" customHeight="1">
      <c r="A34" s="71" t="s">
        <v>90</v>
      </c>
      <c r="B34" s="187">
        <f>ROUND(STDEV(D30,G30,J30)/B33*100,1)</f>
        <v>4.3</v>
      </c>
      <c r="C34" s="188"/>
      <c r="D34" s="188"/>
      <c r="E34" s="188"/>
      <c r="F34" s="188"/>
      <c r="G34" s="188"/>
      <c r="H34" s="188"/>
      <c r="I34" s="188"/>
      <c r="J34" s="188"/>
    </row>
    <row r="35" spans="1:10" s="68" customFormat="1" ht="15.75" customHeight="1">
      <c r="A35" s="117"/>
      <c r="B35" s="23"/>
      <c r="C35" s="118"/>
      <c r="D35" s="118"/>
      <c r="E35" s="118"/>
      <c r="F35" s="118"/>
      <c r="G35" s="118"/>
      <c r="H35" s="118"/>
      <c r="I35" s="118"/>
      <c r="J35" s="118"/>
    </row>
    <row r="36" spans="1:10" s="68" customFormat="1" ht="15.75" customHeight="1">
      <c r="A36" s="117"/>
      <c r="B36" s="23"/>
      <c r="C36" s="118"/>
      <c r="D36" s="118"/>
      <c r="E36" s="118"/>
      <c r="F36" s="118"/>
      <c r="G36" s="118"/>
      <c r="H36" s="118"/>
      <c r="I36" s="118"/>
      <c r="J36" s="118"/>
    </row>
    <row r="37" spans="1:10" s="68" customFormat="1" ht="15.75" customHeight="1">
      <c r="A37" s="117"/>
      <c r="B37" s="23"/>
      <c r="C37" s="118"/>
      <c r="D37" s="118"/>
      <c r="E37" s="118"/>
      <c r="F37" s="118"/>
      <c r="G37" s="118"/>
      <c r="H37" s="118"/>
      <c r="I37" s="118"/>
      <c r="J37" s="118"/>
    </row>
    <row r="38" spans="1:10" ht="15.75" customHeight="1">
      <c r="A38" s="116" t="s">
        <v>186</v>
      </c>
      <c r="B38" s="53"/>
      <c r="C38" s="35"/>
      <c r="D38" s="70"/>
      <c r="E38" s="35"/>
      <c r="F38" s="35"/>
      <c r="G38" s="70"/>
    </row>
    <row r="39" spans="1:10" ht="15.75" customHeight="1">
      <c r="A39" s="7" t="s">
        <v>103</v>
      </c>
      <c r="B39" s="53"/>
      <c r="C39" s="35"/>
      <c r="D39" s="70"/>
      <c r="E39" s="35"/>
      <c r="F39" s="35"/>
      <c r="G39" s="70"/>
    </row>
    <row r="40" spans="1:10" ht="15.75" customHeight="1">
      <c r="A40" s="189" t="s">
        <v>108</v>
      </c>
      <c r="B40" s="190"/>
      <c r="C40" s="190"/>
      <c r="D40" s="190"/>
      <c r="E40" s="190"/>
      <c r="F40" s="190"/>
      <c r="G40" s="190"/>
      <c r="H40" s="190"/>
      <c r="I40" s="190"/>
      <c r="J40" s="191"/>
    </row>
    <row r="41" spans="1:10" ht="15.75" customHeight="1">
      <c r="A41" s="192"/>
      <c r="B41" s="193" t="s">
        <v>3</v>
      </c>
      <c r="C41" s="193"/>
      <c r="D41" s="193"/>
      <c r="E41" s="194" t="s">
        <v>2</v>
      </c>
      <c r="F41" s="195"/>
      <c r="G41" s="196"/>
      <c r="H41" s="194" t="s">
        <v>1</v>
      </c>
      <c r="I41" s="195"/>
      <c r="J41" s="196"/>
    </row>
    <row r="42" spans="1:10" ht="27">
      <c r="A42" s="192"/>
      <c r="B42" s="60" t="s">
        <v>88</v>
      </c>
      <c r="C42" s="56" t="s">
        <v>82</v>
      </c>
      <c r="D42" s="69" t="s">
        <v>44</v>
      </c>
      <c r="E42" s="56" t="s">
        <v>83</v>
      </c>
      <c r="F42" s="56" t="s">
        <v>82</v>
      </c>
      <c r="G42" s="69" t="s">
        <v>44</v>
      </c>
      <c r="H42" s="55" t="s">
        <v>84</v>
      </c>
      <c r="I42" s="55" t="s">
        <v>85</v>
      </c>
      <c r="J42" s="69" t="s">
        <v>44</v>
      </c>
    </row>
    <row r="43" spans="1:10" ht="15.75" customHeight="1">
      <c r="A43" s="55">
        <v>1</v>
      </c>
      <c r="B43" s="81">
        <v>3.8969999999999999E-3</v>
      </c>
      <c r="C43" s="81">
        <v>6.3160000000000004E-3</v>
      </c>
      <c r="D43" s="82">
        <f>ROUND(B43/C49*100,1)</f>
        <v>61</v>
      </c>
      <c r="E43" s="81">
        <v>0.46399200000000002</v>
      </c>
      <c r="F43" s="81">
        <v>0.68582200000000004</v>
      </c>
      <c r="G43" s="82">
        <f>ROUND(E43/F49*100,1)</f>
        <v>67.5</v>
      </c>
      <c r="H43" s="81">
        <v>1.27468</v>
      </c>
      <c r="I43" s="81">
        <v>1.7067570000000001</v>
      </c>
      <c r="J43" s="82">
        <f>ROUND(H43/I49*100,1)</f>
        <v>74.400000000000006</v>
      </c>
    </row>
    <row r="44" spans="1:10" ht="15.75" customHeight="1">
      <c r="A44" s="55">
        <v>2</v>
      </c>
      <c r="B44" s="81">
        <v>3.2789999999999998E-3</v>
      </c>
      <c r="C44" s="81">
        <v>6.228E-3</v>
      </c>
      <c r="D44" s="82">
        <f>ROUND(B44/C49*100,1)</f>
        <v>51.4</v>
      </c>
      <c r="E44" s="81">
        <v>0.47507500000000003</v>
      </c>
      <c r="F44" s="81">
        <v>0.68440999999999996</v>
      </c>
      <c r="G44" s="82">
        <f>ROUND(E44/F49*100,1)</f>
        <v>69.099999999999994</v>
      </c>
      <c r="H44" s="81">
        <v>1.1991959999999999</v>
      </c>
      <c r="I44" s="81">
        <v>1.716107</v>
      </c>
      <c r="J44" s="82">
        <f>ROUND(H44/I49*100,1)</f>
        <v>70</v>
      </c>
    </row>
    <row r="45" spans="1:10" ht="15.75" customHeight="1">
      <c r="A45" s="55">
        <v>3</v>
      </c>
      <c r="B45" s="81">
        <v>3.3540000000000002E-3</v>
      </c>
      <c r="C45" s="81">
        <v>6.842E-3</v>
      </c>
      <c r="D45" s="82">
        <f>ROUND(B45/C49*100,1)</f>
        <v>52.5</v>
      </c>
      <c r="E45" s="81">
        <v>0.43817099999999998</v>
      </c>
      <c r="F45" s="81">
        <v>0.67618999999999996</v>
      </c>
      <c r="G45" s="82">
        <f>ROUND(E45/F49*100,1)</f>
        <v>63.7</v>
      </c>
      <c r="H45" s="81">
        <v>1.274111</v>
      </c>
      <c r="I45" s="81">
        <v>1.700698</v>
      </c>
      <c r="J45" s="82">
        <f>ROUND(H45/I49*100,1)</f>
        <v>74.400000000000006</v>
      </c>
    </row>
    <row r="46" spans="1:10" ht="15.75" customHeight="1">
      <c r="A46" s="55">
        <v>4</v>
      </c>
      <c r="B46" s="81">
        <v>3.6089999999999998E-3</v>
      </c>
      <c r="C46" s="81">
        <v>6.4580000000000002E-3</v>
      </c>
      <c r="D46" s="82">
        <f>ROUND(B46/C49*100,1)</f>
        <v>56.5</v>
      </c>
      <c r="E46" s="81">
        <v>0.47032299999999999</v>
      </c>
      <c r="F46" s="81">
        <v>0.69539799999999996</v>
      </c>
      <c r="G46" s="82">
        <f>ROUND(E46/F49*100,1)</f>
        <v>68.400000000000006</v>
      </c>
      <c r="H46" s="81">
        <v>1.1707080000000001</v>
      </c>
      <c r="I46" s="81">
        <v>1.737744</v>
      </c>
      <c r="J46" s="82">
        <f>ROUND(H46/I49*100,1)</f>
        <v>68.400000000000006</v>
      </c>
    </row>
    <row r="47" spans="1:10" ht="15.75" customHeight="1">
      <c r="A47" s="55">
        <v>5</v>
      </c>
      <c r="B47" s="81">
        <v>5.0939999999999996E-3</v>
      </c>
      <c r="C47" s="81">
        <v>6.5310000000000003E-3</v>
      </c>
      <c r="D47" s="82">
        <f>ROUND(B47/C49*100,1)</f>
        <v>79.8</v>
      </c>
      <c r="E47" s="81">
        <v>0.43554799999999999</v>
      </c>
      <c r="F47" s="81">
        <v>0.68652999999999997</v>
      </c>
      <c r="G47" s="82">
        <f>ROUND(E47/F49*100,1)</f>
        <v>63.3</v>
      </c>
      <c r="H47" s="81">
        <v>1.240024</v>
      </c>
      <c r="I47" s="81">
        <v>1.7424900000000001</v>
      </c>
      <c r="J47" s="82">
        <f>ROUND(H47/I49*100,1)</f>
        <v>72.400000000000006</v>
      </c>
    </row>
    <row r="48" spans="1:10" ht="15.75" customHeight="1">
      <c r="A48" s="55">
        <v>6</v>
      </c>
      <c r="B48" s="81">
        <v>3.8709999999999999E-3</v>
      </c>
      <c r="C48" s="81">
        <v>5.9309999999999996E-3</v>
      </c>
      <c r="D48" s="82">
        <f>ROUND(B48/C49*100,1)</f>
        <v>60.6</v>
      </c>
      <c r="E48" s="81">
        <v>0.49811899999999998</v>
      </c>
      <c r="F48" s="81">
        <v>0.69746200000000003</v>
      </c>
      <c r="G48" s="82">
        <f>ROUND(E48/F49*100,1)</f>
        <v>72.400000000000006</v>
      </c>
      <c r="H48" s="81">
        <v>1.230675</v>
      </c>
      <c r="I48" s="81">
        <v>1.6711849999999999</v>
      </c>
      <c r="J48" s="82">
        <f>ROUND(H48/I49*100,1)</f>
        <v>71.900000000000006</v>
      </c>
    </row>
    <row r="49" spans="1:10" ht="15.75" customHeight="1">
      <c r="A49" s="55" t="s">
        <v>86</v>
      </c>
      <c r="B49" s="83">
        <f>ROUND(AVERAGEA(B43:B48),6)</f>
        <v>3.8509999999999998E-3</v>
      </c>
      <c r="C49" s="83">
        <f>ROUND(AVERAGEA(C43:C48),6)</f>
        <v>6.3839999999999999E-3</v>
      </c>
      <c r="D49" s="84">
        <f>ROUND(AVERAGE(D43:D48),1)</f>
        <v>60.3</v>
      </c>
      <c r="E49" s="83">
        <f>ROUND(AVERAGEA(E43:E48),6)</f>
        <v>0.46353800000000001</v>
      </c>
      <c r="F49" s="83">
        <f>ROUND(AVERAGEA(F43:F48),6)</f>
        <v>0.687635</v>
      </c>
      <c r="G49" s="84">
        <f>ROUND(AVERAGE(G43:G48),1)</f>
        <v>67.400000000000006</v>
      </c>
      <c r="H49" s="83">
        <f>ROUND(AVERAGEA(H43:H48),6)</f>
        <v>1.2315659999999999</v>
      </c>
      <c r="I49" s="83">
        <f>ROUND(AVERAGEA(I43:I48),6)</f>
        <v>1.7124969999999999</v>
      </c>
      <c r="J49" s="84">
        <f>ROUND(AVERAGE(J43:J48),1)</f>
        <v>71.900000000000006</v>
      </c>
    </row>
    <row r="50" spans="1:10" ht="15.75" customHeight="1">
      <c r="A50" s="69" t="s">
        <v>4</v>
      </c>
      <c r="B50" s="183"/>
      <c r="C50" s="184"/>
      <c r="D50" s="84">
        <f>ROUND(STDEV(D43:D48),1)</f>
        <v>10.3</v>
      </c>
      <c r="E50" s="183"/>
      <c r="F50" s="184"/>
      <c r="G50" s="84">
        <f>ROUND(STDEV(G43:G48),1)</f>
        <v>3.4</v>
      </c>
      <c r="H50" s="183"/>
      <c r="I50" s="184"/>
      <c r="J50" s="84">
        <f>ROUND(STDEV(J43:J48),1)</f>
        <v>2.4</v>
      </c>
    </row>
    <row r="51" spans="1:10" ht="15.75" customHeight="1">
      <c r="A51" s="69" t="s">
        <v>40</v>
      </c>
      <c r="B51" s="185"/>
      <c r="C51" s="186"/>
      <c r="D51" s="125">
        <f>ROUND(D50/D49*100,1)</f>
        <v>17.100000000000001</v>
      </c>
      <c r="E51" s="185"/>
      <c r="F51" s="186"/>
      <c r="G51" s="84">
        <f>ROUND(G50/G49*100,1)</f>
        <v>5</v>
      </c>
      <c r="H51" s="185"/>
      <c r="I51" s="186"/>
      <c r="J51" s="84">
        <f>ROUND(J50/J49*100,1)</f>
        <v>3.3</v>
      </c>
    </row>
    <row r="52" spans="1:10" ht="15.75" customHeight="1">
      <c r="A52" s="71" t="s">
        <v>89</v>
      </c>
      <c r="B52" s="187">
        <f>ROUND(AVERAGE(D49,G49,J49),1)</f>
        <v>66.5</v>
      </c>
      <c r="C52" s="188"/>
      <c r="D52" s="188"/>
      <c r="E52" s="188"/>
      <c r="F52" s="188"/>
      <c r="G52" s="188"/>
      <c r="H52" s="188"/>
      <c r="I52" s="188"/>
      <c r="J52" s="188"/>
    </row>
    <row r="53" spans="1:10" ht="15.75" customHeight="1">
      <c r="A53" s="71" t="s">
        <v>90</v>
      </c>
      <c r="B53" s="187">
        <f>ROUND(STDEV(D49,G49,J49)/B52*100,1)</f>
        <v>8.8000000000000007</v>
      </c>
      <c r="C53" s="188"/>
      <c r="D53" s="188"/>
      <c r="E53" s="188"/>
      <c r="F53" s="188"/>
      <c r="G53" s="188"/>
      <c r="H53" s="188"/>
      <c r="I53" s="188"/>
      <c r="J53" s="188"/>
    </row>
    <row r="54" spans="1:10" ht="15.75" customHeight="1">
      <c r="B54" s="53"/>
      <c r="C54" s="35"/>
      <c r="D54" s="70"/>
      <c r="E54" s="35"/>
      <c r="F54" s="35"/>
      <c r="G54" s="70"/>
    </row>
    <row r="55" spans="1:10" ht="15.75" customHeight="1">
      <c r="B55" s="53"/>
      <c r="C55" s="35"/>
      <c r="D55" s="70"/>
      <c r="E55" s="35"/>
      <c r="F55" s="35"/>
      <c r="G55" s="70"/>
    </row>
    <row r="56" spans="1:10" ht="15.75" customHeight="1">
      <c r="B56" s="53"/>
      <c r="C56" s="35"/>
      <c r="D56" s="70"/>
      <c r="E56" s="35"/>
      <c r="F56" s="35"/>
      <c r="G56" s="70"/>
    </row>
    <row r="57" spans="1:10" ht="15.75" customHeight="1">
      <c r="B57" s="53"/>
      <c r="C57" s="35"/>
      <c r="D57" s="70"/>
      <c r="E57" s="35"/>
      <c r="F57" s="35"/>
      <c r="G57" s="70"/>
    </row>
    <row r="58" spans="1:10" ht="15.75" customHeight="1">
      <c r="B58" s="53"/>
      <c r="C58" s="35"/>
      <c r="D58" s="70"/>
      <c r="E58" s="35"/>
      <c r="F58" s="35"/>
      <c r="G58" s="70"/>
    </row>
    <row r="59" spans="1:10" ht="15.75" customHeight="1">
      <c r="B59" s="53"/>
      <c r="C59" s="35"/>
      <c r="D59" s="70"/>
      <c r="E59" s="35"/>
      <c r="F59" s="35"/>
      <c r="G59" s="70"/>
    </row>
    <row r="60" spans="1:10" ht="15.75" customHeight="1">
      <c r="B60" s="53"/>
      <c r="C60" s="35"/>
      <c r="D60" s="70"/>
      <c r="E60" s="35"/>
      <c r="F60" s="35"/>
      <c r="G60" s="70"/>
    </row>
    <row r="61" spans="1:10" ht="15.75" customHeight="1">
      <c r="B61" s="53"/>
      <c r="C61" s="35"/>
      <c r="D61" s="70"/>
      <c r="E61" s="35"/>
      <c r="F61" s="35"/>
      <c r="G61" s="70"/>
    </row>
    <row r="62" spans="1:10" ht="15.75" customHeight="1">
      <c r="B62" s="53"/>
      <c r="C62" s="35"/>
      <c r="D62" s="70"/>
      <c r="E62" s="35"/>
      <c r="F62" s="35"/>
      <c r="G62" s="70"/>
    </row>
    <row r="63" spans="1:10" ht="15.75" customHeight="1">
      <c r="B63" s="53"/>
      <c r="C63" s="35"/>
      <c r="D63" s="70"/>
      <c r="E63" s="35"/>
      <c r="F63" s="35"/>
      <c r="G63" s="70"/>
    </row>
    <row r="64" spans="1:10" ht="15.75" customHeight="1">
      <c r="B64" s="53"/>
      <c r="C64" s="35"/>
      <c r="D64" s="70"/>
      <c r="E64" s="35"/>
      <c r="F64" s="35"/>
      <c r="G64" s="70"/>
    </row>
    <row r="65" spans="2:7" ht="15.75" customHeight="1">
      <c r="B65" s="53"/>
      <c r="C65" s="35"/>
      <c r="D65" s="70"/>
      <c r="E65" s="35"/>
      <c r="F65" s="35"/>
      <c r="G65" s="70"/>
    </row>
  </sheetData>
  <mergeCells count="30">
    <mergeCell ref="B18:J18"/>
    <mergeCell ref="B17:J17"/>
    <mergeCell ref="A5:J5"/>
    <mergeCell ref="B15:C16"/>
    <mergeCell ref="E15:F16"/>
    <mergeCell ref="H15:I16"/>
    <mergeCell ref="A6:A7"/>
    <mergeCell ref="E6:G6"/>
    <mergeCell ref="H6:J6"/>
    <mergeCell ref="B6:D6"/>
    <mergeCell ref="A40:J40"/>
    <mergeCell ref="A41:A42"/>
    <mergeCell ref="B41:D41"/>
    <mergeCell ref="E41:G41"/>
    <mergeCell ref="H41:J41"/>
    <mergeCell ref="B50:C51"/>
    <mergeCell ref="E50:F51"/>
    <mergeCell ref="H50:I51"/>
    <mergeCell ref="B52:J52"/>
    <mergeCell ref="B53:J53"/>
    <mergeCell ref="A21:J21"/>
    <mergeCell ref="A22:A23"/>
    <mergeCell ref="B22:D22"/>
    <mergeCell ref="E22:G22"/>
    <mergeCell ref="H22:J22"/>
    <mergeCell ref="B31:C32"/>
    <mergeCell ref="E31:F32"/>
    <mergeCell ref="H31:I32"/>
    <mergeCell ref="B33:J33"/>
    <mergeCell ref="B34:J34"/>
  </mergeCells>
  <phoneticPr fontId="21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landscape" r:id="rId1"/>
  <headerFooter>
    <oddHeader>&amp;C18903MV01验证数据汇总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  <pageSetUpPr fitToPage="1"/>
  </sheetPr>
  <dimension ref="A2:F31"/>
  <sheetViews>
    <sheetView tabSelected="1" zoomScaleNormal="100" zoomScaleSheetLayoutView="100" workbookViewId="0">
      <selection activeCell="H26" sqref="H26"/>
    </sheetView>
  </sheetViews>
  <sheetFormatPr defaultColWidth="8.875" defaultRowHeight="13.5"/>
  <cols>
    <col min="1" max="1" width="25.375" style="6" customWidth="1"/>
    <col min="2" max="4" width="21.625" style="6" customWidth="1"/>
    <col min="5" max="5" width="14.875" style="6" customWidth="1"/>
    <col min="6" max="16384" width="8.875" style="6"/>
  </cols>
  <sheetData>
    <row r="2" spans="1:6" ht="15.75" customHeight="1">
      <c r="A2" s="6" t="s">
        <v>35</v>
      </c>
      <c r="E2" s="91"/>
    </row>
    <row r="3" spans="1:6" ht="15.95" customHeight="1">
      <c r="A3" s="7" t="s">
        <v>214</v>
      </c>
      <c r="E3" s="91"/>
    </row>
    <row r="4" spans="1:6" ht="15.75" customHeight="1">
      <c r="A4" s="148" t="s">
        <v>154</v>
      </c>
      <c r="B4" s="149"/>
      <c r="C4" s="149"/>
      <c r="D4" s="150"/>
      <c r="E4" s="91"/>
    </row>
    <row r="5" spans="1:6" ht="15.75" customHeight="1">
      <c r="A5" s="197"/>
      <c r="B5" s="243" t="s">
        <v>215</v>
      </c>
      <c r="C5" s="244"/>
      <c r="D5" s="244"/>
      <c r="E5" s="91"/>
    </row>
    <row r="6" spans="1:6" ht="15.75" customHeight="1">
      <c r="A6" s="197"/>
      <c r="B6" s="42" t="s">
        <v>155</v>
      </c>
      <c r="C6" s="42" t="s">
        <v>156</v>
      </c>
      <c r="D6" s="42" t="s">
        <v>44</v>
      </c>
      <c r="E6" s="91"/>
    </row>
    <row r="7" spans="1:6" ht="15.75" customHeight="1">
      <c r="A7" s="42">
        <v>1</v>
      </c>
      <c r="B7" s="81">
        <v>1.1994929999999999</v>
      </c>
      <c r="C7" s="81">
        <v>1.3619190000000001</v>
      </c>
      <c r="D7" s="17">
        <f>ROUND(B7/C13*100,1)</f>
        <v>89.2</v>
      </c>
      <c r="F7" s="91"/>
    </row>
    <row r="8" spans="1:6" ht="15.75" customHeight="1">
      <c r="A8" s="42">
        <v>2</v>
      </c>
      <c r="B8" s="81">
        <v>1.22516</v>
      </c>
      <c r="C8" s="81">
        <v>1.3482689999999999</v>
      </c>
      <c r="D8" s="17">
        <f>ROUND(B8/C13*100,1)</f>
        <v>91.1</v>
      </c>
    </row>
    <row r="9" spans="1:6" ht="15.75" customHeight="1">
      <c r="A9" s="42">
        <v>3</v>
      </c>
      <c r="B9" s="81">
        <v>1.2184120000000001</v>
      </c>
      <c r="C9" s="81">
        <v>1.3303560000000001</v>
      </c>
      <c r="D9" s="17">
        <f>ROUND(B9/C13*100,1)</f>
        <v>90.6</v>
      </c>
    </row>
    <row r="10" spans="1:6" ht="15.75" customHeight="1">
      <c r="A10" s="42">
        <v>4</v>
      </c>
      <c r="B10" s="81">
        <v>1.238235</v>
      </c>
      <c r="C10" s="81">
        <v>1.335717</v>
      </c>
      <c r="D10" s="17">
        <f>ROUND(B10/C13*100,1)</f>
        <v>92.1</v>
      </c>
    </row>
    <row r="11" spans="1:6" ht="15.75" customHeight="1">
      <c r="A11" s="42">
        <v>5</v>
      </c>
      <c r="B11" s="81">
        <v>1.2481990000000001</v>
      </c>
      <c r="C11" s="81">
        <v>1.355164</v>
      </c>
      <c r="D11" s="17">
        <f>ROUND(B11/C13*100,1)</f>
        <v>92.8</v>
      </c>
    </row>
    <row r="12" spans="1:6" ht="15.75" customHeight="1">
      <c r="A12" s="42">
        <v>6</v>
      </c>
      <c r="B12" s="81">
        <v>1.1737759999999999</v>
      </c>
      <c r="C12" s="81">
        <v>1.3393980000000001</v>
      </c>
      <c r="D12" s="17">
        <f>ROUND(B12/C13*100,1)</f>
        <v>87.3</v>
      </c>
    </row>
    <row r="13" spans="1:6" ht="15.75" customHeight="1">
      <c r="A13" s="42" t="s">
        <v>141</v>
      </c>
      <c r="B13" s="83">
        <f>ROUND(AVERAGE(B7:B12),6)</f>
        <v>1.2172130000000001</v>
      </c>
      <c r="C13" s="83">
        <f>ROUND(AVERAGE(C7:C12),6)</f>
        <v>1.345137</v>
      </c>
      <c r="D13" s="63">
        <f>ROUND(AVERAGE(D7:D12),1)</f>
        <v>90.5</v>
      </c>
    </row>
    <row r="14" spans="1:6" ht="15.75" customHeight="1">
      <c r="A14" s="42" t="s">
        <v>4</v>
      </c>
      <c r="B14" s="83">
        <f>ROUND(STDEV(B7:B12),6)</f>
        <v>2.7082999999999999E-2</v>
      </c>
      <c r="C14" s="83">
        <f>ROUND(STDEV(C7:C12),6)</f>
        <v>1.2101000000000001E-2</v>
      </c>
      <c r="D14" s="63">
        <f>ROUND(STDEV(D7:D12),1)</f>
        <v>2</v>
      </c>
    </row>
    <row r="15" spans="1:6" ht="15.75" customHeight="1">
      <c r="A15" s="42" t="s">
        <v>40</v>
      </c>
      <c r="B15" s="63">
        <f>ROUND(B14/B13*100,1)</f>
        <v>2.2000000000000002</v>
      </c>
      <c r="C15" s="63">
        <f>ROUND(C14/C13*100,1)</f>
        <v>0.9</v>
      </c>
      <c r="D15" s="63">
        <f>ROUND(D14/D13*100,1)</f>
        <v>2.2000000000000002</v>
      </c>
    </row>
    <row r="16" spans="1:6">
      <c r="A16" s="8"/>
      <c r="B16" s="8"/>
      <c r="C16" s="8"/>
      <c r="D16" s="5"/>
    </row>
    <row r="18" spans="1:6">
      <c r="A18" s="43" t="s">
        <v>157</v>
      </c>
      <c r="B18" s="42" t="s">
        <v>158</v>
      </c>
      <c r="C18" s="42" t="s">
        <v>159</v>
      </c>
      <c r="D18" s="92" t="s">
        <v>160</v>
      </c>
    </row>
    <row r="19" spans="1:6" ht="14.25">
      <c r="A19" s="93" t="s">
        <v>142</v>
      </c>
      <c r="B19" s="87">
        <v>1188562</v>
      </c>
      <c r="C19" s="87">
        <v>1618725</v>
      </c>
      <c r="D19" s="94">
        <f t="shared" ref="D19:D30" si="0">ROUND(C19/B19,6)</f>
        <v>1.3619190000000001</v>
      </c>
      <c r="E19" s="85"/>
      <c r="F19" s="85"/>
    </row>
    <row r="20" spans="1:6" ht="14.25">
      <c r="A20" s="93" t="s">
        <v>143</v>
      </c>
      <c r="B20" s="87">
        <v>1202224</v>
      </c>
      <c r="C20" s="87">
        <v>1620921</v>
      </c>
      <c r="D20" s="94">
        <f t="shared" si="0"/>
        <v>1.3482689999999999</v>
      </c>
      <c r="E20" s="85"/>
      <c r="F20" s="85"/>
    </row>
    <row r="21" spans="1:6" ht="14.25">
      <c r="A21" s="93" t="s">
        <v>144</v>
      </c>
      <c r="B21" s="87">
        <v>1218203</v>
      </c>
      <c r="C21" s="87">
        <v>1620644</v>
      </c>
      <c r="D21" s="94">
        <f t="shared" si="0"/>
        <v>1.3303560000000001</v>
      </c>
      <c r="E21" s="85"/>
      <c r="F21" s="85"/>
    </row>
    <row r="22" spans="1:6" ht="14.25">
      <c r="A22" s="93" t="s">
        <v>145</v>
      </c>
      <c r="B22" s="87">
        <v>1201826</v>
      </c>
      <c r="C22" s="87">
        <v>1605299</v>
      </c>
      <c r="D22" s="94">
        <f t="shared" si="0"/>
        <v>1.335717</v>
      </c>
      <c r="E22" s="85"/>
      <c r="F22" s="85"/>
    </row>
    <row r="23" spans="1:6" ht="14.25">
      <c r="A23" s="93" t="s">
        <v>146</v>
      </c>
      <c r="B23" s="87">
        <v>1183445</v>
      </c>
      <c r="C23" s="87">
        <v>1603762</v>
      </c>
      <c r="D23" s="94">
        <f t="shared" si="0"/>
        <v>1.355164</v>
      </c>
      <c r="E23" s="85"/>
      <c r="F23" s="85"/>
    </row>
    <row r="24" spans="1:6" ht="14.25">
      <c r="A24" s="93" t="s">
        <v>147</v>
      </c>
      <c r="B24" s="87">
        <v>1195930</v>
      </c>
      <c r="C24" s="87">
        <v>1601826</v>
      </c>
      <c r="D24" s="94">
        <f t="shared" si="0"/>
        <v>1.3393980000000001</v>
      </c>
      <c r="E24" s="85"/>
      <c r="F24" s="85"/>
    </row>
    <row r="25" spans="1:6" ht="14.25">
      <c r="A25" s="93" t="s">
        <v>148</v>
      </c>
      <c r="B25" s="87">
        <v>1171428</v>
      </c>
      <c r="C25" s="87">
        <v>1405120</v>
      </c>
      <c r="D25" s="94">
        <f t="shared" si="0"/>
        <v>1.1994929999999999</v>
      </c>
      <c r="E25" s="85"/>
      <c r="F25" s="85"/>
    </row>
    <row r="26" spans="1:6" ht="14.25">
      <c r="A26" s="93" t="s">
        <v>149</v>
      </c>
      <c r="B26" s="87">
        <v>1152661</v>
      </c>
      <c r="C26" s="87">
        <v>1412194</v>
      </c>
      <c r="D26" s="94">
        <f t="shared" si="0"/>
        <v>1.22516</v>
      </c>
      <c r="E26" s="85"/>
      <c r="F26" s="85"/>
    </row>
    <row r="27" spans="1:6" ht="14.25">
      <c r="A27" s="93" t="s">
        <v>150</v>
      </c>
      <c r="B27" s="87">
        <v>1160918</v>
      </c>
      <c r="C27" s="87">
        <v>1414476</v>
      </c>
      <c r="D27" s="94">
        <f t="shared" si="0"/>
        <v>1.2184120000000001</v>
      </c>
      <c r="E27" s="85"/>
      <c r="F27" s="85"/>
    </row>
    <row r="28" spans="1:6" ht="14.25">
      <c r="A28" s="93" t="s">
        <v>151</v>
      </c>
      <c r="B28" s="87">
        <v>1143287</v>
      </c>
      <c r="C28" s="87">
        <v>1415658</v>
      </c>
      <c r="D28" s="94">
        <f t="shared" si="0"/>
        <v>1.238235</v>
      </c>
      <c r="E28" s="85"/>
      <c r="F28" s="85"/>
    </row>
    <row r="29" spans="1:6" ht="14.25">
      <c r="A29" s="93" t="s">
        <v>152</v>
      </c>
      <c r="B29" s="87">
        <v>1128803</v>
      </c>
      <c r="C29" s="87">
        <v>1408971</v>
      </c>
      <c r="D29" s="94">
        <f t="shared" si="0"/>
        <v>1.2481990000000001</v>
      </c>
      <c r="E29" s="85"/>
      <c r="F29" s="85"/>
    </row>
    <row r="30" spans="1:6" ht="14.25">
      <c r="A30" s="95" t="s">
        <v>153</v>
      </c>
      <c r="B30" s="88">
        <v>1189812</v>
      </c>
      <c r="C30" s="88">
        <v>1396573</v>
      </c>
      <c r="D30" s="96">
        <f t="shared" si="0"/>
        <v>1.1737759999999999</v>
      </c>
      <c r="E30" s="85"/>
      <c r="F30" s="85"/>
    </row>
    <row r="31" spans="1:6">
      <c r="A31" s="5"/>
      <c r="B31" s="97"/>
      <c r="C31" s="97"/>
      <c r="D31" s="98"/>
    </row>
  </sheetData>
  <mergeCells count="3">
    <mergeCell ref="A4:D4"/>
    <mergeCell ref="A5:A6"/>
    <mergeCell ref="B5:D5"/>
  </mergeCells>
  <phoneticPr fontId="6" type="noConversion"/>
  <conditionalFormatting sqref="G7:I7 G8:H12">
    <cfRule type="colorScale" priority="1">
      <colorScale>
        <cfvo type="num" val="0"/>
        <cfvo type="num" val="2"/>
        <color rgb="FFFF7128"/>
        <color rgb="FFFFEF9C"/>
      </colorScale>
    </cfRule>
  </conditionalFormatting>
  <conditionalFormatting sqref="H19:J30">
    <cfRule type="colorScale" priority="2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86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2:D36"/>
  <sheetViews>
    <sheetView zoomScaleNormal="100" zoomScaleSheetLayoutView="115" workbookViewId="0">
      <selection activeCell="C6" sqref="C6"/>
    </sheetView>
  </sheetViews>
  <sheetFormatPr defaultColWidth="8.875" defaultRowHeight="13.5"/>
  <cols>
    <col min="1" max="1" width="17" style="7" customWidth="1"/>
    <col min="2" max="2" width="17.625" style="6" customWidth="1"/>
    <col min="3" max="3" width="20" style="7" customWidth="1"/>
    <col min="4" max="4" width="17.625" style="64" customWidth="1"/>
    <col min="5" max="16384" width="8.875" style="7"/>
  </cols>
  <sheetData>
    <row r="2" spans="1:4">
      <c r="A2" s="140" t="s">
        <v>34</v>
      </c>
      <c r="B2" s="140"/>
      <c r="C2" s="140"/>
      <c r="D2" s="140"/>
    </row>
    <row r="3" spans="1:4">
      <c r="A3" s="9"/>
      <c r="B3" s="9"/>
      <c r="C3" s="9"/>
      <c r="D3" s="90"/>
    </row>
    <row r="4" spans="1:4">
      <c r="A4" s="7" t="s">
        <v>101</v>
      </c>
    </row>
    <row r="5" spans="1:4" ht="15" customHeight="1">
      <c r="A5" s="168" t="s">
        <v>27</v>
      </c>
      <c r="B5" s="168" t="s">
        <v>9</v>
      </c>
      <c r="C5" s="42" t="s">
        <v>140</v>
      </c>
      <c r="D5" s="198" t="s">
        <v>43</v>
      </c>
    </row>
    <row r="6" spans="1:4" ht="15" customHeight="1">
      <c r="A6" s="169"/>
      <c r="B6" s="169"/>
      <c r="C6" s="80">
        <v>100000</v>
      </c>
      <c r="D6" s="199"/>
    </row>
    <row r="7" spans="1:4" ht="15" customHeight="1">
      <c r="A7" s="170"/>
      <c r="B7" s="170"/>
      <c r="C7" s="74" t="s">
        <v>6</v>
      </c>
      <c r="D7" s="200"/>
    </row>
    <row r="8" spans="1:4" ht="15" customHeight="1">
      <c r="A8" s="166">
        <v>45792</v>
      </c>
      <c r="B8" s="168">
        <v>1</v>
      </c>
      <c r="C8" s="79">
        <v>99695.642999999996</v>
      </c>
      <c r="D8" s="63">
        <f>ROUND((C8-C6)/C6*100,1)</f>
        <v>-0.3</v>
      </c>
    </row>
    <row r="9" spans="1:4" ht="15" customHeight="1">
      <c r="A9" s="166"/>
      <c r="B9" s="169"/>
      <c r="C9" s="79">
        <v>101159.173</v>
      </c>
      <c r="D9" s="63">
        <f>ROUND((C9-C6)/C6*100,1)</f>
        <v>1.2</v>
      </c>
    </row>
    <row r="10" spans="1:4" ht="15" customHeight="1">
      <c r="A10" s="166"/>
      <c r="B10" s="169"/>
      <c r="C10" s="79">
        <v>98553.599000000002</v>
      </c>
      <c r="D10" s="63">
        <f>ROUND((C10-C6)/C6*100,1)</f>
        <v>-1.4</v>
      </c>
    </row>
    <row r="11" spans="1:4" ht="15" customHeight="1">
      <c r="A11" s="166"/>
      <c r="B11" s="169"/>
      <c r="C11" s="79">
        <v>103798.212</v>
      </c>
      <c r="D11" s="63">
        <f>ROUND((C11-C6)/C6*100,1)</f>
        <v>3.8</v>
      </c>
    </row>
    <row r="12" spans="1:4" ht="15" customHeight="1">
      <c r="A12" s="166"/>
      <c r="B12" s="169"/>
      <c r="C12" s="79">
        <v>103857.556</v>
      </c>
      <c r="D12" s="63">
        <f>ROUND((C12-C6)/C6*100,1)</f>
        <v>3.9</v>
      </c>
    </row>
    <row r="13" spans="1:4" ht="15" customHeight="1">
      <c r="A13" s="166"/>
      <c r="B13" s="170"/>
      <c r="C13" s="79">
        <v>98736.986999999994</v>
      </c>
      <c r="D13" s="63">
        <f>ROUND((C13-C6)/C6*100,1)</f>
        <v>-1.3</v>
      </c>
    </row>
    <row r="14" spans="1:4" ht="15" customHeight="1">
      <c r="A14" s="42" t="s">
        <v>141</v>
      </c>
      <c r="B14" s="163"/>
      <c r="C14" s="36">
        <f>ROUND(AVERAGE(C8:C13),3)</f>
        <v>100966.86199999999</v>
      </c>
      <c r="D14" s="201"/>
    </row>
    <row r="15" spans="1:4" ht="15" customHeight="1">
      <c r="A15" s="42" t="s">
        <v>4</v>
      </c>
      <c r="B15" s="164"/>
      <c r="C15" s="36">
        <f>ROUND(STDEV(C8:C13),3)</f>
        <v>2400.9090000000001</v>
      </c>
      <c r="D15" s="202"/>
    </row>
    <row r="16" spans="1:4" ht="15" customHeight="1">
      <c r="A16" s="42" t="s">
        <v>40</v>
      </c>
      <c r="B16" s="164"/>
      <c r="C16" s="63">
        <f>ROUND(C15/C14*100,1)</f>
        <v>2.4</v>
      </c>
      <c r="D16" s="202"/>
    </row>
    <row r="17" spans="1:4" ht="15" customHeight="1">
      <c r="A17" s="42" t="s">
        <v>41</v>
      </c>
      <c r="B17" s="164"/>
      <c r="C17" s="63">
        <f>ROUND(C14/C6*100,1)</f>
        <v>101</v>
      </c>
      <c r="D17" s="202"/>
    </row>
    <row r="18" spans="1:4" ht="15" customHeight="1">
      <c r="A18" s="42" t="s">
        <v>5</v>
      </c>
      <c r="B18" s="165"/>
      <c r="C18" s="65">
        <v>6</v>
      </c>
      <c r="D18" s="203"/>
    </row>
    <row r="19" spans="1:4">
      <c r="A19" s="8"/>
      <c r="B19" s="8"/>
      <c r="C19" s="8"/>
      <c r="D19" s="23"/>
    </row>
    <row r="21" spans="1:4">
      <c r="A21" s="7" t="s">
        <v>103</v>
      </c>
    </row>
    <row r="22" spans="1:4" ht="15" customHeight="1">
      <c r="A22" s="168" t="s">
        <v>27</v>
      </c>
      <c r="B22" s="168" t="s">
        <v>9</v>
      </c>
      <c r="C22" s="42" t="s">
        <v>140</v>
      </c>
      <c r="D22" s="198" t="s">
        <v>92</v>
      </c>
    </row>
    <row r="23" spans="1:4" ht="15" customHeight="1">
      <c r="A23" s="169"/>
      <c r="B23" s="169"/>
      <c r="C23" s="80">
        <v>100000</v>
      </c>
      <c r="D23" s="199"/>
    </row>
    <row r="24" spans="1:4" ht="15" customHeight="1">
      <c r="A24" s="170"/>
      <c r="B24" s="170"/>
      <c r="C24" s="74" t="s">
        <v>6</v>
      </c>
      <c r="D24" s="200"/>
    </row>
    <row r="25" spans="1:4" ht="15" customHeight="1">
      <c r="A25" s="166">
        <v>45792</v>
      </c>
      <c r="B25" s="168">
        <v>1</v>
      </c>
      <c r="C25" s="79">
        <v>105175.54399999999</v>
      </c>
      <c r="D25" s="63">
        <f>ROUND((C25-C23)/C23*100,1)</f>
        <v>5.2</v>
      </c>
    </row>
    <row r="26" spans="1:4" ht="15" customHeight="1">
      <c r="A26" s="166"/>
      <c r="B26" s="169"/>
      <c r="C26" s="79">
        <v>105388.764</v>
      </c>
      <c r="D26" s="63">
        <f>ROUND((C26-C23)/C23*100,1)</f>
        <v>5.4</v>
      </c>
    </row>
    <row r="27" spans="1:4" ht="15" customHeight="1">
      <c r="A27" s="166"/>
      <c r="B27" s="169"/>
      <c r="C27" s="79">
        <v>102910.88</v>
      </c>
      <c r="D27" s="63">
        <f>ROUND((C27-C23)/C23*100,1)</f>
        <v>2.9</v>
      </c>
    </row>
    <row r="28" spans="1:4" ht="15" customHeight="1">
      <c r="A28" s="166"/>
      <c r="B28" s="169"/>
      <c r="C28" s="79">
        <v>103757.113</v>
      </c>
      <c r="D28" s="63">
        <f>ROUND((C28-C23)/C23*100,1)</f>
        <v>3.8</v>
      </c>
    </row>
    <row r="29" spans="1:4" ht="15" customHeight="1">
      <c r="A29" s="166"/>
      <c r="B29" s="169"/>
      <c r="C29" s="79">
        <v>104852.75900000001</v>
      </c>
      <c r="D29" s="63">
        <f>ROUND((C29-C23)/C23*100,1)</f>
        <v>4.9000000000000004</v>
      </c>
    </row>
    <row r="30" spans="1:4" ht="15" customHeight="1">
      <c r="A30" s="166"/>
      <c r="B30" s="170"/>
      <c r="C30" s="79">
        <v>100959.398</v>
      </c>
      <c r="D30" s="63">
        <f>ROUND((C30-C23)/C23*100,1)</f>
        <v>1</v>
      </c>
    </row>
    <row r="31" spans="1:4" ht="15" customHeight="1">
      <c r="A31" s="42" t="s">
        <v>141</v>
      </c>
      <c r="B31" s="163"/>
      <c r="C31" s="36">
        <f>ROUND(AVERAGE(C25:C30),3)</f>
        <v>103840.743</v>
      </c>
      <c r="D31" s="201"/>
    </row>
    <row r="32" spans="1:4" ht="15" customHeight="1">
      <c r="A32" s="42" t="s">
        <v>4</v>
      </c>
      <c r="B32" s="164"/>
      <c r="C32" s="36">
        <f>ROUND(STDEV(C25:C30),3)</f>
        <v>1695.643</v>
      </c>
      <c r="D32" s="202"/>
    </row>
    <row r="33" spans="1:4" ht="15" customHeight="1">
      <c r="A33" s="42" t="s">
        <v>95</v>
      </c>
      <c r="B33" s="164"/>
      <c r="C33" s="63">
        <f>ROUND(C32/C31*100,1)</f>
        <v>1.6</v>
      </c>
      <c r="D33" s="202"/>
    </row>
    <row r="34" spans="1:4" ht="15" customHeight="1">
      <c r="A34" s="42" t="s">
        <v>96</v>
      </c>
      <c r="B34" s="164"/>
      <c r="C34" s="63">
        <f>ROUND(C31/C23*100,1)</f>
        <v>103.8</v>
      </c>
      <c r="D34" s="202"/>
    </row>
    <row r="35" spans="1:4" ht="15" customHeight="1">
      <c r="A35" s="42" t="s">
        <v>5</v>
      </c>
      <c r="B35" s="165"/>
      <c r="C35" s="65">
        <v>6</v>
      </c>
      <c r="D35" s="203"/>
    </row>
    <row r="36" spans="1:4">
      <c r="A36" s="8"/>
      <c r="B36" s="8"/>
      <c r="C36" s="8"/>
      <c r="D36" s="23"/>
    </row>
  </sheetData>
  <mergeCells count="15">
    <mergeCell ref="B31:B35"/>
    <mergeCell ref="D31:D35"/>
    <mergeCell ref="A22:A24"/>
    <mergeCell ref="B22:B24"/>
    <mergeCell ref="D22:D24"/>
    <mergeCell ref="A25:A30"/>
    <mergeCell ref="B25:B30"/>
    <mergeCell ref="A2:D2"/>
    <mergeCell ref="B14:B18"/>
    <mergeCell ref="D5:D7"/>
    <mergeCell ref="B5:B7"/>
    <mergeCell ref="A5:A7"/>
    <mergeCell ref="A8:A13"/>
    <mergeCell ref="B8:B13"/>
    <mergeCell ref="D14:D18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2:J37"/>
  <sheetViews>
    <sheetView zoomScaleNormal="100" zoomScaleSheetLayoutView="100" workbookViewId="0">
      <selection activeCell="I34" sqref="I34"/>
    </sheetView>
  </sheetViews>
  <sheetFormatPr defaultColWidth="8.875" defaultRowHeight="13.5"/>
  <cols>
    <col min="1" max="6" width="14.625" style="7" customWidth="1"/>
    <col min="7" max="7" width="12.375" style="7" customWidth="1"/>
    <col min="8" max="8" width="8.875" style="7"/>
    <col min="9" max="9" width="16.875" style="7" customWidth="1"/>
    <col min="10" max="16384" width="8.875" style="7"/>
  </cols>
  <sheetData>
    <row r="2" spans="1:10">
      <c r="A2" s="140" t="s">
        <v>33</v>
      </c>
      <c r="B2" s="140"/>
      <c r="C2" s="140"/>
    </row>
    <row r="3" spans="1:10">
      <c r="A3" s="9"/>
      <c r="B3" s="9"/>
      <c r="C3" s="9"/>
    </row>
    <row r="4" spans="1:10">
      <c r="A4" s="7" t="s">
        <v>101</v>
      </c>
      <c r="H4" s="119" t="s">
        <v>52</v>
      </c>
      <c r="I4" s="120">
        <v>45793.741666666669</v>
      </c>
    </row>
    <row r="5" spans="1:10" ht="14.25" customHeight="1">
      <c r="A5" s="204" t="s">
        <v>190</v>
      </c>
      <c r="B5" s="204"/>
      <c r="C5" s="204"/>
      <c r="D5" s="204"/>
      <c r="E5" s="204"/>
      <c r="F5" s="204"/>
      <c r="H5" s="119" t="s">
        <v>107</v>
      </c>
      <c r="I5" s="120">
        <v>45794.454861111109</v>
      </c>
      <c r="J5" s="121"/>
    </row>
    <row r="6" spans="1:10" ht="13.5" customHeight="1">
      <c r="A6" s="168" t="s">
        <v>27</v>
      </c>
      <c r="B6" s="168" t="s">
        <v>9</v>
      </c>
      <c r="C6" s="42" t="s">
        <v>3</v>
      </c>
      <c r="D6" s="147" t="s">
        <v>92</v>
      </c>
      <c r="E6" s="42" t="s">
        <v>1</v>
      </c>
      <c r="F6" s="147" t="s">
        <v>92</v>
      </c>
      <c r="H6" s="5" t="s">
        <v>49</v>
      </c>
      <c r="I6" s="61">
        <f>(I5-I4)*24</f>
        <v>17.116666666581295</v>
      </c>
    </row>
    <row r="7" spans="1:10">
      <c r="A7" s="169"/>
      <c r="B7" s="169"/>
      <c r="C7" s="80">
        <v>30</v>
      </c>
      <c r="D7" s="147"/>
      <c r="E7" s="80">
        <v>7500</v>
      </c>
      <c r="F7" s="147"/>
    </row>
    <row r="8" spans="1:10">
      <c r="A8" s="170"/>
      <c r="B8" s="170"/>
      <c r="C8" s="74" t="s">
        <v>6</v>
      </c>
      <c r="D8" s="147"/>
      <c r="E8" s="74" t="s">
        <v>6</v>
      </c>
      <c r="F8" s="147"/>
    </row>
    <row r="9" spans="1:10" ht="14.25">
      <c r="A9" s="205">
        <v>45805</v>
      </c>
      <c r="B9" s="168">
        <v>5</v>
      </c>
      <c r="C9" s="79">
        <v>31.963000000000001</v>
      </c>
      <c r="D9" s="63">
        <f>ROUND((C9-C7)/C7*100,1)</f>
        <v>6.5</v>
      </c>
      <c r="E9" s="79">
        <v>7250.183</v>
      </c>
      <c r="F9" s="63">
        <f>ROUND((E9-E7)/E7*100,1)</f>
        <v>-3.3</v>
      </c>
      <c r="G9" s="122"/>
      <c r="H9" s="122"/>
    </row>
    <row r="10" spans="1:10" ht="14.25">
      <c r="A10" s="206"/>
      <c r="B10" s="169"/>
      <c r="C10" s="79">
        <v>29.31</v>
      </c>
      <c r="D10" s="63">
        <f>ROUND((C10-C7)/C7*100,1)</f>
        <v>-2.2999999999999998</v>
      </c>
      <c r="E10" s="79">
        <v>7087.2569999999996</v>
      </c>
      <c r="F10" s="63">
        <f>ROUND((E10-E7)/E7*100,1)</f>
        <v>-5.5</v>
      </c>
      <c r="G10" s="122"/>
      <c r="H10" s="122"/>
    </row>
    <row r="11" spans="1:10" ht="14.25">
      <c r="A11" s="206"/>
      <c r="B11" s="169"/>
      <c r="C11" s="79">
        <v>32.390999999999998</v>
      </c>
      <c r="D11" s="63">
        <f>ROUND((C11-C7)/C7*100,1)</f>
        <v>8</v>
      </c>
      <c r="E11" s="79">
        <v>7220.1109999999999</v>
      </c>
      <c r="F11" s="63">
        <f>ROUND((E11-E7)/E7*100,1)</f>
        <v>-3.7</v>
      </c>
      <c r="G11" s="122"/>
      <c r="H11" s="122"/>
    </row>
    <row r="12" spans="1:10" ht="14.25">
      <c r="A12" s="206"/>
      <c r="B12" s="169"/>
      <c r="C12" s="79">
        <v>28.582000000000001</v>
      </c>
      <c r="D12" s="63">
        <f>ROUND((C12-C7)/C7*100,1)</f>
        <v>-4.7</v>
      </c>
      <c r="E12" s="79">
        <v>7585.933</v>
      </c>
      <c r="F12" s="63">
        <f>ROUND((E12-E7)/E7*100,1)</f>
        <v>1.1000000000000001</v>
      </c>
      <c r="G12" s="122"/>
      <c r="H12" s="122"/>
    </row>
    <row r="13" spans="1:10" ht="14.25">
      <c r="A13" s="206"/>
      <c r="B13" s="169"/>
      <c r="C13" s="79">
        <v>31.423999999999999</v>
      </c>
      <c r="D13" s="63">
        <f>ROUND((C13-C7)/C7*100,1)</f>
        <v>4.7</v>
      </c>
      <c r="E13" s="79">
        <v>7734.6869999999999</v>
      </c>
      <c r="F13" s="63">
        <f>ROUND((E13-E7)/E7*100,1)</f>
        <v>3.1</v>
      </c>
      <c r="G13" s="122"/>
      <c r="H13" s="122"/>
    </row>
    <row r="14" spans="1:10" ht="14.25">
      <c r="A14" s="206"/>
      <c r="B14" s="170"/>
      <c r="C14" s="79">
        <v>31.050999999999998</v>
      </c>
      <c r="D14" s="63">
        <f>ROUND((C14-C7)/C7*100,1)</f>
        <v>3.5</v>
      </c>
      <c r="E14" s="79">
        <v>7433.9229999999998</v>
      </c>
      <c r="F14" s="63">
        <f>ROUND((E14-E7)/E7*100,1)</f>
        <v>-0.9</v>
      </c>
      <c r="G14" s="122"/>
      <c r="H14" s="122"/>
    </row>
    <row r="15" spans="1:10">
      <c r="A15" s="42" t="s">
        <v>16</v>
      </c>
      <c r="B15" s="163"/>
      <c r="C15" s="36">
        <f>ROUND(AVERAGE(C9:C14),3)</f>
        <v>30.786999999999999</v>
      </c>
      <c r="D15" s="201"/>
      <c r="E15" s="36">
        <f>ROUND(AVERAGE(E9:E14),3)</f>
        <v>7385.3490000000002</v>
      </c>
      <c r="F15" s="201"/>
    </row>
    <row r="16" spans="1:10">
      <c r="A16" s="42" t="s">
        <v>4</v>
      </c>
      <c r="B16" s="164"/>
      <c r="C16" s="36">
        <f>ROUND(STDEV(C9:C14),3)</f>
        <v>1.5149999999999999</v>
      </c>
      <c r="D16" s="202"/>
      <c r="E16" s="36">
        <f>ROUND(STDEV(E9:E14),3)</f>
        <v>244.566</v>
      </c>
      <c r="F16" s="202"/>
    </row>
    <row r="17" spans="1:9">
      <c r="A17" s="42" t="s">
        <v>40</v>
      </c>
      <c r="B17" s="164"/>
      <c r="C17" s="63">
        <f>ROUND(C16/C15*100,1)</f>
        <v>4.9000000000000004</v>
      </c>
      <c r="D17" s="202"/>
      <c r="E17" s="63">
        <f>ROUND(E16/E15*100,1)</f>
        <v>3.3</v>
      </c>
      <c r="F17" s="202"/>
    </row>
    <row r="18" spans="1:9">
      <c r="A18" s="42" t="s">
        <v>41</v>
      </c>
      <c r="B18" s="164"/>
      <c r="C18" s="63">
        <f>ROUND(C15/C7*100,1)</f>
        <v>102.6</v>
      </c>
      <c r="D18" s="202"/>
      <c r="E18" s="63">
        <f>ROUND(E15/E7*100,1)</f>
        <v>98.5</v>
      </c>
      <c r="F18" s="202"/>
    </row>
    <row r="19" spans="1:9">
      <c r="A19" s="42" t="s">
        <v>5</v>
      </c>
      <c r="B19" s="165"/>
      <c r="C19" s="65">
        <v>6</v>
      </c>
      <c r="D19" s="203"/>
      <c r="E19" s="65">
        <v>6</v>
      </c>
      <c r="F19" s="203"/>
    </row>
    <row r="20" spans="1:9">
      <c r="A20" s="13"/>
      <c r="B20" s="13"/>
      <c r="C20" s="13"/>
      <c r="D20" s="13"/>
      <c r="E20" s="13"/>
    </row>
    <row r="22" spans="1:9">
      <c r="A22" s="7" t="s">
        <v>103</v>
      </c>
      <c r="H22" s="119" t="s">
        <v>52</v>
      </c>
      <c r="I22" s="120">
        <v>45793.741666666669</v>
      </c>
    </row>
    <row r="23" spans="1:9">
      <c r="A23" s="204" t="s">
        <v>190</v>
      </c>
      <c r="B23" s="204"/>
      <c r="C23" s="204"/>
      <c r="D23" s="204"/>
      <c r="E23" s="204"/>
      <c r="F23" s="204"/>
      <c r="H23" s="119" t="s">
        <v>107</v>
      </c>
      <c r="I23" s="120">
        <v>45794.454861111109</v>
      </c>
    </row>
    <row r="24" spans="1:9" ht="13.5" customHeight="1">
      <c r="A24" s="168" t="s">
        <v>27</v>
      </c>
      <c r="B24" s="168" t="s">
        <v>9</v>
      </c>
      <c r="C24" s="42" t="s">
        <v>3</v>
      </c>
      <c r="D24" s="147" t="s">
        <v>92</v>
      </c>
      <c r="E24" s="42" t="s">
        <v>1</v>
      </c>
      <c r="F24" s="147" t="s">
        <v>92</v>
      </c>
      <c r="H24" s="5" t="s">
        <v>49</v>
      </c>
      <c r="I24" s="61">
        <f>(I23-I22)*24</f>
        <v>17.116666666581295</v>
      </c>
    </row>
    <row r="25" spans="1:9">
      <c r="A25" s="169"/>
      <c r="B25" s="169"/>
      <c r="C25" s="80">
        <v>30</v>
      </c>
      <c r="D25" s="147"/>
      <c r="E25" s="80">
        <v>7500</v>
      </c>
      <c r="F25" s="147"/>
    </row>
    <row r="26" spans="1:9">
      <c r="A26" s="170"/>
      <c r="B26" s="170"/>
      <c r="C26" s="74" t="s">
        <v>6</v>
      </c>
      <c r="D26" s="147"/>
      <c r="E26" s="74" t="s">
        <v>6</v>
      </c>
      <c r="F26" s="147"/>
    </row>
    <row r="27" spans="1:9" ht="14.25">
      <c r="A27" s="205">
        <v>45805</v>
      </c>
      <c r="B27" s="168">
        <v>5</v>
      </c>
      <c r="C27" s="79">
        <v>28.670999999999999</v>
      </c>
      <c r="D27" s="63">
        <f>ROUND((C27-C25)/C25*100,1)</f>
        <v>-4.4000000000000004</v>
      </c>
      <c r="E27" s="79">
        <v>7435.9440000000004</v>
      </c>
      <c r="F27" s="63">
        <f>ROUND((E27-E25)/E25*100,1)</f>
        <v>-0.9</v>
      </c>
      <c r="G27" s="122"/>
      <c r="H27" s="122"/>
    </row>
    <row r="28" spans="1:9" ht="14.25">
      <c r="A28" s="206"/>
      <c r="B28" s="169"/>
      <c r="C28" s="79">
        <v>28.802</v>
      </c>
      <c r="D28" s="63">
        <f>ROUND((C28-C25)/C25*100,1)</f>
        <v>-4</v>
      </c>
      <c r="E28" s="79">
        <v>7244.6019999999999</v>
      </c>
      <c r="F28" s="63">
        <f>ROUND((E28-E25)/E25*100,1)</f>
        <v>-3.4</v>
      </c>
      <c r="G28" s="122"/>
      <c r="H28" s="122"/>
    </row>
    <row r="29" spans="1:9" ht="14.25">
      <c r="A29" s="206"/>
      <c r="B29" s="169"/>
      <c r="C29" s="79">
        <v>28.902000000000001</v>
      </c>
      <c r="D29" s="63">
        <f>ROUND((C29-C25)/C25*100,1)</f>
        <v>-3.7</v>
      </c>
      <c r="E29" s="79">
        <v>7568.6559999999999</v>
      </c>
      <c r="F29" s="63">
        <f>ROUND((E29-E25)/E25*100,1)</f>
        <v>0.9</v>
      </c>
      <c r="G29" s="122"/>
      <c r="H29" s="122"/>
    </row>
    <row r="30" spans="1:9" ht="14.25">
      <c r="A30" s="206"/>
      <c r="B30" s="169"/>
      <c r="C30" s="79">
        <v>27.460999999999999</v>
      </c>
      <c r="D30" s="63">
        <f>ROUND((C30-C25)/C25*100,1)</f>
        <v>-8.5</v>
      </c>
      <c r="E30" s="79">
        <v>7651.8029999999999</v>
      </c>
      <c r="F30" s="63">
        <f>ROUND((E30-E25)/E25*100,1)</f>
        <v>2</v>
      </c>
      <c r="G30" s="122"/>
      <c r="H30" s="122"/>
    </row>
    <row r="31" spans="1:9" ht="14.25">
      <c r="A31" s="206"/>
      <c r="B31" s="169"/>
      <c r="C31" s="79">
        <v>28.228999999999999</v>
      </c>
      <c r="D31" s="63">
        <f>ROUND((C31-C25)/C25*100,1)</f>
        <v>-5.9</v>
      </c>
      <c r="E31" s="79">
        <v>8054.768</v>
      </c>
      <c r="F31" s="63">
        <f>ROUND((E31-E25)/E25*100,1)</f>
        <v>7.4</v>
      </c>
      <c r="G31" s="122"/>
      <c r="H31" s="122"/>
    </row>
    <row r="32" spans="1:9" ht="14.25">
      <c r="A32" s="206"/>
      <c r="B32" s="170"/>
      <c r="C32" s="79">
        <v>28.454999999999998</v>
      </c>
      <c r="D32" s="63">
        <f>ROUND((C32-C25)/C25*100,1)</f>
        <v>-5.2</v>
      </c>
      <c r="E32" s="79">
        <v>7695.0529999999999</v>
      </c>
      <c r="F32" s="63">
        <f>ROUND((E32-E25)/E25*100,1)</f>
        <v>2.6</v>
      </c>
      <c r="G32" s="122"/>
      <c r="H32" s="122"/>
    </row>
    <row r="33" spans="1:6">
      <c r="A33" s="42" t="s">
        <v>16</v>
      </c>
      <c r="B33" s="163"/>
      <c r="C33" s="36">
        <f>ROUND(AVERAGE(C27:C32),3)</f>
        <v>28.42</v>
      </c>
      <c r="D33" s="201"/>
      <c r="E33" s="36">
        <f>ROUND(AVERAGE(E27:E32),3)</f>
        <v>7608.4709999999995</v>
      </c>
      <c r="F33" s="201"/>
    </row>
    <row r="34" spans="1:6">
      <c r="A34" s="42" t="s">
        <v>4</v>
      </c>
      <c r="B34" s="164"/>
      <c r="C34" s="36">
        <f>ROUND(STDEV(C27:C32),3)</f>
        <v>0.52900000000000003</v>
      </c>
      <c r="D34" s="202"/>
      <c r="E34" s="36">
        <f>ROUND(STDEV(E27:E32),3)</f>
        <v>272.87599999999998</v>
      </c>
      <c r="F34" s="202"/>
    </row>
    <row r="35" spans="1:6">
      <c r="A35" s="42" t="s">
        <v>95</v>
      </c>
      <c r="B35" s="164"/>
      <c r="C35" s="63">
        <f>ROUND(C34/C33*100,1)</f>
        <v>1.9</v>
      </c>
      <c r="D35" s="202"/>
      <c r="E35" s="63">
        <f>ROUND(E34/E33*100,1)</f>
        <v>3.6</v>
      </c>
      <c r="F35" s="202"/>
    </row>
    <row r="36" spans="1:6">
      <c r="A36" s="42" t="s">
        <v>96</v>
      </c>
      <c r="B36" s="164"/>
      <c r="C36" s="63">
        <f>ROUND(C33/C25*100,1)</f>
        <v>94.7</v>
      </c>
      <c r="D36" s="202"/>
      <c r="E36" s="63">
        <f>ROUND(E33/E25*100,1)</f>
        <v>101.4</v>
      </c>
      <c r="F36" s="202"/>
    </row>
    <row r="37" spans="1:6">
      <c r="A37" s="42" t="s">
        <v>5</v>
      </c>
      <c r="B37" s="165"/>
      <c r="C37" s="65">
        <v>6</v>
      </c>
      <c r="D37" s="203"/>
      <c r="E37" s="65">
        <v>6</v>
      </c>
      <c r="F37" s="203"/>
    </row>
  </sheetData>
  <mergeCells count="21">
    <mergeCell ref="B33:B37"/>
    <mergeCell ref="D33:D37"/>
    <mergeCell ref="F33:F37"/>
    <mergeCell ref="A24:A26"/>
    <mergeCell ref="B24:B26"/>
    <mergeCell ref="D24:D26"/>
    <mergeCell ref="F24:F26"/>
    <mergeCell ref="A27:A32"/>
    <mergeCell ref="B27:B32"/>
    <mergeCell ref="A23:F23"/>
    <mergeCell ref="A2:C2"/>
    <mergeCell ref="A6:A8"/>
    <mergeCell ref="B6:B8"/>
    <mergeCell ref="D15:D19"/>
    <mergeCell ref="F15:F19"/>
    <mergeCell ref="D6:D8"/>
    <mergeCell ref="F6:F8"/>
    <mergeCell ref="B15:B19"/>
    <mergeCell ref="A9:A14"/>
    <mergeCell ref="B9:B14"/>
    <mergeCell ref="A5:F5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62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2:I38"/>
  <sheetViews>
    <sheetView zoomScaleNormal="100" zoomScaleSheetLayoutView="100" workbookViewId="0">
      <selection activeCell="L36" sqref="L36"/>
    </sheetView>
  </sheetViews>
  <sheetFormatPr defaultColWidth="8.875" defaultRowHeight="13.5"/>
  <cols>
    <col min="1" max="7" width="12.875" style="7" customWidth="1"/>
    <col min="8" max="8" width="13.5" style="3" customWidth="1"/>
    <col min="9" max="16384" width="8.875" style="3"/>
  </cols>
  <sheetData>
    <row r="2" spans="1:9">
      <c r="A2" s="140" t="s">
        <v>32</v>
      </c>
      <c r="B2" s="140"/>
      <c r="C2" s="140"/>
      <c r="D2" s="140"/>
      <c r="E2" s="140"/>
      <c r="F2" s="140"/>
    </row>
    <row r="3" spans="1:9">
      <c r="A3" s="9"/>
      <c r="B3" s="9"/>
      <c r="C3" s="9"/>
      <c r="D3" s="9"/>
      <c r="E3" s="9"/>
      <c r="F3" s="9"/>
    </row>
    <row r="4" spans="1:9" s="7" customFormat="1">
      <c r="A4" s="7" t="s">
        <v>101</v>
      </c>
      <c r="B4" s="9"/>
      <c r="C4" s="9"/>
      <c r="D4" s="9"/>
      <c r="E4" s="9"/>
      <c r="F4" s="9"/>
    </row>
    <row r="5" spans="1:9">
      <c r="A5" s="204" t="s">
        <v>99</v>
      </c>
      <c r="B5" s="204"/>
      <c r="C5" s="204"/>
      <c r="D5" s="204"/>
      <c r="E5" s="204"/>
      <c r="F5" s="204"/>
      <c r="G5" s="204"/>
    </row>
    <row r="6" spans="1:9" s="1" customFormat="1">
      <c r="A6" s="168" t="s">
        <v>27</v>
      </c>
      <c r="B6" s="168" t="s">
        <v>9</v>
      </c>
      <c r="C6" s="168" t="s">
        <v>105</v>
      </c>
      <c r="D6" s="42" t="s">
        <v>3</v>
      </c>
      <c r="E6" s="147" t="s">
        <v>92</v>
      </c>
      <c r="F6" s="42" t="s">
        <v>1</v>
      </c>
      <c r="G6" s="147" t="s">
        <v>92</v>
      </c>
    </row>
    <row r="7" spans="1:9" s="1" customFormat="1">
      <c r="A7" s="169"/>
      <c r="B7" s="169"/>
      <c r="C7" s="169"/>
      <c r="D7" s="80">
        <v>30</v>
      </c>
      <c r="E7" s="147"/>
      <c r="F7" s="80">
        <v>7500</v>
      </c>
      <c r="G7" s="147"/>
    </row>
    <row r="8" spans="1:9" s="1" customFormat="1">
      <c r="A8" s="170"/>
      <c r="B8" s="170"/>
      <c r="C8" s="170"/>
      <c r="D8" s="74" t="s">
        <v>6</v>
      </c>
      <c r="E8" s="147"/>
      <c r="F8" s="74" t="s">
        <v>6</v>
      </c>
      <c r="G8" s="147"/>
    </row>
    <row r="9" spans="1:9" s="1" customFormat="1" ht="14.25">
      <c r="A9" s="205">
        <v>45805</v>
      </c>
      <c r="B9" s="168">
        <v>5</v>
      </c>
      <c r="C9" s="168" t="s">
        <v>106</v>
      </c>
      <c r="D9" s="79">
        <v>30.654</v>
      </c>
      <c r="E9" s="63">
        <f>ROUND((D9-D7)/D7*100,1)</f>
        <v>2.2000000000000002</v>
      </c>
      <c r="F9" s="79">
        <v>7559.5919999999996</v>
      </c>
      <c r="G9" s="63">
        <f>ROUND((F9-F7)/F7*100,1)</f>
        <v>0.8</v>
      </c>
      <c r="H9"/>
      <c r="I9"/>
    </row>
    <row r="10" spans="1:9" s="1" customFormat="1" ht="14.25">
      <c r="A10" s="206"/>
      <c r="B10" s="169"/>
      <c r="C10" s="169"/>
      <c r="D10" s="79">
        <v>29.687000000000001</v>
      </c>
      <c r="E10" s="63">
        <f>ROUND((D10-D7)/D7*100,1)</f>
        <v>-1</v>
      </c>
      <c r="F10" s="79">
        <v>7772.63</v>
      </c>
      <c r="G10" s="63">
        <f>ROUND((F10-F7)/F7*100,1)</f>
        <v>3.6</v>
      </c>
      <c r="H10"/>
      <c r="I10"/>
    </row>
    <row r="11" spans="1:9" s="1" customFormat="1" ht="14.25">
      <c r="A11" s="206"/>
      <c r="B11" s="169"/>
      <c r="C11" s="169"/>
      <c r="D11" s="79">
        <v>30.888999999999999</v>
      </c>
      <c r="E11" s="63">
        <f>ROUND((D11-D7)/D7*100,1)</f>
        <v>3</v>
      </c>
      <c r="F11" s="79">
        <v>7931.5720000000001</v>
      </c>
      <c r="G11" s="63">
        <f>ROUND((F11-F7)/F7*100,1)</f>
        <v>5.8</v>
      </c>
      <c r="H11"/>
      <c r="I11"/>
    </row>
    <row r="12" spans="1:9" s="1" customFormat="1" ht="14.25">
      <c r="A12" s="206"/>
      <c r="B12" s="169"/>
      <c r="C12" s="169"/>
      <c r="D12" s="79">
        <v>29.719000000000001</v>
      </c>
      <c r="E12" s="63">
        <f>ROUND((D12-D7)/D7*100,1)</f>
        <v>-0.9</v>
      </c>
      <c r="F12" s="79">
        <v>7675.7860000000001</v>
      </c>
      <c r="G12" s="63">
        <f>ROUND((F12-F7)/F7*100,1)</f>
        <v>2.2999999999999998</v>
      </c>
      <c r="H12"/>
      <c r="I12"/>
    </row>
    <row r="13" spans="1:9" s="1" customFormat="1" ht="14.25">
      <c r="A13" s="206"/>
      <c r="B13" s="169"/>
      <c r="C13" s="169"/>
      <c r="D13" s="79">
        <v>29.972999999999999</v>
      </c>
      <c r="E13" s="63">
        <f>ROUND((D13-D7)/D7*100,1)</f>
        <v>-0.1</v>
      </c>
      <c r="F13" s="79">
        <v>7613.0069999999996</v>
      </c>
      <c r="G13" s="63">
        <f>ROUND((F13-F7)/F7*100,1)</f>
        <v>1.5</v>
      </c>
      <c r="H13"/>
      <c r="I13"/>
    </row>
    <row r="14" spans="1:9" s="1" customFormat="1" ht="14.25">
      <c r="A14" s="206"/>
      <c r="B14" s="170"/>
      <c r="C14" s="170"/>
      <c r="D14" s="79">
        <v>30.501999999999999</v>
      </c>
      <c r="E14" s="63">
        <f>ROUND((D14-D7)/D7*100,1)</f>
        <v>1.7</v>
      </c>
      <c r="F14" s="79">
        <v>7619.6530000000002</v>
      </c>
      <c r="G14" s="63">
        <f>ROUND((F14-F7)/F7*100,1)</f>
        <v>1.6</v>
      </c>
      <c r="H14"/>
      <c r="I14"/>
    </row>
    <row r="15" spans="1:9" s="1" customFormat="1" ht="14.25">
      <c r="A15" s="42" t="s">
        <v>16</v>
      </c>
      <c r="B15" s="163"/>
      <c r="C15" s="163"/>
      <c r="D15" s="36">
        <f>ROUND(AVERAGE(D9:D14),3)</f>
        <v>30.236999999999998</v>
      </c>
      <c r="E15" s="201"/>
      <c r="F15" s="36">
        <f>ROUND(AVERAGE(F9:F14),3)</f>
        <v>7695.3729999999996</v>
      </c>
      <c r="G15" s="201"/>
      <c r="H15"/>
    </row>
    <row r="16" spans="1:9" s="1" customFormat="1" ht="14.25">
      <c r="A16" s="42" t="s">
        <v>4</v>
      </c>
      <c r="B16" s="164"/>
      <c r="C16" s="164"/>
      <c r="D16" s="36">
        <f>ROUND(STDEV(D9:D14),3)</f>
        <v>0.51200000000000001</v>
      </c>
      <c r="E16" s="202"/>
      <c r="F16" s="36">
        <f>ROUND(STDEV(F9:F14),3)</f>
        <v>136.452</v>
      </c>
      <c r="G16" s="202"/>
      <c r="H16"/>
    </row>
    <row r="17" spans="1:8" s="1" customFormat="1" ht="14.25">
      <c r="A17" s="42" t="s">
        <v>40</v>
      </c>
      <c r="B17" s="164"/>
      <c r="C17" s="164"/>
      <c r="D17" s="63">
        <f>ROUND(D16/D15*100,1)</f>
        <v>1.7</v>
      </c>
      <c r="E17" s="202"/>
      <c r="F17" s="63">
        <f>ROUND(F16/F15*100,1)</f>
        <v>1.8</v>
      </c>
      <c r="G17" s="202"/>
      <c r="H17"/>
    </row>
    <row r="18" spans="1:8" s="1" customFormat="1" ht="14.25">
      <c r="A18" s="42" t="s">
        <v>41</v>
      </c>
      <c r="B18" s="164"/>
      <c r="C18" s="164"/>
      <c r="D18" s="63">
        <f>ROUND(D15/D7*100,1)</f>
        <v>100.8</v>
      </c>
      <c r="E18" s="202"/>
      <c r="F18" s="63">
        <f>ROUND(F15/F7*100,1)</f>
        <v>102.6</v>
      </c>
      <c r="G18" s="202"/>
      <c r="H18"/>
    </row>
    <row r="19" spans="1:8" s="1" customFormat="1" ht="14.25">
      <c r="A19" s="42" t="s">
        <v>5</v>
      </c>
      <c r="B19" s="165"/>
      <c r="C19" s="165"/>
      <c r="D19" s="65">
        <v>6</v>
      </c>
      <c r="E19" s="203"/>
      <c r="F19" s="65">
        <v>6</v>
      </c>
      <c r="G19" s="203"/>
      <c r="H19"/>
    </row>
    <row r="20" spans="1:8" ht="15">
      <c r="A20" s="13"/>
      <c r="B20" s="13"/>
      <c r="C20" s="13"/>
      <c r="D20" s="13"/>
      <c r="E20" s="13"/>
      <c r="F20" s="12"/>
      <c r="H20"/>
    </row>
    <row r="21" spans="1:8" ht="14.25">
      <c r="A21" s="207"/>
      <c r="B21" s="207"/>
      <c r="C21" s="207"/>
      <c r="D21" s="207"/>
      <c r="H21"/>
    </row>
    <row r="22" spans="1:8" s="7" customFormat="1" ht="14.25">
      <c r="A22" s="7" t="s">
        <v>103</v>
      </c>
      <c r="B22" s="9"/>
      <c r="C22" s="9"/>
      <c r="D22" s="9"/>
      <c r="E22" s="9"/>
      <c r="F22" s="9"/>
      <c r="H22"/>
    </row>
    <row r="23" spans="1:8" ht="14.25">
      <c r="A23" s="204" t="s">
        <v>99</v>
      </c>
      <c r="B23" s="204"/>
      <c r="C23" s="204"/>
      <c r="D23" s="204"/>
      <c r="E23" s="204"/>
      <c r="F23" s="204"/>
      <c r="G23" s="204"/>
      <c r="H23"/>
    </row>
    <row r="24" spans="1:8" s="1" customFormat="1" ht="14.25" customHeight="1">
      <c r="A24" s="168" t="s">
        <v>27</v>
      </c>
      <c r="B24" s="168" t="s">
        <v>9</v>
      </c>
      <c r="C24" s="168" t="s">
        <v>105</v>
      </c>
      <c r="D24" s="42" t="s">
        <v>3</v>
      </c>
      <c r="E24" s="147" t="s">
        <v>92</v>
      </c>
      <c r="F24" s="42" t="s">
        <v>1</v>
      </c>
      <c r="G24" s="147" t="s">
        <v>92</v>
      </c>
      <c r="H24"/>
    </row>
    <row r="25" spans="1:8" s="1" customFormat="1" ht="14.25">
      <c r="A25" s="169"/>
      <c r="B25" s="169"/>
      <c r="C25" s="169"/>
      <c r="D25" s="80">
        <v>30</v>
      </c>
      <c r="E25" s="147"/>
      <c r="F25" s="80">
        <v>7500</v>
      </c>
      <c r="G25" s="147"/>
      <c r="H25"/>
    </row>
    <row r="26" spans="1:8" s="1" customFormat="1" ht="14.25">
      <c r="A26" s="170"/>
      <c r="B26" s="170"/>
      <c r="C26" s="170"/>
      <c r="D26" s="74" t="s">
        <v>6</v>
      </c>
      <c r="E26" s="147"/>
      <c r="F26" s="74" t="s">
        <v>6</v>
      </c>
      <c r="G26" s="147"/>
      <c r="H26"/>
    </row>
    <row r="27" spans="1:8" s="1" customFormat="1" ht="14.25">
      <c r="A27" s="205">
        <v>45805</v>
      </c>
      <c r="B27" s="168">
        <v>5</v>
      </c>
      <c r="C27" s="168" t="s">
        <v>106</v>
      </c>
      <c r="D27" s="79">
        <v>30.471</v>
      </c>
      <c r="E27" s="63">
        <f>ROUND((D27-D25)/D25*100,1)</f>
        <v>1.6</v>
      </c>
      <c r="F27" s="79">
        <v>7631.4440000000004</v>
      </c>
      <c r="G27" s="63">
        <f>ROUND((F27-F25)/F25*100,1)</f>
        <v>1.8</v>
      </c>
      <c r="H27"/>
    </row>
    <row r="28" spans="1:8" s="1" customFormat="1" ht="14.25">
      <c r="A28" s="206"/>
      <c r="B28" s="169"/>
      <c r="C28" s="169"/>
      <c r="D28" s="79">
        <v>25.445</v>
      </c>
      <c r="E28" s="63">
        <f>ROUND((D28-D25)/D25*100,1)</f>
        <v>-15.2</v>
      </c>
      <c r="F28" s="79">
        <v>7855.57</v>
      </c>
      <c r="G28" s="63">
        <f>ROUND((F28-F25)/F25*100,1)</f>
        <v>4.7</v>
      </c>
      <c r="H28"/>
    </row>
    <row r="29" spans="1:8" s="1" customFormat="1" ht="14.25">
      <c r="A29" s="206"/>
      <c r="B29" s="169"/>
      <c r="C29" s="169"/>
      <c r="D29" s="79">
        <v>28.297000000000001</v>
      </c>
      <c r="E29" s="63">
        <f>ROUND((D29-D25)/D25*100,1)</f>
        <v>-5.7</v>
      </c>
      <c r="F29" s="79">
        <v>8152.2129999999997</v>
      </c>
      <c r="G29" s="63">
        <f>ROUND((F29-F25)/F25*100,1)</f>
        <v>8.6999999999999993</v>
      </c>
      <c r="H29"/>
    </row>
    <row r="30" spans="1:8" s="1" customFormat="1" ht="14.25">
      <c r="A30" s="206"/>
      <c r="B30" s="169"/>
      <c r="C30" s="169"/>
      <c r="D30" s="79">
        <v>25.913</v>
      </c>
      <c r="E30" s="63">
        <f>ROUND((D30-D25)/D25*100,1)</f>
        <v>-13.6</v>
      </c>
      <c r="F30" s="79">
        <v>8061.2250000000004</v>
      </c>
      <c r="G30" s="63">
        <f>ROUND((F30-F25)/F25*100,1)</f>
        <v>7.5</v>
      </c>
      <c r="H30"/>
    </row>
    <row r="31" spans="1:8" s="1" customFormat="1" ht="14.25">
      <c r="A31" s="206"/>
      <c r="B31" s="169"/>
      <c r="C31" s="169"/>
      <c r="D31" s="79">
        <v>25.408000000000001</v>
      </c>
      <c r="E31" s="63">
        <f>ROUND((D31-D25)/D25*100,1)</f>
        <v>-15.3</v>
      </c>
      <c r="F31" s="79">
        <v>7753.5780000000004</v>
      </c>
      <c r="G31" s="63">
        <f>ROUND((F31-F25)/F25*100,1)</f>
        <v>3.4</v>
      </c>
      <c r="H31"/>
    </row>
    <row r="32" spans="1:8" s="1" customFormat="1" ht="14.25">
      <c r="A32" s="206"/>
      <c r="B32" s="170"/>
      <c r="C32" s="170"/>
      <c r="D32" s="79">
        <v>25.202999999999999</v>
      </c>
      <c r="E32" s="63">
        <f>ROUND((D32-D25)/D25*100,1)</f>
        <v>-16</v>
      </c>
      <c r="F32" s="79">
        <v>7621.9250000000002</v>
      </c>
      <c r="G32" s="63">
        <f>ROUND((F32-F25)/F25*100,1)</f>
        <v>1.6</v>
      </c>
      <c r="H32"/>
    </row>
    <row r="33" spans="1:7" s="1" customFormat="1">
      <c r="A33" s="42" t="s">
        <v>16</v>
      </c>
      <c r="B33" s="163"/>
      <c r="C33" s="163"/>
      <c r="D33" s="36">
        <f>ROUND(AVERAGE(D27:D32),3)</f>
        <v>26.79</v>
      </c>
      <c r="E33" s="201"/>
      <c r="F33" s="36">
        <f>ROUND(AVERAGE(F27:F32),3)</f>
        <v>7845.9930000000004</v>
      </c>
      <c r="G33" s="201"/>
    </row>
    <row r="34" spans="1:7" s="1" customFormat="1">
      <c r="A34" s="42" t="s">
        <v>4</v>
      </c>
      <c r="B34" s="164"/>
      <c r="C34" s="164"/>
      <c r="D34" s="36">
        <f>ROUND(STDEV(D27:D32),3)</f>
        <v>2.137</v>
      </c>
      <c r="E34" s="202"/>
      <c r="F34" s="36">
        <f>ROUND(STDEV(F27:F32),3)</f>
        <v>221.34399999999999</v>
      </c>
      <c r="G34" s="202"/>
    </row>
    <row r="35" spans="1:7" s="1" customFormat="1">
      <c r="A35" s="42" t="s">
        <v>95</v>
      </c>
      <c r="B35" s="164"/>
      <c r="C35" s="164"/>
      <c r="D35" s="63">
        <f>ROUND(D34/D33*100,1)</f>
        <v>8</v>
      </c>
      <c r="E35" s="202"/>
      <c r="F35" s="63">
        <f>ROUND(F34/F33*100,1)</f>
        <v>2.8</v>
      </c>
      <c r="G35" s="202"/>
    </row>
    <row r="36" spans="1:7" s="1" customFormat="1">
      <c r="A36" s="42" t="s">
        <v>96</v>
      </c>
      <c r="B36" s="164"/>
      <c r="C36" s="164"/>
      <c r="D36" s="63">
        <f>ROUND(D33/D25*100,1)</f>
        <v>89.3</v>
      </c>
      <c r="E36" s="202"/>
      <c r="F36" s="63">
        <f>ROUND(F33/F25*100,1)</f>
        <v>104.6</v>
      </c>
      <c r="G36" s="202"/>
    </row>
    <row r="37" spans="1:7" s="1" customFormat="1">
      <c r="A37" s="42" t="s">
        <v>5</v>
      </c>
      <c r="B37" s="165"/>
      <c r="C37" s="165"/>
      <c r="D37" s="65">
        <v>6</v>
      </c>
      <c r="E37" s="203"/>
      <c r="F37" s="65">
        <v>6</v>
      </c>
      <c r="G37" s="203"/>
    </row>
    <row r="38" spans="1:7" ht="15">
      <c r="A38" s="13"/>
      <c r="B38" s="13"/>
      <c r="C38" s="13"/>
      <c r="D38" s="13"/>
      <c r="E38" s="13"/>
      <c r="F38" s="12"/>
    </row>
  </sheetData>
  <mergeCells count="28">
    <mergeCell ref="E33:E37"/>
    <mergeCell ref="G33:G37"/>
    <mergeCell ref="A27:A32"/>
    <mergeCell ref="B27:B32"/>
    <mergeCell ref="C27:C32"/>
    <mergeCell ref="B33:B37"/>
    <mergeCell ref="C33:C37"/>
    <mergeCell ref="A24:A26"/>
    <mergeCell ref="B24:B26"/>
    <mergeCell ref="C24:C26"/>
    <mergeCell ref="E24:E26"/>
    <mergeCell ref="G24:G26"/>
    <mergeCell ref="A2:F2"/>
    <mergeCell ref="A6:A8"/>
    <mergeCell ref="B6:B8"/>
    <mergeCell ref="E6:E8"/>
    <mergeCell ref="A21:D21"/>
    <mergeCell ref="A5:G5"/>
    <mergeCell ref="A23:G23"/>
    <mergeCell ref="G6:G8"/>
    <mergeCell ref="C6:C8"/>
    <mergeCell ref="G15:G19"/>
    <mergeCell ref="A9:A14"/>
    <mergeCell ref="C9:C14"/>
    <mergeCell ref="B15:B19"/>
    <mergeCell ref="C15:C19"/>
    <mergeCell ref="E15:E19"/>
    <mergeCell ref="B9:B14"/>
  </mergeCells>
  <phoneticPr fontId="6" type="noConversion"/>
  <printOptions headings="1" gridLines="1"/>
  <pageMargins left="0.70866141732283472" right="0.70866141732283472" top="0.74803149606299213" bottom="0.74803149606299213" header="0.31496062992125984" footer="0.31496062992125984"/>
  <pageSetup scale="94"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EF97-DD99-4DC2-B8DE-FC1215B9B013}">
  <sheetPr>
    <tabColor rgb="FF00B050"/>
    <pageSetUpPr fitToPage="1"/>
  </sheetPr>
  <dimension ref="A2:K64"/>
  <sheetViews>
    <sheetView zoomScaleNormal="100" zoomScaleSheetLayoutView="100" workbookViewId="0">
      <selection activeCell="K33" sqref="K33"/>
    </sheetView>
  </sheetViews>
  <sheetFormatPr defaultColWidth="8.875" defaultRowHeight="13.5"/>
  <cols>
    <col min="1" max="2" width="14.125" style="3" customWidth="1"/>
    <col min="3" max="3" width="17.5" style="3" customWidth="1"/>
    <col min="4" max="6" width="14.125" style="3" customWidth="1"/>
    <col min="7" max="7" width="14" style="3" customWidth="1"/>
    <col min="8" max="8" width="8.875" style="3"/>
    <col min="9" max="9" width="16.75" style="126" customWidth="1"/>
    <col min="10" max="10" width="20.875" style="3" customWidth="1"/>
    <col min="11" max="16384" width="8.875" style="3"/>
  </cols>
  <sheetData>
    <row r="2" spans="1:11">
      <c r="A2" s="3" t="s">
        <v>31</v>
      </c>
    </row>
    <row r="4" spans="1:11" s="7" customFormat="1">
      <c r="A4" s="7" t="s">
        <v>101</v>
      </c>
      <c r="I4" s="126"/>
    </row>
    <row r="5" spans="1:11">
      <c r="A5" s="204" t="s">
        <v>191</v>
      </c>
      <c r="B5" s="204"/>
      <c r="C5" s="204"/>
      <c r="D5" s="204"/>
      <c r="E5" s="204"/>
      <c r="F5" s="204"/>
      <c r="H5" s="5" t="s">
        <v>50</v>
      </c>
      <c r="I5" s="127">
        <v>45805.762499999997</v>
      </c>
      <c r="J5" s="112"/>
    </row>
    <row r="6" spans="1:11" ht="15.75" customHeight="1">
      <c r="A6" s="223" t="s">
        <v>24</v>
      </c>
      <c r="B6" s="223" t="s">
        <v>17</v>
      </c>
      <c r="C6" s="42" t="s">
        <v>3</v>
      </c>
      <c r="D6" s="147" t="s">
        <v>92</v>
      </c>
      <c r="E6" s="42" t="s">
        <v>1</v>
      </c>
      <c r="F6" s="147" t="s">
        <v>92</v>
      </c>
      <c r="H6" s="5" t="s">
        <v>51</v>
      </c>
      <c r="I6" s="127">
        <v>45812.075706018521</v>
      </c>
      <c r="J6" s="112"/>
    </row>
    <row r="7" spans="1:11" ht="15.75" customHeight="1">
      <c r="A7" s="224"/>
      <c r="B7" s="224"/>
      <c r="C7" s="80">
        <v>30</v>
      </c>
      <c r="D7" s="147"/>
      <c r="E7" s="80">
        <v>7500</v>
      </c>
      <c r="F7" s="147"/>
      <c r="H7" s="5" t="s">
        <v>28</v>
      </c>
      <c r="I7" s="61">
        <f>(I6-I5)*24</f>
        <v>151.51694444456371</v>
      </c>
      <c r="J7" s="61"/>
      <c r="K7" s="61"/>
    </row>
    <row r="8" spans="1:11" ht="15.75" customHeight="1">
      <c r="A8" s="225"/>
      <c r="B8" s="225"/>
      <c r="C8" s="74" t="s">
        <v>6</v>
      </c>
      <c r="D8" s="147"/>
      <c r="E8" s="74" t="s">
        <v>6</v>
      </c>
      <c r="F8" s="147"/>
      <c r="H8" s="7"/>
    </row>
    <row r="9" spans="1:11" ht="15.75" customHeight="1">
      <c r="A9" s="166">
        <v>45811</v>
      </c>
      <c r="B9" s="168">
        <v>6</v>
      </c>
      <c r="C9" s="79">
        <v>30.11</v>
      </c>
      <c r="D9" s="63">
        <f>ROUND((C9-C7)/C7*100,1)</f>
        <v>0.4</v>
      </c>
      <c r="E9" s="79">
        <v>7113.5460000000003</v>
      </c>
      <c r="F9" s="63">
        <f>ROUND((E9-E7)/E7*100,1)</f>
        <v>-5.2</v>
      </c>
      <c r="I9" s="128"/>
    </row>
    <row r="10" spans="1:11" ht="15.75" customHeight="1">
      <c r="A10" s="166"/>
      <c r="B10" s="169"/>
      <c r="C10" s="79">
        <v>30.135999999999999</v>
      </c>
      <c r="D10" s="63">
        <f>ROUND((C10-C7)/C7*100,1)</f>
        <v>0.5</v>
      </c>
      <c r="E10" s="79">
        <v>6862.5029999999997</v>
      </c>
      <c r="F10" s="63">
        <f>ROUND((E10-E7)/E7*100,1)</f>
        <v>-8.5</v>
      </c>
    </row>
    <row r="11" spans="1:11" ht="15.75" customHeight="1">
      <c r="A11" s="166"/>
      <c r="B11" s="169"/>
      <c r="C11" s="79">
        <v>32.235999999999997</v>
      </c>
      <c r="D11" s="63">
        <f>ROUND((C11-C7)/C7*100,1)</f>
        <v>7.5</v>
      </c>
      <c r="E11" s="79">
        <v>7232.6719999999996</v>
      </c>
      <c r="F11" s="63">
        <f>ROUND((E11-E7)/E7*100,1)</f>
        <v>-3.6</v>
      </c>
    </row>
    <row r="12" spans="1:11" ht="15.75" customHeight="1">
      <c r="A12" s="166"/>
      <c r="B12" s="169"/>
      <c r="C12" s="79">
        <v>28.285</v>
      </c>
      <c r="D12" s="63">
        <f>ROUND((C12-C7)/C7*100,1)</f>
        <v>-5.7</v>
      </c>
      <c r="E12" s="79">
        <v>7323.348</v>
      </c>
      <c r="F12" s="63">
        <f>ROUND((E12-E7)/E7*100,1)</f>
        <v>-2.4</v>
      </c>
    </row>
    <row r="13" spans="1:11" ht="15.75" customHeight="1">
      <c r="A13" s="166"/>
      <c r="B13" s="169"/>
      <c r="C13" s="79">
        <v>31.283000000000001</v>
      </c>
      <c r="D13" s="63">
        <f>ROUND((C13-C7)/C7*100,1)</f>
        <v>4.3</v>
      </c>
      <c r="E13" s="79">
        <v>6998.0690000000004</v>
      </c>
      <c r="F13" s="63">
        <f>ROUND((E13-E7)/E7*100,1)</f>
        <v>-6.7</v>
      </c>
    </row>
    <row r="14" spans="1:11" ht="15.75" customHeight="1">
      <c r="A14" s="166"/>
      <c r="B14" s="170"/>
      <c r="C14" s="79">
        <v>29.029</v>
      </c>
      <c r="D14" s="63">
        <f>ROUND((C14-C7)/C7*100,1)</f>
        <v>-3.2</v>
      </c>
      <c r="E14" s="79">
        <v>7234.04</v>
      </c>
      <c r="F14" s="63">
        <f>ROUND((E14-E7)/E7*100,1)</f>
        <v>-3.5</v>
      </c>
    </row>
    <row r="15" spans="1:11" ht="15.75" customHeight="1">
      <c r="A15" s="42" t="s">
        <v>16</v>
      </c>
      <c r="B15" s="216"/>
      <c r="C15" s="36">
        <f>ROUND(AVERAGE(C9:C14),3)</f>
        <v>30.18</v>
      </c>
      <c r="D15" s="201"/>
      <c r="E15" s="36">
        <f>ROUND(AVERAGE(E9:E14),3)</f>
        <v>7127.3630000000003</v>
      </c>
      <c r="F15" s="201"/>
    </row>
    <row r="16" spans="1:11" ht="15.75" customHeight="1">
      <c r="A16" s="42" t="s">
        <v>4</v>
      </c>
      <c r="B16" s="217"/>
      <c r="C16" s="36">
        <f>ROUND(STDEV(C9:C14),3)</f>
        <v>1.44</v>
      </c>
      <c r="D16" s="202"/>
      <c r="E16" s="36">
        <f>ROUND(STDEV(E9:E14),3)</f>
        <v>172.011</v>
      </c>
      <c r="F16" s="202"/>
    </row>
    <row r="17" spans="1:9" ht="15.75" customHeight="1">
      <c r="A17" s="42" t="s">
        <v>40</v>
      </c>
      <c r="B17" s="217"/>
      <c r="C17" s="63">
        <f>ROUND(C16/C15*100,1)</f>
        <v>4.8</v>
      </c>
      <c r="D17" s="202"/>
      <c r="E17" s="63">
        <f>ROUND(E16/E15*100,1)</f>
        <v>2.4</v>
      </c>
      <c r="F17" s="202"/>
    </row>
    <row r="18" spans="1:9" ht="15.75" customHeight="1">
      <c r="A18" s="30" t="s">
        <v>41</v>
      </c>
      <c r="B18" s="217"/>
      <c r="C18" s="63">
        <f>ROUND(C15/C7*100,1)</f>
        <v>100.6</v>
      </c>
      <c r="D18" s="202"/>
      <c r="E18" s="63">
        <f>ROUND(E15/E7*100,1)</f>
        <v>95</v>
      </c>
      <c r="F18" s="202"/>
    </row>
    <row r="19" spans="1:9" ht="15.75" customHeight="1">
      <c r="A19" s="30" t="s">
        <v>5</v>
      </c>
      <c r="B19" s="218"/>
      <c r="C19" s="65">
        <v>6</v>
      </c>
      <c r="D19" s="203"/>
      <c r="E19" s="65">
        <v>6</v>
      </c>
      <c r="F19" s="203"/>
    </row>
    <row r="20" spans="1:9" ht="15.75" customHeight="1">
      <c r="A20" s="31"/>
      <c r="D20" s="31"/>
      <c r="E20" s="31"/>
      <c r="F20" s="31"/>
      <c r="H20" s="32"/>
      <c r="I20" s="129"/>
    </row>
    <row r="21" spans="1:9">
      <c r="A21" s="215"/>
      <c r="B21" s="215"/>
      <c r="C21" s="215"/>
      <c r="D21" s="215"/>
      <c r="E21" s="25"/>
      <c r="H21" s="33"/>
      <c r="I21" s="130"/>
    </row>
    <row r="22" spans="1:9" s="7" customFormat="1">
      <c r="A22" s="7" t="s">
        <v>103</v>
      </c>
      <c r="I22" s="126"/>
    </row>
    <row r="23" spans="1:9">
      <c r="A23" s="204" t="s">
        <v>191</v>
      </c>
      <c r="B23" s="204"/>
      <c r="C23" s="204"/>
      <c r="D23" s="204"/>
      <c r="E23" s="204"/>
      <c r="F23" s="204"/>
    </row>
    <row r="24" spans="1:9" ht="15.75" customHeight="1">
      <c r="A24" s="219" t="s">
        <v>24</v>
      </c>
      <c r="B24" s="219" t="s">
        <v>17</v>
      </c>
      <c r="C24" s="45" t="s">
        <v>3</v>
      </c>
      <c r="D24" s="222" t="s">
        <v>92</v>
      </c>
      <c r="E24" s="45" t="s">
        <v>1</v>
      </c>
      <c r="F24" s="222" t="s">
        <v>92</v>
      </c>
      <c r="H24" s="5" t="s">
        <v>50</v>
      </c>
      <c r="I24" s="127">
        <v>45805.762499999997</v>
      </c>
    </row>
    <row r="25" spans="1:9" ht="15.75" customHeight="1">
      <c r="A25" s="220"/>
      <c r="B25" s="220"/>
      <c r="C25" s="123">
        <v>30</v>
      </c>
      <c r="D25" s="222"/>
      <c r="E25" s="123">
        <v>7500</v>
      </c>
      <c r="F25" s="222"/>
      <c r="H25" s="5" t="s">
        <v>51</v>
      </c>
      <c r="I25" s="127">
        <v>45812.075706018521</v>
      </c>
    </row>
    <row r="26" spans="1:9" ht="15.75" customHeight="1">
      <c r="A26" s="221"/>
      <c r="B26" s="221"/>
      <c r="C26" s="124" t="s">
        <v>6</v>
      </c>
      <c r="D26" s="222"/>
      <c r="E26" s="124" t="s">
        <v>6</v>
      </c>
      <c r="F26" s="222"/>
      <c r="H26" s="5" t="s">
        <v>28</v>
      </c>
      <c r="I26" s="61">
        <f>(I25-I24)*24</f>
        <v>151.51694444456371</v>
      </c>
    </row>
    <row r="27" spans="1:9" ht="15.75" customHeight="1">
      <c r="A27" s="208">
        <v>45811</v>
      </c>
      <c r="B27" s="209">
        <v>6</v>
      </c>
      <c r="C27" s="79">
        <v>26.126999999999999</v>
      </c>
      <c r="D27" s="63">
        <f>ROUND((C27-C25)/C25*100,1)</f>
        <v>-12.9</v>
      </c>
      <c r="E27" s="79">
        <v>7149.4380000000001</v>
      </c>
      <c r="F27" s="63">
        <f>ROUND((E27-E25)/E25*100,1)</f>
        <v>-4.7</v>
      </c>
    </row>
    <row r="28" spans="1:9" ht="15.75" customHeight="1">
      <c r="A28" s="208"/>
      <c r="B28" s="210"/>
      <c r="C28" s="79">
        <v>30.036000000000001</v>
      </c>
      <c r="D28" s="63">
        <f>ROUND((C28-C25)/C25*100,1)</f>
        <v>0.1</v>
      </c>
      <c r="E28" s="79">
        <v>6761.4440000000004</v>
      </c>
      <c r="F28" s="63">
        <f>ROUND((E28-E25)/E25*100,1)</f>
        <v>-9.8000000000000007</v>
      </c>
    </row>
    <row r="29" spans="1:9" ht="15.75" customHeight="1">
      <c r="A29" s="208"/>
      <c r="B29" s="210"/>
      <c r="C29" s="79">
        <v>29.844000000000001</v>
      </c>
      <c r="D29" s="63">
        <f>ROUND((C29-C25)/C25*100,1)</f>
        <v>-0.5</v>
      </c>
      <c r="E29" s="79">
        <v>7158.9949999999999</v>
      </c>
      <c r="F29" s="63">
        <f>ROUND((E29-E25)/E25*100,1)</f>
        <v>-4.5</v>
      </c>
    </row>
    <row r="30" spans="1:9" ht="15.75" customHeight="1">
      <c r="A30" s="208"/>
      <c r="B30" s="210"/>
      <c r="C30" s="79">
        <v>28.606999999999999</v>
      </c>
      <c r="D30" s="63">
        <f>ROUND((C30-C25)/C25*100,1)</f>
        <v>-4.5999999999999996</v>
      </c>
      <c r="E30" s="79">
        <v>7376.3010000000004</v>
      </c>
      <c r="F30" s="63">
        <f>ROUND((E30-E25)/E25*100,1)</f>
        <v>-1.6</v>
      </c>
    </row>
    <row r="31" spans="1:9" ht="15.75" customHeight="1">
      <c r="A31" s="208"/>
      <c r="B31" s="210"/>
      <c r="C31" s="79">
        <v>27.03</v>
      </c>
      <c r="D31" s="63">
        <f>ROUND((C31-C25)/C25*100,1)</f>
        <v>-9.9</v>
      </c>
      <c r="E31" s="79">
        <v>7372.402</v>
      </c>
      <c r="F31" s="63">
        <f>ROUND((E31-E25)/E25*100,1)</f>
        <v>-1.7</v>
      </c>
    </row>
    <row r="32" spans="1:9" ht="15.75" customHeight="1">
      <c r="A32" s="208"/>
      <c r="B32" s="211"/>
      <c r="C32" s="79">
        <v>27.497</v>
      </c>
      <c r="D32" s="63">
        <f>ROUND((C32-C25)/C25*100,1)</f>
        <v>-8.3000000000000007</v>
      </c>
      <c r="E32" s="79">
        <v>7576.2030000000004</v>
      </c>
      <c r="F32" s="63">
        <f>ROUND((E32-E25)/E25*100,1)</f>
        <v>1</v>
      </c>
    </row>
    <row r="33" spans="1:6" ht="15.75" customHeight="1">
      <c r="A33" s="45" t="s">
        <v>16</v>
      </c>
      <c r="B33" s="212"/>
      <c r="C33" s="36">
        <f>ROUND(AVERAGE(C27:C32),3)</f>
        <v>28.19</v>
      </c>
      <c r="D33" s="201"/>
      <c r="E33" s="36">
        <f>ROUND(AVERAGE(E27:E32),3)</f>
        <v>7232.4639999999999</v>
      </c>
      <c r="F33" s="201"/>
    </row>
    <row r="34" spans="1:6" ht="15.75" customHeight="1">
      <c r="A34" s="45" t="s">
        <v>4</v>
      </c>
      <c r="B34" s="213"/>
      <c r="C34" s="36">
        <f>ROUND(STDEV(C27:C32),3)</f>
        <v>1.575</v>
      </c>
      <c r="D34" s="202"/>
      <c r="E34" s="36">
        <f>ROUND(STDEV(E27:E32),3)</f>
        <v>280.20699999999999</v>
      </c>
      <c r="F34" s="202"/>
    </row>
    <row r="35" spans="1:6" ht="15.75" customHeight="1">
      <c r="A35" s="45" t="s">
        <v>95</v>
      </c>
      <c r="B35" s="213"/>
      <c r="C35" s="63">
        <f>ROUND(C34/C33*100,1)</f>
        <v>5.6</v>
      </c>
      <c r="D35" s="202"/>
      <c r="E35" s="63">
        <f>ROUND(E34/E33*100,1)</f>
        <v>3.9</v>
      </c>
      <c r="F35" s="202"/>
    </row>
    <row r="36" spans="1:6" ht="15.75" customHeight="1">
      <c r="A36" s="101" t="s">
        <v>96</v>
      </c>
      <c r="B36" s="213"/>
      <c r="C36" s="63">
        <f>ROUND(C33/C25*100,1)</f>
        <v>94</v>
      </c>
      <c r="D36" s="202"/>
      <c r="E36" s="63">
        <f>ROUND(E33/E25*100,1)</f>
        <v>96.4</v>
      </c>
      <c r="F36" s="202"/>
    </row>
    <row r="37" spans="1:6" ht="15.75" customHeight="1">
      <c r="A37" s="101" t="s">
        <v>5</v>
      </c>
      <c r="B37" s="214"/>
      <c r="C37" s="65">
        <v>6</v>
      </c>
      <c r="D37" s="203"/>
      <c r="E37" s="65">
        <v>6</v>
      </c>
      <c r="F37" s="203"/>
    </row>
    <row r="38" spans="1:6">
      <c r="A38" s="215"/>
      <c r="B38" s="215"/>
      <c r="C38" s="215"/>
      <c r="D38" s="215"/>
      <c r="E38" s="25"/>
    </row>
    <row r="39" spans="1:6">
      <c r="C39" s="4"/>
    </row>
    <row r="63" spans="2:2">
      <c r="B63" s="7"/>
    </row>
    <row r="64" spans="2:2">
      <c r="B64" s="7"/>
    </row>
  </sheetData>
  <mergeCells count="22">
    <mergeCell ref="A9:A14"/>
    <mergeCell ref="B9:B14"/>
    <mergeCell ref="A5:F5"/>
    <mergeCell ref="A6:A8"/>
    <mergeCell ref="B6:B8"/>
    <mergeCell ref="D6:D8"/>
    <mergeCell ref="F6:F8"/>
    <mergeCell ref="A38:D38"/>
    <mergeCell ref="B15:B19"/>
    <mergeCell ref="D15:D19"/>
    <mergeCell ref="F15:F19"/>
    <mergeCell ref="A21:D21"/>
    <mergeCell ref="A23:F23"/>
    <mergeCell ref="A24:A26"/>
    <mergeCell ref="B24:B26"/>
    <mergeCell ref="D24:D26"/>
    <mergeCell ref="F24:F26"/>
    <mergeCell ref="A27:A32"/>
    <mergeCell ref="B27:B32"/>
    <mergeCell ref="B33:B37"/>
    <mergeCell ref="D33:D37"/>
    <mergeCell ref="F33:F37"/>
  </mergeCells>
  <phoneticPr fontId="21" type="noConversion"/>
  <printOptions headings="1" gridLines="1"/>
  <pageMargins left="0.70866141732283472" right="0.70866141732283472" top="0.74803149606299213" bottom="0.74803149606299213" header="0.31496062992125984" footer="0.31496062992125984"/>
  <pageSetup scale="60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B316-8B69-41B6-9062-AC50FC1D1977}">
  <sheetPr>
    <tabColor rgb="FF00B050"/>
    <pageSetUpPr fitToPage="1"/>
  </sheetPr>
  <dimension ref="A2:L85"/>
  <sheetViews>
    <sheetView topLeftCell="A46" zoomScaleNormal="100" zoomScaleSheetLayoutView="100" workbookViewId="0">
      <selection activeCell="L73" sqref="L73"/>
    </sheetView>
  </sheetViews>
  <sheetFormatPr defaultColWidth="8.875" defaultRowHeight="13.5"/>
  <cols>
    <col min="1" max="7" width="12.125" style="3" customWidth="1"/>
    <col min="8" max="8" width="8.875" style="3"/>
    <col min="9" max="9" width="29.375" style="3" customWidth="1"/>
    <col min="10" max="10" width="14.75" style="3" customWidth="1"/>
    <col min="11" max="16384" width="8.875" style="3"/>
  </cols>
  <sheetData>
    <row r="2" spans="1:12">
      <c r="A2" s="241" t="s">
        <v>30</v>
      </c>
      <c r="B2" s="241"/>
      <c r="C2" s="241"/>
      <c r="D2" s="241"/>
      <c r="E2" s="241"/>
      <c r="F2" s="241"/>
    </row>
    <row r="3" spans="1:12" ht="13.5" customHeight="1">
      <c r="A3" s="27"/>
      <c r="B3" s="27"/>
      <c r="C3" s="27"/>
      <c r="D3" s="27"/>
      <c r="E3" s="27"/>
      <c r="F3" s="27"/>
    </row>
    <row r="4" spans="1:12" ht="13.5" customHeight="1">
      <c r="A4" s="7" t="s">
        <v>101</v>
      </c>
      <c r="B4" s="7"/>
      <c r="C4" s="7"/>
      <c r="D4" s="7"/>
      <c r="E4" s="7"/>
      <c r="F4" s="7"/>
      <c r="G4" s="7"/>
    </row>
    <row r="5" spans="1:12">
      <c r="A5" s="204" t="s">
        <v>104</v>
      </c>
      <c r="B5" s="204"/>
      <c r="C5" s="204"/>
      <c r="D5" s="204"/>
      <c r="E5" s="204"/>
      <c r="F5" s="204"/>
      <c r="G5" s="204"/>
      <c r="H5" s="7"/>
    </row>
    <row r="6" spans="1:12" ht="15" customHeight="1">
      <c r="A6" s="168" t="s">
        <v>27</v>
      </c>
      <c r="B6" s="168" t="s">
        <v>9</v>
      </c>
      <c r="C6" s="168" t="s">
        <v>20</v>
      </c>
      <c r="D6" s="233" t="s">
        <v>25</v>
      </c>
      <c r="E6" s="233"/>
      <c r="F6" s="233"/>
      <c r="G6" s="233"/>
      <c r="H6" s="7"/>
    </row>
    <row r="7" spans="1:12">
      <c r="A7" s="169"/>
      <c r="B7" s="169"/>
      <c r="C7" s="169"/>
      <c r="D7" s="76">
        <v>30</v>
      </c>
      <c r="E7" s="77" t="s">
        <v>18</v>
      </c>
      <c r="F7" s="76">
        <v>7500</v>
      </c>
      <c r="G7" s="78" t="s">
        <v>18</v>
      </c>
      <c r="H7" s="7"/>
    </row>
    <row r="8" spans="1:12" ht="15" customHeight="1">
      <c r="A8" s="169"/>
      <c r="B8" s="169"/>
      <c r="C8" s="169"/>
      <c r="D8" s="170" t="s">
        <v>26</v>
      </c>
      <c r="E8" s="234"/>
      <c r="F8" s="170" t="s">
        <v>26</v>
      </c>
      <c r="G8" s="170"/>
      <c r="H8" s="7"/>
    </row>
    <row r="9" spans="1:12" ht="15" customHeight="1">
      <c r="A9" s="170"/>
      <c r="B9" s="170"/>
      <c r="C9" s="170"/>
      <c r="D9" s="42" t="s">
        <v>23</v>
      </c>
      <c r="E9" s="42" t="s">
        <v>21</v>
      </c>
      <c r="F9" s="42" t="s">
        <v>23</v>
      </c>
      <c r="G9" s="42" t="s">
        <v>21</v>
      </c>
      <c r="H9" s="7"/>
    </row>
    <row r="10" spans="1:12" ht="15" customHeight="1">
      <c r="A10" s="205">
        <v>45798</v>
      </c>
      <c r="B10" s="168">
        <v>4</v>
      </c>
      <c r="C10" s="42">
        <v>1</v>
      </c>
      <c r="D10" s="75">
        <v>1.0133E-2</v>
      </c>
      <c r="E10" s="75">
        <v>1.1901999999999999E-2</v>
      </c>
      <c r="F10" s="75">
        <v>3.1306349999999998</v>
      </c>
      <c r="G10" s="75">
        <v>3.095996</v>
      </c>
      <c r="H10"/>
      <c r="I10"/>
      <c r="J10" s="6"/>
      <c r="K10"/>
      <c r="L10" s="6"/>
    </row>
    <row r="11" spans="1:12" ht="15" customHeight="1">
      <c r="A11" s="206"/>
      <c r="B11" s="169"/>
      <c r="C11" s="42">
        <v>2</v>
      </c>
      <c r="D11" s="75">
        <v>1.0699999999999999E-2</v>
      </c>
      <c r="E11" s="75">
        <v>1.1920999999999999E-2</v>
      </c>
      <c r="F11" s="75">
        <v>3.111154</v>
      </c>
      <c r="G11" s="75">
        <v>3.0586929999999999</v>
      </c>
      <c r="H11"/>
      <c r="I11"/>
      <c r="J11" s="6"/>
      <c r="K11"/>
      <c r="L11" s="6"/>
    </row>
    <row r="12" spans="1:12" ht="15" customHeight="1">
      <c r="A12" s="206"/>
      <c r="B12" s="169"/>
      <c r="C12" s="42">
        <v>3</v>
      </c>
      <c r="D12" s="75">
        <v>1.1679E-2</v>
      </c>
      <c r="E12" s="75">
        <v>1.1509E-2</v>
      </c>
      <c r="F12" s="75">
        <v>3.153473</v>
      </c>
      <c r="G12" s="75">
        <v>3.1834180000000001</v>
      </c>
      <c r="H12"/>
      <c r="I12"/>
      <c r="J12" s="6"/>
      <c r="K12"/>
      <c r="L12" s="6"/>
    </row>
    <row r="13" spans="1:12" ht="15" customHeight="1">
      <c r="A13" s="206"/>
      <c r="B13" s="169"/>
      <c r="C13" s="42">
        <v>4</v>
      </c>
      <c r="D13" s="75">
        <v>1.1209999999999999E-2</v>
      </c>
      <c r="E13" s="75">
        <v>1.0381E-2</v>
      </c>
      <c r="F13" s="75">
        <v>3.2196060000000002</v>
      </c>
      <c r="G13" s="75">
        <v>3.1367289999999999</v>
      </c>
      <c r="H13"/>
      <c r="I13"/>
      <c r="J13" s="6"/>
      <c r="K13"/>
      <c r="L13" s="6"/>
    </row>
    <row r="14" spans="1:12" ht="15" customHeight="1">
      <c r="A14" s="206"/>
      <c r="B14" s="169"/>
      <c r="C14" s="42">
        <v>5</v>
      </c>
      <c r="D14" s="75">
        <v>1.2116999999999999E-2</v>
      </c>
      <c r="E14" s="75">
        <v>1.125E-2</v>
      </c>
      <c r="F14" s="75">
        <v>3.2377959999999999</v>
      </c>
      <c r="G14" s="75">
        <v>3.1842169999999999</v>
      </c>
      <c r="H14"/>
      <c r="I14"/>
      <c r="J14" s="6"/>
      <c r="K14"/>
      <c r="L14" s="6"/>
    </row>
    <row r="15" spans="1:12" ht="15" customHeight="1">
      <c r="A15" s="206"/>
      <c r="B15" s="169"/>
      <c r="C15" s="44">
        <v>6</v>
      </c>
      <c r="D15" s="75">
        <v>1.0514000000000001E-2</v>
      </c>
      <c r="E15" s="75">
        <v>1.302E-2</v>
      </c>
      <c r="F15" s="75">
        <v>3.2321749999999998</v>
      </c>
      <c r="G15" s="75">
        <v>3.13</v>
      </c>
      <c r="H15"/>
      <c r="I15"/>
      <c r="J15" s="6"/>
      <c r="K15"/>
      <c r="L15" s="6"/>
    </row>
    <row r="16" spans="1:12" ht="15" customHeight="1">
      <c r="A16" s="42" t="s">
        <v>16</v>
      </c>
      <c r="B16" s="235"/>
      <c r="C16" s="236"/>
      <c r="D16" s="72">
        <f>ROUND(AVERAGE(D10:D15),6)</f>
        <v>1.1058999999999999E-2</v>
      </c>
      <c r="E16" s="72">
        <f>ROUND(AVERAGE(E10:E15),6)</f>
        <v>1.1664000000000001E-2</v>
      </c>
      <c r="F16" s="72">
        <f>ROUND(AVERAGE(F10:F15),6)</f>
        <v>3.1808070000000002</v>
      </c>
      <c r="G16" s="72">
        <f>ROUND(AVERAGE(G10:G15),6)</f>
        <v>3.1315089999999999</v>
      </c>
      <c r="H16"/>
      <c r="I16"/>
      <c r="J16" s="6"/>
      <c r="K16"/>
      <c r="L16" s="6"/>
    </row>
    <row r="17" spans="1:12" ht="15" customHeight="1">
      <c r="A17" s="42" t="s">
        <v>4</v>
      </c>
      <c r="B17" s="237"/>
      <c r="C17" s="238"/>
      <c r="D17" s="72">
        <f>ROUND(STDEV(D10:D15),6)</f>
        <v>7.5000000000000002E-4</v>
      </c>
      <c r="E17" s="72">
        <f>ROUND(STDEV(E10:E15),6)</f>
        <v>8.7200000000000005E-4</v>
      </c>
      <c r="F17" s="72">
        <f>ROUND(STDEV(F10:F15),6)</f>
        <v>5.5690999999999997E-2</v>
      </c>
      <c r="G17" s="72">
        <f>ROUND(STDEV(G10:G15),6)</f>
        <v>4.9123E-2</v>
      </c>
      <c r="H17"/>
      <c r="I17"/>
      <c r="J17" s="6"/>
      <c r="K17"/>
      <c r="L17" s="6"/>
    </row>
    <row r="18" spans="1:12" ht="15" customHeight="1">
      <c r="A18" s="42" t="s">
        <v>40</v>
      </c>
      <c r="B18" s="237"/>
      <c r="C18" s="238"/>
      <c r="D18" s="73">
        <f>ROUND(D17/D16*100,1)</f>
        <v>6.8</v>
      </c>
      <c r="E18" s="73">
        <f>ROUND(E17/E16*100,1)</f>
        <v>7.5</v>
      </c>
      <c r="F18" s="73">
        <f>ROUND(F17/F16*100,1)</f>
        <v>1.8</v>
      </c>
      <c r="G18" s="73">
        <f>ROUND(G17/G16*100,1)</f>
        <v>1.6</v>
      </c>
      <c r="H18"/>
      <c r="I18"/>
      <c r="J18" s="6"/>
      <c r="K18"/>
      <c r="L18" s="6"/>
    </row>
    <row r="19" spans="1:12" ht="15" customHeight="1">
      <c r="A19" s="42" t="s">
        <v>42</v>
      </c>
      <c r="B19" s="239"/>
      <c r="C19" s="240"/>
      <c r="D19" s="232">
        <f>ROUND((D16-E16)/E16*100,1)</f>
        <v>-5.2</v>
      </c>
      <c r="E19" s="232"/>
      <c r="F19" s="232">
        <f>ROUND((F16-G16)/G16*100,1)</f>
        <v>1.6</v>
      </c>
      <c r="G19" s="232"/>
      <c r="H19"/>
      <c r="I19"/>
      <c r="J19" s="6"/>
      <c r="K19"/>
      <c r="L19" s="6"/>
    </row>
    <row r="20" spans="1:12" ht="15" customHeight="1">
      <c r="A20" s="15"/>
      <c r="B20" s="15"/>
      <c r="C20" s="15"/>
      <c r="D20" s="13"/>
      <c r="E20" s="13"/>
      <c r="F20" s="13"/>
      <c r="G20" s="13"/>
      <c r="H20"/>
      <c r="I20"/>
      <c r="J20" s="6"/>
      <c r="K20"/>
      <c r="L20" s="6"/>
    </row>
    <row r="21" spans="1:12" ht="15" customHeight="1">
      <c r="A21" s="7"/>
      <c r="B21" s="7"/>
      <c r="C21" s="7"/>
      <c r="D21" s="7"/>
      <c r="E21" s="7"/>
      <c r="F21" s="7"/>
      <c r="G21" s="7"/>
      <c r="H21"/>
      <c r="I21"/>
      <c r="J21" s="6"/>
      <c r="K21"/>
      <c r="L21" s="6"/>
    </row>
    <row r="22" spans="1:12" ht="14.25">
      <c r="A22" s="7" t="s">
        <v>103</v>
      </c>
      <c r="B22" s="9"/>
      <c r="C22" s="9"/>
      <c r="D22" s="9"/>
      <c r="E22" s="9"/>
      <c r="F22" s="9"/>
      <c r="G22" s="7"/>
      <c r="H22"/>
    </row>
    <row r="23" spans="1:12" ht="14.25">
      <c r="A23" s="204" t="s">
        <v>104</v>
      </c>
      <c r="B23" s="204"/>
      <c r="C23" s="204"/>
      <c r="D23" s="204"/>
      <c r="E23" s="204"/>
      <c r="F23" s="204"/>
      <c r="G23" s="204"/>
      <c r="H23"/>
    </row>
    <row r="24" spans="1:12" ht="15" customHeight="1">
      <c r="A24" s="223" t="s">
        <v>24</v>
      </c>
      <c r="B24" s="168" t="s">
        <v>9</v>
      </c>
      <c r="C24" s="168" t="s">
        <v>20</v>
      </c>
      <c r="D24" s="233" t="s">
        <v>25</v>
      </c>
      <c r="E24" s="233"/>
      <c r="F24" s="233"/>
      <c r="G24" s="233"/>
      <c r="H24"/>
    </row>
    <row r="25" spans="1:12" ht="14.25">
      <c r="A25" s="224"/>
      <c r="B25" s="169"/>
      <c r="C25" s="169"/>
      <c r="D25" s="76">
        <v>30</v>
      </c>
      <c r="E25" s="77" t="s">
        <v>18</v>
      </c>
      <c r="F25" s="76">
        <v>7500</v>
      </c>
      <c r="G25" s="78" t="s">
        <v>18</v>
      </c>
      <c r="H25"/>
    </row>
    <row r="26" spans="1:12" ht="15" customHeight="1">
      <c r="A26" s="224"/>
      <c r="B26" s="169"/>
      <c r="C26" s="169"/>
      <c r="D26" s="170" t="s">
        <v>26</v>
      </c>
      <c r="E26" s="234"/>
      <c r="F26" s="170" t="s">
        <v>26</v>
      </c>
      <c r="G26" s="170"/>
      <c r="H26"/>
    </row>
    <row r="27" spans="1:12" ht="15" customHeight="1">
      <c r="A27" s="225"/>
      <c r="B27" s="170"/>
      <c r="C27" s="170"/>
      <c r="D27" s="42" t="s">
        <v>23</v>
      </c>
      <c r="E27" s="42" t="s">
        <v>21</v>
      </c>
      <c r="F27" s="42" t="s">
        <v>23</v>
      </c>
      <c r="G27" s="42" t="s">
        <v>21</v>
      </c>
      <c r="H27"/>
    </row>
    <row r="28" spans="1:12" ht="15" customHeight="1">
      <c r="A28" s="205">
        <v>45798</v>
      </c>
      <c r="B28" s="168">
        <v>4</v>
      </c>
      <c r="C28" s="42">
        <v>1</v>
      </c>
      <c r="D28" s="75">
        <v>8.1670000000000006E-3</v>
      </c>
      <c r="E28" s="75">
        <v>9.6869999999999994E-3</v>
      </c>
      <c r="F28" s="75">
        <v>2.627316</v>
      </c>
      <c r="G28" s="75">
        <v>2.6383200000000002</v>
      </c>
      <c r="H28"/>
      <c r="I28"/>
      <c r="J28" s="6"/>
      <c r="K28"/>
      <c r="L28" s="6"/>
    </row>
    <row r="29" spans="1:12" ht="15" customHeight="1">
      <c r="A29" s="206"/>
      <c r="B29" s="169"/>
      <c r="C29" s="42">
        <v>2</v>
      </c>
      <c r="D29" s="75">
        <v>8.6140000000000001E-3</v>
      </c>
      <c r="E29" s="75">
        <v>9.4140000000000005E-3</v>
      </c>
      <c r="F29" s="75">
        <v>2.664269</v>
      </c>
      <c r="G29" s="75">
        <v>2.621184</v>
      </c>
      <c r="H29"/>
      <c r="I29"/>
      <c r="J29" s="6"/>
      <c r="K29"/>
      <c r="L29" s="6"/>
    </row>
    <row r="30" spans="1:12" ht="15" customHeight="1">
      <c r="A30" s="206"/>
      <c r="B30" s="169"/>
      <c r="C30" s="42">
        <v>3</v>
      </c>
      <c r="D30" s="75">
        <v>9.6559999999999997E-3</v>
      </c>
      <c r="E30" s="75">
        <v>9.1420000000000008E-3</v>
      </c>
      <c r="F30" s="75">
        <v>2.6024560000000001</v>
      </c>
      <c r="G30" s="75">
        <v>2.650242</v>
      </c>
      <c r="H30"/>
      <c r="I30"/>
      <c r="J30" s="6"/>
      <c r="K30"/>
      <c r="L30" s="6"/>
    </row>
    <row r="31" spans="1:12" ht="15" customHeight="1">
      <c r="A31" s="206"/>
      <c r="B31" s="169"/>
      <c r="C31" s="42">
        <v>4</v>
      </c>
      <c r="D31" s="75">
        <v>1.0043E-2</v>
      </c>
      <c r="E31" s="75">
        <v>8.0269999999999994E-3</v>
      </c>
      <c r="F31" s="75">
        <v>2.6874220000000002</v>
      </c>
      <c r="G31" s="75">
        <v>2.648657</v>
      </c>
      <c r="H31"/>
      <c r="I31"/>
      <c r="J31" s="6"/>
      <c r="K31"/>
      <c r="L31" s="6"/>
    </row>
    <row r="32" spans="1:12" ht="15" customHeight="1">
      <c r="A32" s="206"/>
      <c r="B32" s="169"/>
      <c r="C32" s="42">
        <v>5</v>
      </c>
      <c r="D32" s="75">
        <v>9.5930000000000008E-3</v>
      </c>
      <c r="E32" s="75">
        <v>8.2699999999999996E-3</v>
      </c>
      <c r="F32" s="75">
        <v>2.6635300000000002</v>
      </c>
      <c r="G32" s="75">
        <v>2.7067389999999998</v>
      </c>
      <c r="H32"/>
      <c r="I32"/>
      <c r="J32" s="6"/>
      <c r="K32"/>
      <c r="L32" s="6"/>
    </row>
    <row r="33" spans="1:12" ht="15" customHeight="1">
      <c r="A33" s="206"/>
      <c r="B33" s="169"/>
      <c r="C33" s="44">
        <v>6</v>
      </c>
      <c r="D33" s="75">
        <v>9.4780000000000003E-3</v>
      </c>
      <c r="E33" s="75">
        <v>9.4719999999999995E-3</v>
      </c>
      <c r="F33" s="75">
        <v>2.708628</v>
      </c>
      <c r="G33" s="75">
        <v>2.6830989999999999</v>
      </c>
      <c r="H33"/>
      <c r="I33"/>
      <c r="J33" s="6"/>
      <c r="K33"/>
      <c r="L33" s="6"/>
    </row>
    <row r="34" spans="1:12" ht="15" customHeight="1">
      <c r="A34" s="34" t="s">
        <v>19</v>
      </c>
      <c r="B34" s="226"/>
      <c r="C34" s="227"/>
      <c r="D34" s="72">
        <f>ROUND(AVERAGE(D28:D33),6)</f>
        <v>9.2589999999999999E-3</v>
      </c>
      <c r="E34" s="72">
        <f>ROUND(AVERAGE(E28:E33),6)</f>
        <v>9.0019999999999996E-3</v>
      </c>
      <c r="F34" s="72">
        <f>ROUND(AVERAGE(F28:F33),6)</f>
        <v>2.6589369999999999</v>
      </c>
      <c r="G34" s="72">
        <f>ROUND(AVERAGE(G28:G33),6)</f>
        <v>2.6580400000000002</v>
      </c>
      <c r="H34"/>
      <c r="I34"/>
      <c r="J34" s="6"/>
      <c r="K34"/>
      <c r="L34" s="6"/>
    </row>
    <row r="35" spans="1:12" ht="15" customHeight="1">
      <c r="A35" s="30" t="s">
        <v>4</v>
      </c>
      <c r="B35" s="228"/>
      <c r="C35" s="229"/>
      <c r="D35" s="72">
        <f>ROUND(STDEV(D28:D33),6)</f>
        <v>7.1299999999999998E-4</v>
      </c>
      <c r="E35" s="72">
        <f>ROUND(STDEV(E28:E33),6)</f>
        <v>6.8800000000000003E-4</v>
      </c>
      <c r="F35" s="72">
        <f>ROUND(STDEV(F28:F33),6)</f>
        <v>3.8781999999999997E-2</v>
      </c>
      <c r="G35" s="72">
        <f>ROUND(STDEV(G28:G33),6)</f>
        <v>3.1290999999999999E-2</v>
      </c>
      <c r="H35"/>
      <c r="I35"/>
      <c r="J35" s="6"/>
      <c r="K35"/>
      <c r="L35" s="6"/>
    </row>
    <row r="36" spans="1:12" ht="15" customHeight="1">
      <c r="A36" s="42" t="s">
        <v>95</v>
      </c>
      <c r="B36" s="228"/>
      <c r="C36" s="229"/>
      <c r="D36" s="73">
        <f>ROUND(D35/D34*100,1)</f>
        <v>7.7</v>
      </c>
      <c r="E36" s="73">
        <f>ROUND(E35/E34*100,1)</f>
        <v>7.6</v>
      </c>
      <c r="F36" s="73">
        <f>ROUND(F35/F34*100,1)</f>
        <v>1.5</v>
      </c>
      <c r="G36" s="73">
        <f>ROUND(G35/G34*100,1)</f>
        <v>1.2</v>
      </c>
      <c r="H36"/>
      <c r="I36"/>
      <c r="J36" s="6"/>
      <c r="K36"/>
      <c r="L36" s="6"/>
    </row>
    <row r="37" spans="1:12" ht="15" customHeight="1">
      <c r="A37" s="42" t="s">
        <v>97</v>
      </c>
      <c r="B37" s="230"/>
      <c r="C37" s="231"/>
      <c r="D37" s="232">
        <f>ROUND((D34-E34)/E34*100,1)</f>
        <v>2.9</v>
      </c>
      <c r="E37" s="232"/>
      <c r="F37" s="232">
        <f>ROUND((F34-G34)/G34*100,1)</f>
        <v>0</v>
      </c>
      <c r="G37" s="232"/>
      <c r="H37"/>
      <c r="I37"/>
      <c r="J37" s="6"/>
      <c r="K37"/>
      <c r="L37" s="6"/>
    </row>
    <row r="38" spans="1:12" ht="14.25">
      <c r="H38"/>
      <c r="I38"/>
      <c r="J38" s="6"/>
      <c r="K38"/>
      <c r="L38" s="6"/>
    </row>
    <row r="39" spans="1:12" ht="14.25">
      <c r="H39"/>
      <c r="I39"/>
      <c r="J39" s="6"/>
      <c r="K39"/>
      <c r="L39" s="6"/>
    </row>
    <row r="40" spans="1:12" ht="14.25">
      <c r="A40" s="132" t="s">
        <v>192</v>
      </c>
      <c r="H40"/>
    </row>
    <row r="41" spans="1:12" ht="14.25">
      <c r="A41" s="7" t="s">
        <v>101</v>
      </c>
      <c r="B41" s="7"/>
      <c r="C41" s="7"/>
      <c r="D41" s="7"/>
      <c r="E41" s="7"/>
      <c r="F41" s="7"/>
      <c r="G41" s="7"/>
      <c r="H41"/>
    </row>
    <row r="42" spans="1:12" ht="14.25">
      <c r="A42" s="204" t="s">
        <v>104</v>
      </c>
      <c r="B42" s="204"/>
      <c r="C42" s="204"/>
      <c r="D42" s="204"/>
      <c r="E42" s="204"/>
      <c r="F42" s="204"/>
      <c r="G42" s="204"/>
      <c r="H42"/>
    </row>
    <row r="43" spans="1:12" ht="14.25">
      <c r="A43" s="168" t="s">
        <v>27</v>
      </c>
      <c r="B43" s="168" t="s">
        <v>9</v>
      </c>
      <c r="C43" s="168" t="s">
        <v>20</v>
      </c>
      <c r="D43" s="233" t="s">
        <v>25</v>
      </c>
      <c r="E43" s="233"/>
      <c r="F43" s="233"/>
      <c r="G43" s="233"/>
      <c r="H43"/>
    </row>
    <row r="44" spans="1:12" ht="14.25">
      <c r="A44" s="169"/>
      <c r="B44" s="169"/>
      <c r="C44" s="169"/>
      <c r="D44" s="76">
        <v>30</v>
      </c>
      <c r="E44" s="77" t="s">
        <v>18</v>
      </c>
      <c r="F44" s="76">
        <v>7500</v>
      </c>
      <c r="G44" s="78" t="s">
        <v>18</v>
      </c>
      <c r="H44"/>
    </row>
    <row r="45" spans="1:12" ht="14.25">
      <c r="A45" s="169"/>
      <c r="B45" s="169"/>
      <c r="C45" s="169"/>
      <c r="D45" s="170" t="s">
        <v>26</v>
      </c>
      <c r="E45" s="234"/>
      <c r="F45" s="170" t="s">
        <v>26</v>
      </c>
      <c r="G45" s="170"/>
      <c r="H45"/>
    </row>
    <row r="46" spans="1:12" ht="15">
      <c r="A46" s="170"/>
      <c r="B46" s="170"/>
      <c r="C46" s="170"/>
      <c r="D46" s="42" t="s">
        <v>23</v>
      </c>
      <c r="E46" s="42" t="s">
        <v>21</v>
      </c>
      <c r="F46" s="42" t="s">
        <v>23</v>
      </c>
      <c r="G46" s="42" t="s">
        <v>21</v>
      </c>
      <c r="H46"/>
    </row>
    <row r="47" spans="1:12" ht="14.25">
      <c r="A47" s="205">
        <v>45794</v>
      </c>
      <c r="B47" s="168">
        <v>2</v>
      </c>
      <c r="C47" s="42">
        <v>1</v>
      </c>
      <c r="D47" s="75">
        <v>1.3145E-2</v>
      </c>
      <c r="E47" s="75">
        <v>2.899305</v>
      </c>
      <c r="F47" s="75">
        <v>2.983114</v>
      </c>
      <c r="G47" s="75">
        <v>1.3665E-2</v>
      </c>
      <c r="H47"/>
      <c r="I47"/>
      <c r="J47" s="6"/>
      <c r="K47"/>
      <c r="L47" s="6"/>
    </row>
    <row r="48" spans="1:12" ht="14.25">
      <c r="A48" s="206"/>
      <c r="B48" s="169"/>
      <c r="C48" s="42">
        <v>2</v>
      </c>
      <c r="D48" s="75">
        <v>1.3207999999999999E-2</v>
      </c>
      <c r="E48" s="75">
        <v>1.3831E-2</v>
      </c>
      <c r="F48" s="75">
        <v>3.0528759999999999</v>
      </c>
      <c r="G48" s="75">
        <v>2.9449000000000001</v>
      </c>
      <c r="H48"/>
      <c r="I48"/>
      <c r="J48" s="6"/>
      <c r="K48"/>
      <c r="L48" s="6"/>
    </row>
    <row r="49" spans="1:12" ht="14.25">
      <c r="A49" s="206"/>
      <c r="B49" s="169"/>
      <c r="C49" s="42">
        <v>3</v>
      </c>
      <c r="D49" s="75">
        <v>1.3194000000000001E-2</v>
      </c>
      <c r="E49" s="75">
        <v>1.3462999999999999E-2</v>
      </c>
      <c r="F49" s="75">
        <v>3.0124040000000001</v>
      </c>
      <c r="G49" s="75">
        <v>3.1094029999999999</v>
      </c>
      <c r="H49"/>
      <c r="I49"/>
      <c r="J49" s="6"/>
      <c r="K49"/>
      <c r="L49" s="6"/>
    </row>
    <row r="50" spans="1:12" ht="14.25">
      <c r="A50" s="206"/>
      <c r="B50" s="169"/>
      <c r="C50" s="42">
        <v>4</v>
      </c>
      <c r="D50" s="75">
        <v>1.2838E-2</v>
      </c>
      <c r="E50" s="75">
        <v>1.2602E-2</v>
      </c>
      <c r="F50" s="75">
        <v>3.0397340000000002</v>
      </c>
      <c r="G50" s="75">
        <v>3.0449470000000001</v>
      </c>
      <c r="H50"/>
      <c r="I50"/>
      <c r="J50" s="6"/>
      <c r="K50"/>
      <c r="L50" s="6"/>
    </row>
    <row r="51" spans="1:12" ht="14.25">
      <c r="A51" s="206"/>
      <c r="B51" s="169"/>
      <c r="C51" s="42">
        <v>5</v>
      </c>
      <c r="D51" s="75">
        <v>1.2397999999999999E-2</v>
      </c>
      <c r="E51" s="75">
        <v>1.2716999999999999E-2</v>
      </c>
      <c r="F51" s="75">
        <v>3.0780590000000001</v>
      </c>
      <c r="G51" s="75">
        <v>3.0111110000000001</v>
      </c>
      <c r="H51"/>
      <c r="I51"/>
      <c r="J51" s="6"/>
      <c r="K51"/>
      <c r="L51" s="6"/>
    </row>
    <row r="52" spans="1:12" ht="14.25">
      <c r="A52" s="206"/>
      <c r="B52" s="169"/>
      <c r="C52" s="44">
        <v>6</v>
      </c>
      <c r="D52" s="75">
        <v>1.3075E-2</v>
      </c>
      <c r="E52" s="75">
        <v>1.2999999999999999E-2</v>
      </c>
      <c r="F52" s="75">
        <v>3.0600040000000002</v>
      </c>
      <c r="G52" s="75">
        <v>3.0815039999999998</v>
      </c>
      <c r="I52"/>
      <c r="J52" s="6"/>
      <c r="K52"/>
      <c r="L52" s="6"/>
    </row>
    <row r="53" spans="1:12" ht="14.25">
      <c r="A53" s="42" t="s">
        <v>16</v>
      </c>
      <c r="B53" s="235"/>
      <c r="C53" s="236"/>
      <c r="D53" s="72">
        <f>ROUND(AVERAGE(D47:D52),6)</f>
        <v>1.2976E-2</v>
      </c>
      <c r="E53" s="72">
        <f>ROUND(AVERAGE(E47:E52),6)</f>
        <v>0.49415300000000001</v>
      </c>
      <c r="F53" s="72">
        <f>ROUND(AVERAGE(F47:F52),6)</f>
        <v>3.0376989999999999</v>
      </c>
      <c r="G53" s="72">
        <f>ROUND(AVERAGE(G47:G52),6)</f>
        <v>2.5342549999999999</v>
      </c>
      <c r="I53"/>
      <c r="J53" s="6"/>
      <c r="K53"/>
      <c r="L53" s="6"/>
    </row>
    <row r="54" spans="1:12" ht="14.25">
      <c r="A54" s="42" t="s">
        <v>4</v>
      </c>
      <c r="B54" s="237"/>
      <c r="C54" s="238"/>
      <c r="D54" s="72">
        <f>ROUND(STDEV(D47:D52),6)</f>
        <v>3.1399999999999999E-4</v>
      </c>
      <c r="E54" s="72">
        <f>ROUND(STDEV(E47:E52),6)</f>
        <v>1.1782790000000001</v>
      </c>
      <c r="F54" s="72">
        <f>ROUND(STDEV(F47:F52),6)</f>
        <v>3.4583999999999997E-2</v>
      </c>
      <c r="G54" s="72">
        <f>ROUND(STDEV(G47:G52),6)</f>
        <v>1.236162</v>
      </c>
      <c r="I54"/>
      <c r="J54" s="6"/>
      <c r="K54"/>
      <c r="L54" s="6"/>
    </row>
    <row r="55" spans="1:12" ht="14.25">
      <c r="A55" s="42" t="s">
        <v>40</v>
      </c>
      <c r="B55" s="237"/>
      <c r="C55" s="238"/>
      <c r="D55" s="73">
        <f>ROUND(D54/D53*100,1)</f>
        <v>2.4</v>
      </c>
      <c r="E55" s="137">
        <f>ROUND(E54/E53*100,1)</f>
        <v>238.4</v>
      </c>
      <c r="F55" s="73">
        <f>ROUND(F54/F53*100,1)</f>
        <v>1.1000000000000001</v>
      </c>
      <c r="G55" s="137">
        <f>ROUND(G54/G53*100,1)</f>
        <v>48.8</v>
      </c>
      <c r="I55"/>
      <c r="J55" s="6"/>
      <c r="K55"/>
      <c r="L55" s="6"/>
    </row>
    <row r="56" spans="1:12" ht="14.25">
      <c r="A56" s="42" t="s">
        <v>42</v>
      </c>
      <c r="B56" s="239"/>
      <c r="C56" s="240"/>
      <c r="D56" s="232">
        <f>ROUND((D53-E53)/E53*100,1)</f>
        <v>-97.4</v>
      </c>
      <c r="E56" s="232"/>
      <c r="F56" s="232">
        <f>ROUND((F53-G53)/G53*100,1)</f>
        <v>19.899999999999999</v>
      </c>
      <c r="G56" s="232"/>
      <c r="I56"/>
      <c r="J56" s="6"/>
      <c r="K56"/>
      <c r="L56" s="6"/>
    </row>
    <row r="57" spans="1:12" ht="14.25">
      <c r="A57" s="15"/>
      <c r="B57" s="15"/>
      <c r="C57" s="15"/>
      <c r="D57" s="13"/>
      <c r="E57" s="13"/>
      <c r="F57" s="13"/>
      <c r="G57" s="13"/>
      <c r="I57"/>
      <c r="J57" s="6"/>
      <c r="K57"/>
      <c r="L57" s="6"/>
    </row>
    <row r="58" spans="1:12" ht="14.25">
      <c r="A58" s="7"/>
      <c r="B58" s="7"/>
      <c r="C58" s="7"/>
      <c r="D58" s="7"/>
      <c r="E58" s="7"/>
      <c r="F58" s="7"/>
      <c r="G58" s="7"/>
      <c r="I58"/>
      <c r="J58" s="6"/>
      <c r="K58"/>
      <c r="L58" s="6"/>
    </row>
    <row r="59" spans="1:12">
      <c r="A59" s="7" t="s">
        <v>103</v>
      </c>
      <c r="B59" s="9"/>
      <c r="C59" s="9"/>
      <c r="D59" s="9"/>
      <c r="E59" s="9"/>
      <c r="F59" s="9"/>
      <c r="G59" s="7"/>
    </row>
    <row r="60" spans="1:12">
      <c r="A60" s="204" t="s">
        <v>104</v>
      </c>
      <c r="B60" s="204"/>
      <c r="C60" s="204"/>
      <c r="D60" s="204"/>
      <c r="E60" s="204"/>
      <c r="F60" s="204"/>
      <c r="G60" s="204"/>
    </row>
    <row r="61" spans="1:12">
      <c r="A61" s="223" t="s">
        <v>24</v>
      </c>
      <c r="B61" s="168" t="s">
        <v>9</v>
      </c>
      <c r="C61" s="168" t="s">
        <v>20</v>
      </c>
      <c r="D61" s="233" t="s">
        <v>25</v>
      </c>
      <c r="E61" s="233"/>
      <c r="F61" s="233"/>
      <c r="G61" s="233"/>
    </row>
    <row r="62" spans="1:12" ht="14.25">
      <c r="A62" s="224"/>
      <c r="B62" s="169"/>
      <c r="C62" s="169"/>
      <c r="D62" s="76">
        <v>30</v>
      </c>
      <c r="E62" s="77" t="s">
        <v>18</v>
      </c>
      <c r="F62" s="76">
        <v>7500</v>
      </c>
      <c r="G62" s="78" t="s">
        <v>18</v>
      </c>
      <c r="J62"/>
    </row>
    <row r="63" spans="1:12" ht="14.25">
      <c r="A63" s="224"/>
      <c r="B63" s="169"/>
      <c r="C63" s="169"/>
      <c r="D63" s="170" t="s">
        <v>26</v>
      </c>
      <c r="E63" s="234"/>
      <c r="F63" s="170" t="s">
        <v>26</v>
      </c>
      <c r="G63" s="170"/>
      <c r="J63"/>
    </row>
    <row r="64" spans="1:12" ht="15">
      <c r="A64" s="225"/>
      <c r="B64" s="170"/>
      <c r="C64" s="170"/>
      <c r="D64" s="42" t="s">
        <v>23</v>
      </c>
      <c r="E64" s="42" t="s">
        <v>21</v>
      </c>
      <c r="F64" s="42" t="s">
        <v>23</v>
      </c>
      <c r="G64" s="42" t="s">
        <v>21</v>
      </c>
      <c r="J64"/>
    </row>
    <row r="65" spans="1:12" ht="14.25">
      <c r="A65" s="205">
        <v>45794</v>
      </c>
      <c r="B65" s="168">
        <v>2</v>
      </c>
      <c r="C65" s="42">
        <v>1</v>
      </c>
      <c r="D65" s="75">
        <v>1.0446E-2</v>
      </c>
      <c r="E65" s="75">
        <v>2.537363</v>
      </c>
      <c r="F65" s="75">
        <v>2.6383169999999998</v>
      </c>
      <c r="G65" s="75">
        <v>1.0628E-2</v>
      </c>
      <c r="I65"/>
      <c r="J65" s="6"/>
      <c r="K65"/>
      <c r="L65" s="6"/>
    </row>
    <row r="66" spans="1:12" ht="14.25">
      <c r="A66" s="206"/>
      <c r="B66" s="169"/>
      <c r="C66" s="42">
        <v>2</v>
      </c>
      <c r="D66" s="75">
        <v>1.0943E-2</v>
      </c>
      <c r="E66" s="75">
        <v>1.1279000000000001E-2</v>
      </c>
      <c r="F66" s="75">
        <v>2.633318</v>
      </c>
      <c r="G66" s="75">
        <v>2.5903939999999999</v>
      </c>
      <c r="I66"/>
      <c r="J66" s="6"/>
      <c r="K66"/>
      <c r="L66" s="6"/>
    </row>
    <row r="67" spans="1:12" ht="14.25">
      <c r="A67" s="206"/>
      <c r="B67" s="169"/>
      <c r="C67" s="42">
        <v>3</v>
      </c>
      <c r="D67" s="75">
        <v>1.1136E-2</v>
      </c>
      <c r="E67" s="75">
        <v>1.0684000000000001E-2</v>
      </c>
      <c r="F67" s="75">
        <v>2.6685219999999998</v>
      </c>
      <c r="G67" s="75">
        <v>2.6693989999999999</v>
      </c>
      <c r="I67"/>
      <c r="J67" s="6"/>
      <c r="K67"/>
      <c r="L67" s="6"/>
    </row>
    <row r="68" spans="1:12" ht="14.25">
      <c r="A68" s="206"/>
      <c r="B68" s="169"/>
      <c r="C68" s="42">
        <v>4</v>
      </c>
      <c r="D68" s="75">
        <v>1.1410999999999999E-2</v>
      </c>
      <c r="E68" s="75">
        <v>1.1032999999999999E-2</v>
      </c>
      <c r="F68" s="75">
        <v>2.6446969999999999</v>
      </c>
      <c r="G68" s="75">
        <v>2.6820339999999998</v>
      </c>
      <c r="I68"/>
      <c r="J68" s="6"/>
      <c r="K68"/>
      <c r="L68" s="6"/>
    </row>
    <row r="69" spans="1:12" ht="14.25">
      <c r="A69" s="206"/>
      <c r="B69" s="169"/>
      <c r="C69" s="42">
        <v>5</v>
      </c>
      <c r="D69" s="75">
        <v>1.0396000000000001E-2</v>
      </c>
      <c r="E69" s="75">
        <v>1.0912E-2</v>
      </c>
      <c r="F69" s="75">
        <v>2.6964440000000001</v>
      </c>
      <c r="G69" s="75">
        <v>2.6834910000000001</v>
      </c>
      <c r="I69"/>
      <c r="J69" s="6"/>
      <c r="K69"/>
      <c r="L69" s="6"/>
    </row>
    <row r="70" spans="1:12" ht="14.25">
      <c r="A70" s="206"/>
      <c r="B70" s="169"/>
      <c r="C70" s="44">
        <v>6</v>
      </c>
      <c r="D70" s="75">
        <v>1.1462999999999999E-2</v>
      </c>
      <c r="E70" s="75">
        <v>1.0576E-2</v>
      </c>
      <c r="F70" s="75">
        <v>2.6786490000000001</v>
      </c>
      <c r="G70" s="75">
        <v>2.7668979999999999</v>
      </c>
      <c r="I70"/>
      <c r="J70" s="6"/>
      <c r="K70"/>
      <c r="L70" s="6"/>
    </row>
    <row r="71" spans="1:12" ht="14.25">
      <c r="A71" s="34" t="s">
        <v>19</v>
      </c>
      <c r="B71" s="226"/>
      <c r="C71" s="227"/>
      <c r="D71" s="72">
        <f>ROUND(AVERAGE(D65:D70),6)</f>
        <v>1.0966E-2</v>
      </c>
      <c r="E71" s="72">
        <f>ROUND(AVERAGE(E65:E70),6)</f>
        <v>0.431975</v>
      </c>
      <c r="F71" s="72">
        <f>ROUND(AVERAGE(F65:F70),6)</f>
        <v>2.6599910000000002</v>
      </c>
      <c r="G71" s="72">
        <f>ROUND(AVERAGE(G65:G70),6)</f>
        <v>2.2338070000000001</v>
      </c>
      <c r="I71"/>
      <c r="J71" s="6"/>
      <c r="K71"/>
      <c r="L71" s="6"/>
    </row>
    <row r="72" spans="1:12" ht="14.25">
      <c r="A72" s="30" t="s">
        <v>4</v>
      </c>
      <c r="B72" s="228"/>
      <c r="C72" s="229"/>
      <c r="D72" s="72">
        <f>ROUND(STDEV(D65:D70),6)</f>
        <v>4.6299999999999998E-4</v>
      </c>
      <c r="E72" s="72">
        <f>ROUND(STDEV(E65:E70),6)</f>
        <v>1.031426</v>
      </c>
      <c r="F72" s="72">
        <f>ROUND(STDEV(F65:F70),6)</f>
        <v>2.5159000000000001E-2</v>
      </c>
      <c r="G72" s="72">
        <f>ROUND(STDEV(G65:G70),6)</f>
        <v>1.090571</v>
      </c>
      <c r="I72"/>
      <c r="J72" s="6"/>
      <c r="K72"/>
      <c r="L72" s="6"/>
    </row>
    <row r="73" spans="1:12" ht="14.25">
      <c r="A73" s="42" t="s">
        <v>95</v>
      </c>
      <c r="B73" s="228"/>
      <c r="C73" s="229"/>
      <c r="D73" s="73">
        <f>ROUND(D72/D71*100,1)</f>
        <v>4.2</v>
      </c>
      <c r="E73" s="137">
        <f>ROUND(E72/E71*100,1)</f>
        <v>238.8</v>
      </c>
      <c r="F73" s="73">
        <f>ROUND(F72/F71*100,1)</f>
        <v>0.9</v>
      </c>
      <c r="G73" s="137">
        <f>ROUND(G72/G71*100,1)</f>
        <v>48.8</v>
      </c>
      <c r="I73"/>
      <c r="J73" s="6"/>
      <c r="K73"/>
      <c r="L73" s="6"/>
    </row>
    <row r="74" spans="1:12" ht="14.25">
      <c r="A74" s="42" t="s">
        <v>97</v>
      </c>
      <c r="B74" s="230"/>
      <c r="C74" s="231"/>
      <c r="D74" s="232">
        <f>ROUND((D71-E71)/E71*100,1)</f>
        <v>-97.5</v>
      </c>
      <c r="E74" s="232"/>
      <c r="F74" s="232">
        <f>ROUND((F71-G71)/G71*100,1)</f>
        <v>19.100000000000001</v>
      </c>
      <c r="G74" s="232"/>
      <c r="I74"/>
      <c r="J74" s="6"/>
      <c r="K74"/>
      <c r="L74" s="6"/>
    </row>
    <row r="75" spans="1:12" ht="14.25">
      <c r="I75"/>
      <c r="J75" s="6"/>
      <c r="K75"/>
      <c r="L75" s="6"/>
    </row>
    <row r="76" spans="1:12" ht="14.25">
      <c r="I76"/>
      <c r="J76" s="6"/>
      <c r="K76"/>
      <c r="L76" s="6"/>
    </row>
    <row r="77" spans="1:12" ht="14.25">
      <c r="J77"/>
    </row>
    <row r="78" spans="1:12" ht="14.25">
      <c r="J78"/>
    </row>
    <row r="79" spans="1:12" ht="14.25">
      <c r="J79"/>
    </row>
    <row r="80" spans="1:12" ht="14.25">
      <c r="J80"/>
    </row>
    <row r="81" spans="10:10" ht="14.25">
      <c r="J81"/>
    </row>
    <row r="82" spans="10:10" ht="14.25">
      <c r="J82"/>
    </row>
    <row r="83" spans="10:10" ht="14.25">
      <c r="J83"/>
    </row>
    <row r="84" spans="10:10" ht="14.25">
      <c r="J84"/>
    </row>
    <row r="85" spans="10:10" ht="14.25">
      <c r="J85"/>
    </row>
  </sheetData>
  <mergeCells count="49">
    <mergeCell ref="A23:G23"/>
    <mergeCell ref="A2:F2"/>
    <mergeCell ref="A5:G5"/>
    <mergeCell ref="A6:A9"/>
    <mergeCell ref="B6:B9"/>
    <mergeCell ref="C6:C9"/>
    <mergeCell ref="D6:G6"/>
    <mergeCell ref="D8:E8"/>
    <mergeCell ref="F8:G8"/>
    <mergeCell ref="A10:A15"/>
    <mergeCell ref="B10:B15"/>
    <mergeCell ref="B16:C19"/>
    <mergeCell ref="D19:E19"/>
    <mergeCell ref="F19:G19"/>
    <mergeCell ref="A42:G42"/>
    <mergeCell ref="A24:A27"/>
    <mergeCell ref="B24:B27"/>
    <mergeCell ref="C24:C27"/>
    <mergeCell ref="D24:G24"/>
    <mergeCell ref="D26:E26"/>
    <mergeCell ref="F26:G26"/>
    <mergeCell ref="A28:A33"/>
    <mergeCell ref="B28:B33"/>
    <mergeCell ref="B34:C37"/>
    <mergeCell ref="D37:E37"/>
    <mergeCell ref="F37:G37"/>
    <mergeCell ref="A60:G60"/>
    <mergeCell ref="A43:A46"/>
    <mergeCell ref="B43:B46"/>
    <mergeCell ref="C43:C46"/>
    <mergeCell ref="D43:G43"/>
    <mergeCell ref="D45:E45"/>
    <mergeCell ref="F45:G45"/>
    <mergeCell ref="A47:A52"/>
    <mergeCell ref="B47:B52"/>
    <mergeCell ref="B53:C56"/>
    <mergeCell ref="D56:E56"/>
    <mergeCell ref="F56:G56"/>
    <mergeCell ref="A61:A64"/>
    <mergeCell ref="B61:B64"/>
    <mergeCell ref="C61:C64"/>
    <mergeCell ref="D61:G61"/>
    <mergeCell ref="D63:E63"/>
    <mergeCell ref="F63:G63"/>
    <mergeCell ref="A65:A70"/>
    <mergeCell ref="B65:B70"/>
    <mergeCell ref="B71:C74"/>
    <mergeCell ref="D74:E74"/>
    <mergeCell ref="F74:G74"/>
  </mergeCells>
  <phoneticPr fontId="21" type="noConversion"/>
  <conditionalFormatting sqref="J10:J21">
    <cfRule type="colorScale" priority="8">
      <colorScale>
        <cfvo type="num" val="0"/>
        <cfvo type="num" val="2"/>
        <color rgb="FFFF7128"/>
        <color rgb="FFFFEF9C"/>
      </colorScale>
    </cfRule>
  </conditionalFormatting>
  <conditionalFormatting sqref="J28:J39">
    <cfRule type="colorScale" priority="5">
      <colorScale>
        <cfvo type="num" val="0"/>
        <cfvo type="num" val="2"/>
        <color rgb="FFFF7128"/>
        <color rgb="FFFFEF9C"/>
      </colorScale>
    </cfRule>
  </conditionalFormatting>
  <conditionalFormatting sqref="J47:J58">
    <cfRule type="colorScale" priority="4">
      <colorScale>
        <cfvo type="num" val="0"/>
        <cfvo type="num" val="2"/>
        <color rgb="FFFF7128"/>
        <color rgb="FFFFEF9C"/>
      </colorScale>
    </cfRule>
  </conditionalFormatting>
  <conditionalFormatting sqref="J65:J76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L10:L21">
    <cfRule type="colorScale" priority="7">
      <colorScale>
        <cfvo type="num" val="0"/>
        <cfvo type="num" val="2"/>
        <color rgb="FFFF7128"/>
        <color rgb="FFFFEF9C"/>
      </colorScale>
    </cfRule>
  </conditionalFormatting>
  <conditionalFormatting sqref="L28:L39">
    <cfRule type="colorScale" priority="6">
      <colorScale>
        <cfvo type="num" val="0"/>
        <cfvo type="num" val="2"/>
        <color rgb="FFFF7128"/>
        <color rgb="FFFFEF9C"/>
      </colorScale>
    </cfRule>
  </conditionalFormatting>
  <conditionalFormatting sqref="L47:L58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L65:L76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64" orientation="portrait" r:id="rId1"/>
  <headerFooter>
    <oddHeader>&amp;C 1632MV7生物分析方法学验证数据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D482-1766-487B-9C21-77FAA6E61FBD}">
  <sheetPr>
    <tabColor rgb="FF00B050"/>
    <pageSetUpPr fitToPage="1"/>
  </sheetPr>
  <dimension ref="A2:G42"/>
  <sheetViews>
    <sheetView zoomScaleNormal="100" zoomScaleSheetLayoutView="100" workbookViewId="0">
      <selection activeCell="I28" sqref="I28"/>
    </sheetView>
  </sheetViews>
  <sheetFormatPr defaultColWidth="8.875" defaultRowHeight="13.5"/>
  <cols>
    <col min="1" max="1" width="13.5" style="7" customWidth="1"/>
    <col min="2" max="2" width="14.375" style="7" customWidth="1"/>
    <col min="3" max="3" width="12.75" style="7" customWidth="1"/>
    <col min="4" max="4" width="11.625" style="7" customWidth="1"/>
    <col min="5" max="5" width="12.75" style="7" customWidth="1"/>
    <col min="6" max="6" width="11.625" style="7" customWidth="1"/>
    <col min="7" max="16384" width="8.875" style="7"/>
  </cols>
  <sheetData>
    <row r="2" spans="1:7">
      <c r="A2" s="7" t="s">
        <v>29</v>
      </c>
    </row>
    <row r="3" spans="1:7">
      <c r="A3" s="131" t="s">
        <v>209</v>
      </c>
      <c r="B3" s="9"/>
      <c r="C3" s="9"/>
    </row>
    <row r="4" spans="1:7" ht="15.75" customHeight="1">
      <c r="A4" s="7" t="s">
        <v>101</v>
      </c>
    </row>
    <row r="5" spans="1:7" s="8" customFormat="1" ht="13.9" customHeight="1">
      <c r="A5" s="168" t="s">
        <v>27</v>
      </c>
      <c r="B5" s="168" t="s">
        <v>9</v>
      </c>
      <c r="C5" s="42" t="s">
        <v>7</v>
      </c>
      <c r="D5" s="222" t="s">
        <v>92</v>
      </c>
      <c r="E5" s="43" t="s">
        <v>1</v>
      </c>
      <c r="F5" s="222" t="s">
        <v>92</v>
      </c>
    </row>
    <row r="6" spans="1:7" s="8" customFormat="1" ht="13.9" customHeight="1">
      <c r="A6" s="169"/>
      <c r="B6" s="169"/>
      <c r="C6" s="80">
        <v>30</v>
      </c>
      <c r="D6" s="222"/>
      <c r="E6" s="80">
        <v>7500</v>
      </c>
      <c r="F6" s="222"/>
    </row>
    <row r="7" spans="1:7" s="8" customFormat="1">
      <c r="A7" s="170"/>
      <c r="B7" s="170"/>
      <c r="C7" s="74" t="s">
        <v>6</v>
      </c>
      <c r="D7" s="222"/>
      <c r="E7" s="18" t="s">
        <v>6</v>
      </c>
      <c r="F7" s="222"/>
    </row>
    <row r="8" spans="1:7" s="8" customFormat="1">
      <c r="A8" s="166">
        <v>45794</v>
      </c>
      <c r="B8" s="168">
        <v>3</v>
      </c>
      <c r="C8" s="79">
        <v>26.19</v>
      </c>
      <c r="D8" s="63">
        <f>ROUND((C8-C6)/C6*100,1)</f>
        <v>-12.7</v>
      </c>
      <c r="E8" s="79">
        <v>7502.5929999999998</v>
      </c>
      <c r="F8" s="63">
        <f>ROUND((E8-E6)/E6*100,1)</f>
        <v>0</v>
      </c>
    </row>
    <row r="9" spans="1:7" s="8" customFormat="1">
      <c r="A9" s="166"/>
      <c r="B9" s="169"/>
      <c r="C9" s="79">
        <v>28.721</v>
      </c>
      <c r="D9" s="63">
        <f>ROUND((C9-C6)/C6*100,1)</f>
        <v>-4.3</v>
      </c>
      <c r="E9" s="79">
        <v>7570.97</v>
      </c>
      <c r="F9" s="63">
        <f>ROUND((E9-E6)/E6*100,1)</f>
        <v>0.9</v>
      </c>
    </row>
    <row r="10" spans="1:7" s="8" customFormat="1">
      <c r="A10" s="166"/>
      <c r="B10" s="169"/>
      <c r="C10" s="79">
        <v>28.05</v>
      </c>
      <c r="D10" s="63">
        <f>ROUND((C10-C6)/C6*100,1)</f>
        <v>-6.5</v>
      </c>
      <c r="E10" s="79">
        <v>7744.6329999999998</v>
      </c>
      <c r="F10" s="63">
        <f>ROUND((E10-E6)/E6*100,1)</f>
        <v>3.3</v>
      </c>
    </row>
    <row r="11" spans="1:7" s="8" customFormat="1">
      <c r="A11" s="42" t="s">
        <v>16</v>
      </c>
      <c r="B11" s="163"/>
      <c r="C11" s="36">
        <f>ROUND(AVERAGE(C8:C10),3)</f>
        <v>27.654</v>
      </c>
      <c r="D11" s="201"/>
      <c r="E11" s="36">
        <f>ROUND(AVERAGE(E8:E10),3)</f>
        <v>7606.0649999999996</v>
      </c>
      <c r="F11" s="201"/>
    </row>
    <row r="12" spans="1:7" s="8" customFormat="1">
      <c r="A12" s="42" t="s">
        <v>4</v>
      </c>
      <c r="B12" s="164"/>
      <c r="C12" s="36">
        <f>ROUND(STDEV(C8:C10),3)</f>
        <v>1.3109999999999999</v>
      </c>
      <c r="D12" s="202"/>
      <c r="E12" s="36">
        <f>ROUND(STDEV(E8:E10),3)</f>
        <v>124.77800000000001</v>
      </c>
      <c r="F12" s="202"/>
      <c r="G12" s="18"/>
    </row>
    <row r="13" spans="1:7" s="8" customFormat="1">
      <c r="A13" s="42" t="s">
        <v>40</v>
      </c>
      <c r="B13" s="164"/>
      <c r="C13" s="63">
        <f>ROUND(C12/C11*100,1)</f>
        <v>4.7</v>
      </c>
      <c r="D13" s="202"/>
      <c r="E13" s="63">
        <f>ROUND(E12/E11*100,1)</f>
        <v>1.6</v>
      </c>
      <c r="F13" s="202"/>
      <c r="G13" s="18"/>
    </row>
    <row r="14" spans="1:7" s="8" customFormat="1">
      <c r="A14" s="42" t="s">
        <v>41</v>
      </c>
      <c r="B14" s="164"/>
      <c r="C14" s="63">
        <f>ROUND(C11/C6*100,1)</f>
        <v>92.2</v>
      </c>
      <c r="D14" s="202"/>
      <c r="E14" s="63">
        <f>ROUND(E11/E6*100,1)</f>
        <v>101.4</v>
      </c>
      <c r="F14" s="202"/>
      <c r="G14" s="18"/>
    </row>
    <row r="15" spans="1:7" s="8" customFormat="1">
      <c r="A15" s="42" t="s">
        <v>5</v>
      </c>
      <c r="B15" s="165"/>
      <c r="C15" s="65">
        <v>3</v>
      </c>
      <c r="D15" s="203"/>
      <c r="E15" s="65">
        <v>3</v>
      </c>
      <c r="F15" s="203"/>
      <c r="G15" s="18"/>
    </row>
    <row r="16" spans="1:7" s="8" customFormat="1">
      <c r="A16" s="242"/>
      <c r="B16" s="242"/>
      <c r="C16" s="242"/>
      <c r="D16" s="242"/>
      <c r="G16" s="18"/>
    </row>
    <row r="17" spans="1:7" ht="15.75" customHeight="1">
      <c r="A17" s="7" t="s">
        <v>102</v>
      </c>
    </row>
    <row r="18" spans="1:7" s="8" customFormat="1" ht="13.9" customHeight="1">
      <c r="A18" s="168" t="s">
        <v>27</v>
      </c>
      <c r="B18" s="168" t="s">
        <v>9</v>
      </c>
      <c r="C18" s="42" t="s">
        <v>7</v>
      </c>
      <c r="D18" s="222" t="s">
        <v>92</v>
      </c>
      <c r="E18" s="43" t="s">
        <v>1</v>
      </c>
      <c r="F18" s="222" t="s">
        <v>92</v>
      </c>
    </row>
    <row r="19" spans="1:7" s="8" customFormat="1" ht="13.9" customHeight="1">
      <c r="A19" s="169"/>
      <c r="B19" s="169"/>
      <c r="C19" s="80">
        <v>30</v>
      </c>
      <c r="D19" s="222"/>
      <c r="E19" s="80">
        <v>7500</v>
      </c>
      <c r="F19" s="222"/>
    </row>
    <row r="20" spans="1:7" s="8" customFormat="1">
      <c r="A20" s="170"/>
      <c r="B20" s="170"/>
      <c r="C20" s="74" t="s">
        <v>6</v>
      </c>
      <c r="D20" s="222"/>
      <c r="E20" s="18" t="s">
        <v>6</v>
      </c>
      <c r="F20" s="222"/>
    </row>
    <row r="21" spans="1:7" s="8" customFormat="1">
      <c r="A21" s="166">
        <v>45811</v>
      </c>
      <c r="B21" s="168">
        <v>6</v>
      </c>
      <c r="C21" s="79">
        <v>28.332000000000001</v>
      </c>
      <c r="D21" s="63">
        <f>ROUND((C21-C19)/C19*100,1)</f>
        <v>-5.6</v>
      </c>
      <c r="E21" s="79">
        <v>7725.5529999999999</v>
      </c>
      <c r="F21" s="63">
        <f>ROUND((E21-E19)/E19*100,1)</f>
        <v>3</v>
      </c>
    </row>
    <row r="22" spans="1:7" s="8" customFormat="1">
      <c r="A22" s="166"/>
      <c r="B22" s="169"/>
      <c r="C22" s="79">
        <v>28.234000000000002</v>
      </c>
      <c r="D22" s="63">
        <f>ROUND((C22-C19)/C19*100,1)</f>
        <v>-5.9</v>
      </c>
      <c r="E22" s="79">
        <v>7573.5510000000004</v>
      </c>
      <c r="F22" s="63">
        <f>ROUND((E22-E19)/E19*100,1)</f>
        <v>1</v>
      </c>
    </row>
    <row r="23" spans="1:7" s="8" customFormat="1">
      <c r="A23" s="166"/>
      <c r="B23" s="169"/>
      <c r="C23" s="79">
        <v>28.494</v>
      </c>
      <c r="D23" s="63">
        <f>ROUND((C23-C19)/C19*100,1)</f>
        <v>-5</v>
      </c>
      <c r="E23" s="79">
        <v>7616.6880000000001</v>
      </c>
      <c r="F23" s="63">
        <f>ROUND((E23-E19)/E19*100,1)</f>
        <v>1.6</v>
      </c>
    </row>
    <row r="24" spans="1:7" s="8" customFormat="1">
      <c r="A24" s="42" t="s">
        <v>16</v>
      </c>
      <c r="B24" s="163"/>
      <c r="C24" s="36">
        <f>ROUND(AVERAGE(C21:C23),3)</f>
        <v>28.353000000000002</v>
      </c>
      <c r="D24" s="201"/>
      <c r="E24" s="36">
        <f>ROUND(AVERAGE(E21:E23),3)</f>
        <v>7638.5969999999998</v>
      </c>
      <c r="F24" s="201"/>
    </row>
    <row r="25" spans="1:7" s="8" customFormat="1">
      <c r="A25" s="42" t="s">
        <v>4</v>
      </c>
      <c r="B25" s="164"/>
      <c r="C25" s="36">
        <f>ROUND(STDEV(C21:C23),3)</f>
        <v>0.13100000000000001</v>
      </c>
      <c r="D25" s="202"/>
      <c r="E25" s="36">
        <f>ROUND(STDEV(E21:E23),3)</f>
        <v>78.334000000000003</v>
      </c>
      <c r="F25" s="202"/>
      <c r="G25" s="18"/>
    </row>
    <row r="26" spans="1:7" s="8" customFormat="1">
      <c r="A26" s="42" t="s">
        <v>95</v>
      </c>
      <c r="B26" s="164"/>
      <c r="C26" s="63">
        <f>ROUND(C25/C24*100,1)</f>
        <v>0.5</v>
      </c>
      <c r="D26" s="202"/>
      <c r="E26" s="63">
        <f>ROUND(E25/E24*100,1)</f>
        <v>1</v>
      </c>
      <c r="F26" s="202"/>
      <c r="G26" s="18"/>
    </row>
    <row r="27" spans="1:7" s="8" customFormat="1">
      <c r="A27" s="42" t="s">
        <v>96</v>
      </c>
      <c r="B27" s="164"/>
      <c r="C27" s="63">
        <f>ROUND(C24/C19*100,1)</f>
        <v>94.5</v>
      </c>
      <c r="D27" s="202"/>
      <c r="E27" s="63">
        <f>ROUND(E24/E19*100,1)</f>
        <v>101.8</v>
      </c>
      <c r="F27" s="202"/>
      <c r="G27" s="18"/>
    </row>
    <row r="28" spans="1:7" s="8" customFormat="1">
      <c r="A28" s="42" t="s">
        <v>5</v>
      </c>
      <c r="B28" s="165"/>
      <c r="C28" s="65">
        <v>3</v>
      </c>
      <c r="D28" s="203"/>
      <c r="E28" s="65">
        <v>3</v>
      </c>
      <c r="F28" s="203"/>
      <c r="G28" s="18"/>
    </row>
    <row r="29" spans="1:7" s="8" customFormat="1">
      <c r="A29" s="242"/>
      <c r="B29" s="242"/>
      <c r="C29" s="242"/>
      <c r="D29" s="242"/>
      <c r="G29" s="18"/>
    </row>
    <row r="30" spans="1:7">
      <c r="A30" s="9" t="s">
        <v>193</v>
      </c>
      <c r="B30" s="13"/>
      <c r="C30" s="13"/>
      <c r="D30" s="13"/>
      <c r="E30" s="13"/>
    </row>
    <row r="31" spans="1:7">
      <c r="A31" s="7" t="s">
        <v>102</v>
      </c>
    </row>
    <row r="32" spans="1:7" ht="13.9" customHeight="1">
      <c r="A32" s="168" t="s">
        <v>27</v>
      </c>
      <c r="B32" s="168" t="s">
        <v>9</v>
      </c>
      <c r="C32" s="42" t="s">
        <v>7</v>
      </c>
      <c r="D32" s="222" t="s">
        <v>92</v>
      </c>
      <c r="E32" s="43" t="s">
        <v>1</v>
      </c>
      <c r="F32" s="222" t="s">
        <v>92</v>
      </c>
    </row>
    <row r="33" spans="1:6">
      <c r="A33" s="169"/>
      <c r="B33" s="169"/>
      <c r="C33" s="80">
        <v>30</v>
      </c>
      <c r="D33" s="222"/>
      <c r="E33" s="80">
        <v>7500</v>
      </c>
      <c r="F33" s="222"/>
    </row>
    <row r="34" spans="1:6">
      <c r="A34" s="170"/>
      <c r="B34" s="170"/>
      <c r="C34" s="74" t="s">
        <v>6</v>
      </c>
      <c r="D34" s="222"/>
      <c r="E34" s="18" t="s">
        <v>6</v>
      </c>
      <c r="F34" s="222"/>
    </row>
    <row r="35" spans="1:6">
      <c r="A35" s="166">
        <v>45794</v>
      </c>
      <c r="B35" s="168">
        <v>3</v>
      </c>
      <c r="C35" s="79">
        <v>25.236999999999998</v>
      </c>
      <c r="D35" s="63">
        <f>ROUND((C35-C33)/C33*100,1)</f>
        <v>-15.9</v>
      </c>
      <c r="E35" s="79">
        <v>7087.9790000000003</v>
      </c>
      <c r="F35" s="63">
        <f>ROUND((E35-E33)/E33*100,1)</f>
        <v>-5.5</v>
      </c>
    </row>
    <row r="36" spans="1:6">
      <c r="A36" s="166"/>
      <c r="B36" s="169"/>
      <c r="C36" s="79">
        <v>23.431999999999999</v>
      </c>
      <c r="D36" s="63">
        <f>ROUND((C36-C33)/C33*100,1)</f>
        <v>-21.9</v>
      </c>
      <c r="E36" s="79">
        <v>7027.1610000000001</v>
      </c>
      <c r="F36" s="63">
        <f>ROUND((E36-E33)/E33*100,1)</f>
        <v>-6.3</v>
      </c>
    </row>
    <row r="37" spans="1:6">
      <c r="A37" s="166"/>
      <c r="B37" s="169"/>
      <c r="C37" s="79">
        <v>26.759</v>
      </c>
      <c r="D37" s="63">
        <f>ROUND((C37-C33)/C33*100,1)</f>
        <v>-10.8</v>
      </c>
      <c r="E37" s="79">
        <v>7161.55</v>
      </c>
      <c r="F37" s="63">
        <f>ROUND((E37-E33)/E33*100,1)</f>
        <v>-4.5</v>
      </c>
    </row>
    <row r="38" spans="1:6">
      <c r="A38" s="42" t="s">
        <v>16</v>
      </c>
      <c r="B38" s="163"/>
      <c r="C38" s="36">
        <f>ROUND(AVERAGE(C35:C37),3)</f>
        <v>25.143000000000001</v>
      </c>
      <c r="D38" s="201"/>
      <c r="E38" s="36">
        <f>ROUND(AVERAGE(E35:E37),3)</f>
        <v>7092.23</v>
      </c>
      <c r="F38" s="201"/>
    </row>
    <row r="39" spans="1:6">
      <c r="A39" s="42" t="s">
        <v>4</v>
      </c>
      <c r="B39" s="164"/>
      <c r="C39" s="36">
        <f>ROUND(STDEV(C35:C37),3)</f>
        <v>1.6659999999999999</v>
      </c>
      <c r="D39" s="202"/>
      <c r="E39" s="36">
        <f>ROUND(STDEV(E35:E37),3)</f>
        <v>67.295000000000002</v>
      </c>
      <c r="F39" s="202"/>
    </row>
    <row r="40" spans="1:6">
      <c r="A40" s="42" t="s">
        <v>95</v>
      </c>
      <c r="B40" s="164"/>
      <c r="C40" s="63">
        <f>ROUND(C39/C38*100,1)</f>
        <v>6.6</v>
      </c>
      <c r="D40" s="202"/>
      <c r="E40" s="63">
        <f>ROUND(E39/E38*100,1)</f>
        <v>0.9</v>
      </c>
      <c r="F40" s="202"/>
    </row>
    <row r="41" spans="1:6">
      <c r="A41" s="42" t="s">
        <v>96</v>
      </c>
      <c r="B41" s="164"/>
      <c r="C41" s="113">
        <f>ROUND(C38/C33*100,1)</f>
        <v>83.8</v>
      </c>
      <c r="D41" s="202"/>
      <c r="E41" s="63">
        <f>ROUND(E38/E33*100,1)</f>
        <v>94.6</v>
      </c>
      <c r="F41" s="202"/>
    </row>
    <row r="42" spans="1:6">
      <c r="A42" s="42" t="s">
        <v>5</v>
      </c>
      <c r="B42" s="165"/>
      <c r="C42" s="65">
        <v>3</v>
      </c>
      <c r="D42" s="203"/>
      <c r="E42" s="65">
        <v>3</v>
      </c>
      <c r="F42" s="203"/>
    </row>
  </sheetData>
  <mergeCells count="29">
    <mergeCell ref="A5:A7"/>
    <mergeCell ref="B5:B7"/>
    <mergeCell ref="D5:D7"/>
    <mergeCell ref="F5:F7"/>
    <mergeCell ref="A8:A10"/>
    <mergeCell ref="B8:B10"/>
    <mergeCell ref="A29:D29"/>
    <mergeCell ref="B11:B15"/>
    <mergeCell ref="D11:D15"/>
    <mergeCell ref="F11:F15"/>
    <mergeCell ref="A16:D16"/>
    <mergeCell ref="A18:A20"/>
    <mergeCell ref="B18:B20"/>
    <mergeCell ref="D18:D20"/>
    <mergeCell ref="F18:F20"/>
    <mergeCell ref="A21:A23"/>
    <mergeCell ref="B21:B23"/>
    <mergeCell ref="B24:B28"/>
    <mergeCell ref="D24:D28"/>
    <mergeCell ref="F24:F28"/>
    <mergeCell ref="B38:B42"/>
    <mergeCell ref="D38:D42"/>
    <mergeCell ref="F38:F42"/>
    <mergeCell ref="A32:A34"/>
    <mergeCell ref="B32:B34"/>
    <mergeCell ref="D32:D34"/>
    <mergeCell ref="F32:F34"/>
    <mergeCell ref="A35:A37"/>
    <mergeCell ref="B35:B37"/>
  </mergeCells>
  <phoneticPr fontId="21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  <pageSetUpPr fitToPage="1"/>
  </sheetPr>
  <dimension ref="A3:E64"/>
  <sheetViews>
    <sheetView workbookViewId="0">
      <selection activeCell="O30" sqref="O30"/>
    </sheetView>
  </sheetViews>
  <sheetFormatPr defaultColWidth="9" defaultRowHeight="15"/>
  <cols>
    <col min="1" max="1" width="22.5" style="2" customWidth="1"/>
    <col min="2" max="16384" width="9" style="2"/>
  </cols>
  <sheetData>
    <row r="3" spans="1:5">
      <c r="A3" s="2" t="s">
        <v>48</v>
      </c>
      <c r="B3" s="2" t="s">
        <v>56</v>
      </c>
      <c r="C3" s="3" t="s">
        <v>57</v>
      </c>
      <c r="D3" s="3" t="s">
        <v>58</v>
      </c>
      <c r="E3" s="3"/>
    </row>
    <row r="63" spans="2:2">
      <c r="B63" s="7"/>
    </row>
    <row r="64" spans="2:2">
      <c r="B64" s="7"/>
    </row>
  </sheetData>
  <phoneticPr fontId="21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63:B64"/>
  <sheetViews>
    <sheetView workbookViewId="0">
      <selection activeCell="O31" sqref="O31"/>
    </sheetView>
  </sheetViews>
  <sheetFormatPr defaultColWidth="9" defaultRowHeight="15"/>
  <cols>
    <col min="1" max="16384" width="9" style="2"/>
  </cols>
  <sheetData>
    <row r="63" spans="2:2">
      <c r="B63" s="7"/>
    </row>
    <row r="64" spans="2:2">
      <c r="B64" s="7"/>
    </row>
  </sheetData>
  <phoneticPr fontId="21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5"/>
  <cols>
    <col min="1" max="16384" width="9" style="2"/>
  </cols>
  <sheetData>
    <row r="63" spans="2:2">
      <c r="B63" s="7"/>
    </row>
    <row r="64" spans="2:2">
      <c r="B64" s="7"/>
    </row>
  </sheetData>
  <phoneticPr fontId="21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5"/>
  <cols>
    <col min="1" max="16384" width="9" style="2"/>
  </cols>
  <sheetData>
    <row r="63" spans="2:2">
      <c r="B63" s="7"/>
    </row>
    <row r="64" spans="2:2">
      <c r="B64" s="7"/>
    </row>
  </sheetData>
  <phoneticPr fontId="21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6</vt:i4>
      </vt:variant>
    </vt:vector>
  </HeadingPairs>
  <TitlesOfParts>
    <vt:vector size="23" baseType="lpstr">
      <vt:lpstr>表1_schedule</vt:lpstr>
      <vt:lpstr>表4_Selectivity</vt:lpstr>
      <vt:lpstr>表5_特异性</vt:lpstr>
      <vt:lpstr>表6_ME</vt:lpstr>
      <vt:lpstr>表9_Inter QC</vt:lpstr>
      <vt:lpstr>表11_Recovery</vt:lpstr>
      <vt:lpstr>表12_IS Recov</vt:lpstr>
      <vt:lpstr>表13_Dilution</vt:lpstr>
      <vt:lpstr>表18_ST</vt:lpstr>
      <vt:lpstr>表19_FT</vt:lpstr>
      <vt:lpstr>表20_PSS</vt:lpstr>
      <vt:lpstr>表22_Blood</vt:lpstr>
      <vt:lpstr>表23_溶血效应</vt:lpstr>
      <vt:lpstr>分析天平</vt:lpstr>
      <vt:lpstr>（选择性图谱）空白基质图谱</vt:lpstr>
      <vt:lpstr>（选择性图谱）最低定量限图谱</vt:lpstr>
      <vt:lpstr>标准曲线</vt:lpstr>
      <vt:lpstr>表1_schedule!Print_Area</vt:lpstr>
      <vt:lpstr>表11_Recovery!Print_Area</vt:lpstr>
      <vt:lpstr>'表12_IS Recov'!Print_Area</vt:lpstr>
      <vt:lpstr>表19_FT!Print_Area</vt:lpstr>
      <vt:lpstr>表6_ME!Print_Area</vt:lpstr>
      <vt:lpstr>'表9_Inter QC'!Print_Area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张茹-1</cp:lastModifiedBy>
  <cp:lastPrinted>2019-09-17T03:14:27Z</cp:lastPrinted>
  <dcterms:created xsi:type="dcterms:W3CDTF">2016-03-17T02:40:20Z</dcterms:created>
  <dcterms:modified xsi:type="dcterms:W3CDTF">2025-09-28T01:27:36Z</dcterms:modified>
</cp:coreProperties>
</file>