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qxue\Desktop\SS25071BV02_SST及二次数据\"/>
    </mc:Choice>
  </mc:AlternateContent>
  <xr:revisionPtr revIDLastSave="0" documentId="13_ncr:1_{B17FDECE-8668-4787-AA8F-F0BFD5BA93E4}" xr6:coauthVersionLast="47" xr6:coauthVersionMax="47" xr10:uidLastSave="{00000000-0000-0000-0000-000000000000}"/>
  <bookViews>
    <workbookView xWindow="-120" yWindow="-120" windowWidth="29040" windowHeight="15840" tabRatio="852" xr2:uid="{00000000-000D-0000-FFFF-FFFF00000000}"/>
  </bookViews>
  <sheets>
    <sheet name="表1_schedule" sheetId="7" r:id="rId1"/>
    <sheet name="表4_Selectivity" sheetId="11" r:id="rId2"/>
    <sheet name="表5_特异性" sheetId="31" r:id="rId3"/>
    <sheet name="表6_ME" sheetId="47" r:id="rId4"/>
    <sheet name="表9_Inter QC" sheetId="15" r:id="rId5"/>
    <sheet name="表11_Recovery" sheetId="48" r:id="rId6"/>
    <sheet name="表12_IS Recov" sheetId="17" r:id="rId7"/>
    <sheet name="表13_Dilution" sheetId="18" r:id="rId8"/>
    <sheet name="表18_ST" sheetId="24" r:id="rId9"/>
    <sheet name="表19_FT" sheetId="23" r:id="rId10"/>
    <sheet name="表20_PSS" sheetId="25" r:id="rId11"/>
    <sheet name="表22_Blood" sheetId="26" r:id="rId12"/>
    <sheet name="表23_溶血效应" sheetId="30" r:id="rId13"/>
  </sheets>
  <definedNames>
    <definedName name="_xlnm.Print_Area" localSheetId="0">表1_schedule!$A$1:$G$14</definedName>
    <definedName name="_xlnm.Print_Area" localSheetId="5">表11_Recovery!$A$1:$J$34</definedName>
    <definedName name="_xlnm.Print_Area" localSheetId="6">'表12_IS Recov'!$A$1:$D$31</definedName>
    <definedName name="_xlnm.Print_Area" localSheetId="7">表13_Dilution!$A$1:$D$35</definedName>
    <definedName name="_xlnm.Print_Area" localSheetId="8">表18_ST!$A$1:$I$38</definedName>
    <definedName name="_xlnm.Print_Area" localSheetId="9">表19_FT!$A$1:$G$38</definedName>
    <definedName name="_xlnm.Print_Area" localSheetId="10">表20_PSS!$A$1:$I$38</definedName>
    <definedName name="_xlnm.Print_Area" localSheetId="11">表22_Blood!$A$1:$G$37</definedName>
    <definedName name="_xlnm.Print_Area" localSheetId="12">表23_溶血效应!$A$1:$F$30</definedName>
    <definedName name="_xlnm.Print_Area" localSheetId="3">表6_ME!$A$1:$E$122</definedName>
    <definedName name="_xlnm.Print_Area" localSheetId="4">'表9_Inter QC'!$A$1:$P$112</definedName>
  </definedNames>
  <calcPr calcId="191029"/>
</workbook>
</file>

<file path=xl/calcChain.xml><?xml version="1.0" encoding="utf-8"?>
<calcChain xmlns="http://schemas.openxmlformats.org/spreadsheetml/2006/main">
  <c r="F8" i="31" l="1"/>
  <c r="F16" i="31"/>
  <c r="F24" i="31"/>
  <c r="F32" i="31"/>
  <c r="K34" i="48"/>
  <c r="Y34" i="48" s="1"/>
  <c r="K33" i="48"/>
  <c r="Y33" i="48" s="1"/>
  <c r="K18" i="48"/>
  <c r="Y18" i="48" s="1"/>
  <c r="K17" i="48"/>
  <c r="Y17" i="48" s="1"/>
  <c r="S31" i="48"/>
  <c r="S32" i="48" s="1"/>
  <c r="S30" i="48"/>
  <c r="R30" i="48"/>
  <c r="Q30" i="48"/>
  <c r="S29" i="48"/>
  <c r="S28" i="48"/>
  <c r="S27" i="48"/>
  <c r="S26" i="48"/>
  <c r="S25" i="48"/>
  <c r="AC25" i="48" s="1"/>
  <c r="S24" i="48"/>
  <c r="P31" i="48"/>
  <c r="P32" i="48" s="1"/>
  <c r="P30" i="48"/>
  <c r="O30" i="48"/>
  <c r="N30" i="48"/>
  <c r="P29" i="48"/>
  <c r="P28" i="48"/>
  <c r="P27" i="48"/>
  <c r="P26" i="48"/>
  <c r="Z26" i="48" s="1"/>
  <c r="P25" i="48"/>
  <c r="Z25" i="48" s="1"/>
  <c r="P24" i="48"/>
  <c r="Z24" i="48" s="1"/>
  <c r="L30" i="48"/>
  <c r="V24" i="48" s="1"/>
  <c r="K30" i="48"/>
  <c r="U24" i="48" s="1"/>
  <c r="M32" i="48"/>
  <c r="M31" i="48"/>
  <c r="M30" i="48"/>
  <c r="M29" i="48"/>
  <c r="M25" i="48"/>
  <c r="M26" i="48"/>
  <c r="W26" i="48" s="1"/>
  <c r="M27" i="48"/>
  <c r="M28" i="48"/>
  <c r="M24" i="48"/>
  <c r="S15" i="48"/>
  <c r="S16" i="48" s="1"/>
  <c r="AC16" i="48" s="1"/>
  <c r="S14" i="48"/>
  <c r="AC14" i="48" s="1"/>
  <c r="R14" i="48"/>
  <c r="AB8" i="48" s="1"/>
  <c r="Q14" i="48"/>
  <c r="S13" i="48"/>
  <c r="S12" i="48"/>
  <c r="S11" i="48"/>
  <c r="S10" i="48"/>
  <c r="S9" i="48"/>
  <c r="S8" i="48"/>
  <c r="P16" i="48"/>
  <c r="Z16" i="48" s="1"/>
  <c r="P15" i="48"/>
  <c r="P14" i="48"/>
  <c r="O14" i="48"/>
  <c r="N14" i="48"/>
  <c r="P13" i="48"/>
  <c r="P12" i="48"/>
  <c r="Z12" i="48" s="1"/>
  <c r="P11" i="48"/>
  <c r="P10" i="48"/>
  <c r="P9" i="48"/>
  <c r="P8" i="48"/>
  <c r="L14" i="48"/>
  <c r="K14" i="48"/>
  <c r="U8" i="48" s="1"/>
  <c r="M16" i="48"/>
  <c r="M15" i="48"/>
  <c r="M14" i="48"/>
  <c r="W14" i="48" s="1"/>
  <c r="M9" i="48"/>
  <c r="M10" i="48"/>
  <c r="W10" i="48" s="1"/>
  <c r="M11" i="48"/>
  <c r="W11" i="48" s="1"/>
  <c r="M12" i="48"/>
  <c r="W12" i="48" s="1"/>
  <c r="M13" i="48"/>
  <c r="M8" i="48"/>
  <c r="W8" i="48" s="1"/>
  <c r="F9" i="17"/>
  <c r="F10" i="17"/>
  <c r="F11" i="17"/>
  <c r="F12" i="17"/>
  <c r="F13" i="17"/>
  <c r="F14" i="17"/>
  <c r="F15" i="17"/>
  <c r="F16" i="17"/>
  <c r="F8" i="17"/>
  <c r="E16" i="17"/>
  <c r="E15" i="17"/>
  <c r="E14" i="17"/>
  <c r="E9" i="17"/>
  <c r="E10" i="17"/>
  <c r="E11" i="17"/>
  <c r="E12" i="17"/>
  <c r="E13" i="17"/>
  <c r="E8" i="17"/>
  <c r="F21" i="17"/>
  <c r="F22" i="17"/>
  <c r="F23" i="17"/>
  <c r="F24" i="17"/>
  <c r="F25" i="17"/>
  <c r="F26" i="17"/>
  <c r="F27" i="17"/>
  <c r="F28" i="17"/>
  <c r="F29" i="17"/>
  <c r="F30" i="17"/>
  <c r="F31" i="17"/>
  <c r="F20" i="17"/>
  <c r="E21" i="17"/>
  <c r="E22" i="17"/>
  <c r="E23" i="17"/>
  <c r="E24" i="17"/>
  <c r="E25" i="17"/>
  <c r="E26" i="17"/>
  <c r="E27" i="17"/>
  <c r="E28" i="17"/>
  <c r="E29" i="17"/>
  <c r="E30" i="17"/>
  <c r="E31" i="17"/>
  <c r="E20" i="17"/>
  <c r="F26" i="18"/>
  <c r="H26" i="18" s="1"/>
  <c r="F27" i="18"/>
  <c r="F28" i="18"/>
  <c r="F29" i="18"/>
  <c r="H29" i="18" s="1"/>
  <c r="F30" i="18"/>
  <c r="F25" i="18"/>
  <c r="H25" i="18" s="1"/>
  <c r="M33" i="24"/>
  <c r="Q33" i="24" s="1"/>
  <c r="M32" i="24"/>
  <c r="M31" i="24"/>
  <c r="M30" i="24"/>
  <c r="M29" i="24"/>
  <c r="M28" i="24"/>
  <c r="Q28" i="24" s="1"/>
  <c r="K29" i="24"/>
  <c r="K30" i="24"/>
  <c r="K31" i="24"/>
  <c r="K32" i="24"/>
  <c r="O32" i="24" s="1"/>
  <c r="K33" i="24"/>
  <c r="K28" i="24"/>
  <c r="P28" i="23"/>
  <c r="N33" i="23"/>
  <c r="R33" i="23" s="1"/>
  <c r="N32" i="23"/>
  <c r="N31" i="23"/>
  <c r="N30" i="23"/>
  <c r="N29" i="23"/>
  <c r="N28" i="23"/>
  <c r="L29" i="23"/>
  <c r="P29" i="23" s="1"/>
  <c r="L30" i="23"/>
  <c r="L31" i="23"/>
  <c r="L32" i="23"/>
  <c r="P32" i="23" s="1"/>
  <c r="L33" i="23"/>
  <c r="L28" i="23"/>
  <c r="N32" i="25"/>
  <c r="R32" i="25" s="1"/>
  <c r="N31" i="25"/>
  <c r="N30" i="25"/>
  <c r="N29" i="25"/>
  <c r="N28" i="25"/>
  <c r="R28" i="25" s="1"/>
  <c r="N27" i="25"/>
  <c r="R27" i="25" s="1"/>
  <c r="L28" i="25"/>
  <c r="P28" i="25" s="1"/>
  <c r="L29" i="25"/>
  <c r="P29" i="25" s="1"/>
  <c r="L30" i="25"/>
  <c r="P30" i="25" s="1"/>
  <c r="L31" i="25"/>
  <c r="P31" i="25" s="1"/>
  <c r="L32" i="25"/>
  <c r="L27" i="25"/>
  <c r="H34" i="26"/>
  <c r="G28" i="30"/>
  <c r="K28" i="30" s="1"/>
  <c r="J24" i="30"/>
  <c r="J23" i="30"/>
  <c r="N23" i="30" s="1"/>
  <c r="J22" i="30"/>
  <c r="N22" i="30" s="1"/>
  <c r="H23" i="30"/>
  <c r="H24" i="30"/>
  <c r="H22" i="30"/>
  <c r="M28" i="30"/>
  <c r="I28" i="30"/>
  <c r="I27" i="30"/>
  <c r="M27" i="30" s="1"/>
  <c r="I26" i="30"/>
  <c r="M26" i="30" s="1"/>
  <c r="G26" i="30"/>
  <c r="G27" i="30" s="1"/>
  <c r="K27" i="30" s="1"/>
  <c r="M25" i="30"/>
  <c r="I25" i="30"/>
  <c r="G25" i="30"/>
  <c r="K25" i="30" s="1"/>
  <c r="N24" i="30"/>
  <c r="L24" i="30"/>
  <c r="L23" i="30"/>
  <c r="L22" i="30"/>
  <c r="M14" i="30"/>
  <c r="I14" i="30"/>
  <c r="G14" i="30"/>
  <c r="K14" i="30" s="1"/>
  <c r="I13" i="30"/>
  <c r="M13" i="30" s="1"/>
  <c r="I12" i="30"/>
  <c r="M12" i="30" s="1"/>
  <c r="G12" i="30"/>
  <c r="G13" i="30" s="1"/>
  <c r="K13" i="30" s="1"/>
  <c r="M11" i="30"/>
  <c r="I11" i="30"/>
  <c r="G11" i="30"/>
  <c r="K11" i="30" s="1"/>
  <c r="J10" i="30"/>
  <c r="N10" i="30" s="1"/>
  <c r="H10" i="30"/>
  <c r="L10" i="30" s="1"/>
  <c r="J9" i="30"/>
  <c r="N9" i="30" s="1"/>
  <c r="H9" i="30"/>
  <c r="L9" i="30" s="1"/>
  <c r="N8" i="30"/>
  <c r="J8" i="30"/>
  <c r="H8" i="30"/>
  <c r="L8" i="30" s="1"/>
  <c r="N37" i="26"/>
  <c r="J37" i="26"/>
  <c r="H37" i="26"/>
  <c r="L37" i="26" s="1"/>
  <c r="H36" i="26"/>
  <c r="L36" i="26" s="1"/>
  <c r="O35" i="26"/>
  <c r="K35" i="26"/>
  <c r="K36" i="26" s="1"/>
  <c r="O36" i="26" s="1"/>
  <c r="J35" i="26"/>
  <c r="N35" i="26" s="1"/>
  <c r="I35" i="26"/>
  <c r="M35" i="26" s="1"/>
  <c r="H35" i="26"/>
  <c r="L35" i="26" s="1"/>
  <c r="N34" i="26"/>
  <c r="M34" i="26"/>
  <c r="L34" i="26"/>
  <c r="K34" i="26"/>
  <c r="O34" i="26" s="1"/>
  <c r="J34" i="26"/>
  <c r="I34" i="26"/>
  <c r="J19" i="26"/>
  <c r="N19" i="26" s="1"/>
  <c r="H19" i="26"/>
  <c r="L19" i="26" s="1"/>
  <c r="J18" i="26"/>
  <c r="N18" i="26" s="1"/>
  <c r="H18" i="26"/>
  <c r="L18" i="26" s="1"/>
  <c r="O17" i="26"/>
  <c r="M17" i="26"/>
  <c r="K17" i="26"/>
  <c r="K18" i="26" s="1"/>
  <c r="O18" i="26" s="1"/>
  <c r="J17" i="26"/>
  <c r="N17" i="26" s="1"/>
  <c r="I17" i="26"/>
  <c r="I18" i="26" s="1"/>
  <c r="M18" i="26" s="1"/>
  <c r="H17" i="26"/>
  <c r="L17" i="26" s="1"/>
  <c r="N16" i="26"/>
  <c r="L16" i="26"/>
  <c r="K16" i="26"/>
  <c r="O16" i="26" s="1"/>
  <c r="J16" i="26"/>
  <c r="I16" i="26"/>
  <c r="M16" i="26" s="1"/>
  <c r="H16" i="26"/>
  <c r="Q36" i="25"/>
  <c r="M36" i="25"/>
  <c r="K36" i="25"/>
  <c r="O36" i="25" s="1"/>
  <c r="M35" i="25"/>
  <c r="Q35" i="25" s="1"/>
  <c r="M34" i="25"/>
  <c r="Q34" i="25" s="1"/>
  <c r="K34" i="25"/>
  <c r="K35" i="25" s="1"/>
  <c r="O35" i="25" s="1"/>
  <c r="Q33" i="25"/>
  <c r="M33" i="25"/>
  <c r="K33" i="25"/>
  <c r="O33" i="25" s="1"/>
  <c r="P32" i="25"/>
  <c r="R31" i="25"/>
  <c r="R30" i="25"/>
  <c r="R29" i="25"/>
  <c r="P27" i="25"/>
  <c r="O18" i="25"/>
  <c r="M18" i="25"/>
  <c r="Q18" i="25" s="1"/>
  <c r="K18" i="25"/>
  <c r="K17" i="25"/>
  <c r="O17" i="25" s="1"/>
  <c r="M16" i="25"/>
  <c r="Q16" i="25" s="1"/>
  <c r="K16" i="25"/>
  <c r="O16" i="25" s="1"/>
  <c r="O15" i="25"/>
  <c r="M15" i="25"/>
  <c r="M17" i="25" s="1"/>
  <c r="Q17" i="25" s="1"/>
  <c r="K15" i="25"/>
  <c r="N14" i="25"/>
  <c r="R14" i="25" s="1"/>
  <c r="L14" i="25"/>
  <c r="P14" i="25" s="1"/>
  <c r="N13" i="25"/>
  <c r="R13" i="25" s="1"/>
  <c r="L13" i="25"/>
  <c r="P13" i="25" s="1"/>
  <c r="P12" i="25"/>
  <c r="N12" i="25"/>
  <c r="R12" i="25" s="1"/>
  <c r="L12" i="25"/>
  <c r="N11" i="25"/>
  <c r="R11" i="25" s="1"/>
  <c r="L11" i="25"/>
  <c r="P11" i="25" s="1"/>
  <c r="N10" i="25"/>
  <c r="R10" i="25" s="1"/>
  <c r="L10" i="25"/>
  <c r="P10" i="25" s="1"/>
  <c r="P9" i="25"/>
  <c r="N9" i="25"/>
  <c r="R9" i="25" s="1"/>
  <c r="L9" i="25"/>
  <c r="Q37" i="23"/>
  <c r="M37" i="23"/>
  <c r="K37" i="23"/>
  <c r="O37" i="23" s="1"/>
  <c r="M35" i="23"/>
  <c r="M36" i="23" s="1"/>
  <c r="Q36" i="23" s="1"/>
  <c r="K35" i="23"/>
  <c r="K36" i="23" s="1"/>
  <c r="O36" i="23" s="1"/>
  <c r="Q34" i="23"/>
  <c r="M34" i="23"/>
  <c r="K34" i="23"/>
  <c r="O34" i="23" s="1"/>
  <c r="P33" i="23"/>
  <c r="R32" i="23"/>
  <c r="R31" i="23"/>
  <c r="P31" i="23"/>
  <c r="P30" i="23"/>
  <c r="R30" i="23"/>
  <c r="R29" i="23"/>
  <c r="R28" i="23"/>
  <c r="Q19" i="23"/>
  <c r="O19" i="23"/>
  <c r="M19" i="23"/>
  <c r="K19" i="23"/>
  <c r="M17" i="23"/>
  <c r="Q17" i="23" s="1"/>
  <c r="K17" i="23"/>
  <c r="O17" i="23" s="1"/>
  <c r="Q16" i="23"/>
  <c r="O16" i="23"/>
  <c r="M16" i="23"/>
  <c r="K16" i="23"/>
  <c r="N15" i="23"/>
  <c r="R15" i="23" s="1"/>
  <c r="L15" i="23"/>
  <c r="P15" i="23" s="1"/>
  <c r="N14" i="23"/>
  <c r="R14" i="23" s="1"/>
  <c r="L14" i="23"/>
  <c r="P14" i="23" s="1"/>
  <c r="R13" i="23"/>
  <c r="P13" i="23"/>
  <c r="N13" i="23"/>
  <c r="L13" i="23"/>
  <c r="N12" i="23"/>
  <c r="R12" i="23" s="1"/>
  <c r="L12" i="23"/>
  <c r="P12" i="23" s="1"/>
  <c r="N11" i="23"/>
  <c r="R11" i="23" s="1"/>
  <c r="L11" i="23"/>
  <c r="P11" i="23" s="1"/>
  <c r="R10" i="23"/>
  <c r="P10" i="23"/>
  <c r="N10" i="23"/>
  <c r="L10" i="23"/>
  <c r="P37" i="24"/>
  <c r="L37" i="24"/>
  <c r="J37" i="24"/>
  <c r="N37" i="24" s="1"/>
  <c r="L35" i="24"/>
  <c r="L36" i="24" s="1"/>
  <c r="P36" i="24" s="1"/>
  <c r="J35" i="24"/>
  <c r="J36" i="24" s="1"/>
  <c r="N36" i="24" s="1"/>
  <c r="P34" i="24"/>
  <c r="L34" i="24"/>
  <c r="J34" i="24"/>
  <c r="N34" i="24" s="1"/>
  <c r="O33" i="24"/>
  <c r="Q32" i="24"/>
  <c r="Q31" i="24"/>
  <c r="O31" i="24"/>
  <c r="Q30" i="24"/>
  <c r="O30" i="24"/>
  <c r="Q29" i="24"/>
  <c r="O29" i="24"/>
  <c r="O28" i="24"/>
  <c r="P19" i="24"/>
  <c r="L19" i="24"/>
  <c r="J19" i="24"/>
  <c r="N19" i="24" s="1"/>
  <c r="L18" i="24"/>
  <c r="P18" i="24" s="1"/>
  <c r="L17" i="24"/>
  <c r="P17" i="24" s="1"/>
  <c r="J17" i="24"/>
  <c r="J18" i="24" s="1"/>
  <c r="N18" i="24" s="1"/>
  <c r="P16" i="24"/>
  <c r="L16" i="24"/>
  <c r="J16" i="24"/>
  <c r="N16" i="24" s="1"/>
  <c r="M15" i="24"/>
  <c r="Q15" i="24" s="1"/>
  <c r="K15" i="24"/>
  <c r="O15" i="24" s="1"/>
  <c r="M14" i="24"/>
  <c r="Q14" i="24" s="1"/>
  <c r="K14" i="24"/>
  <c r="O14" i="24" s="1"/>
  <c r="Q13" i="24"/>
  <c r="M13" i="24"/>
  <c r="K13" i="24"/>
  <c r="O13" i="24" s="1"/>
  <c r="M12" i="24"/>
  <c r="Q12" i="24" s="1"/>
  <c r="K12" i="24"/>
  <c r="O12" i="24" s="1"/>
  <c r="M11" i="24"/>
  <c r="Q11" i="24" s="1"/>
  <c r="K11" i="24"/>
  <c r="O11" i="24" s="1"/>
  <c r="Q10" i="24"/>
  <c r="M10" i="24"/>
  <c r="K10" i="24"/>
  <c r="O10" i="24" s="1"/>
  <c r="E34" i="18"/>
  <c r="G34" i="18" s="1"/>
  <c r="E33" i="18"/>
  <c r="G33" i="18" s="1"/>
  <c r="E32" i="18"/>
  <c r="G32" i="18" s="1"/>
  <c r="G31" i="18"/>
  <c r="E31" i="18"/>
  <c r="H30" i="18"/>
  <c r="H28" i="18"/>
  <c r="H27" i="18"/>
  <c r="E17" i="18"/>
  <c r="G17" i="18" s="1"/>
  <c r="E15" i="18"/>
  <c r="E16" i="18" s="1"/>
  <c r="G16" i="18" s="1"/>
  <c r="E14" i="18"/>
  <c r="G14" i="18" s="1"/>
  <c r="F13" i="18"/>
  <c r="H13" i="18" s="1"/>
  <c r="F12" i="18"/>
  <c r="H12" i="18" s="1"/>
  <c r="F11" i="18"/>
  <c r="H11" i="18" s="1"/>
  <c r="H10" i="18"/>
  <c r="F10" i="18"/>
  <c r="F9" i="18"/>
  <c r="H9" i="18" s="1"/>
  <c r="F8" i="18"/>
  <c r="H8" i="18" s="1"/>
  <c r="Z31" i="48"/>
  <c r="W31" i="48"/>
  <c r="AC31" i="48"/>
  <c r="AC30" i="48"/>
  <c r="Z30" i="48"/>
  <c r="Y24" i="48"/>
  <c r="X24" i="48"/>
  <c r="W30" i="48"/>
  <c r="AC29" i="48"/>
  <c r="Z29" i="48"/>
  <c r="W29" i="48"/>
  <c r="Z28" i="48"/>
  <c r="W28" i="48"/>
  <c r="AC28" i="48"/>
  <c r="AC27" i="48"/>
  <c r="Z27" i="48"/>
  <c r="W27" i="48"/>
  <c r="AC26" i="48"/>
  <c r="W25" i="48"/>
  <c r="AC24" i="48"/>
  <c r="AB24" i="48"/>
  <c r="AA24" i="48"/>
  <c r="W24" i="48"/>
  <c r="Z10" i="48"/>
  <c r="V8" i="48"/>
  <c r="W15" i="48"/>
  <c r="AA8" i="48"/>
  <c r="Z14" i="48"/>
  <c r="Y8" i="48"/>
  <c r="X8" i="48"/>
  <c r="AC13" i="48"/>
  <c r="Z13" i="48"/>
  <c r="W13" i="48"/>
  <c r="AC12" i="48"/>
  <c r="AC11" i="48"/>
  <c r="Z11" i="48"/>
  <c r="AC10" i="48"/>
  <c r="AC9" i="48"/>
  <c r="Z9" i="48"/>
  <c r="W9" i="48"/>
  <c r="AC8" i="48"/>
  <c r="Z8" i="48"/>
  <c r="K121" i="47"/>
  <c r="O121" i="47" s="1"/>
  <c r="I121" i="47"/>
  <c r="M121" i="47" s="1"/>
  <c r="K120" i="47"/>
  <c r="O120" i="47" s="1"/>
  <c r="I120" i="47"/>
  <c r="M120" i="47" s="1"/>
  <c r="K119" i="47"/>
  <c r="O119" i="47" s="1"/>
  <c r="K118" i="47"/>
  <c r="O118" i="47" s="1"/>
  <c r="I118" i="47"/>
  <c r="M118" i="47" s="1"/>
  <c r="K117" i="47"/>
  <c r="O117" i="47" s="1"/>
  <c r="I117" i="47"/>
  <c r="M117" i="47" s="1"/>
  <c r="L116" i="47"/>
  <c r="P116" i="47" s="1"/>
  <c r="J116" i="47"/>
  <c r="N116" i="47" s="1"/>
  <c r="L115" i="47"/>
  <c r="P115" i="47" s="1"/>
  <c r="J115" i="47"/>
  <c r="N115" i="47" s="1"/>
  <c r="L114" i="47"/>
  <c r="P114" i="47" s="1"/>
  <c r="J114" i="47"/>
  <c r="N114" i="47" s="1"/>
  <c r="K112" i="47"/>
  <c r="O112" i="47" s="1"/>
  <c r="I112" i="47"/>
  <c r="M112" i="47" s="1"/>
  <c r="K111" i="47"/>
  <c r="O111" i="47" s="1"/>
  <c r="I111" i="47"/>
  <c r="M111" i="47" s="1"/>
  <c r="K109" i="47"/>
  <c r="K110" i="47" s="1"/>
  <c r="O110" i="47" s="1"/>
  <c r="I109" i="47"/>
  <c r="I110" i="47" s="1"/>
  <c r="M110" i="47" s="1"/>
  <c r="K108" i="47"/>
  <c r="O108" i="47" s="1"/>
  <c r="I108" i="47"/>
  <c r="M108" i="47" s="1"/>
  <c r="L107" i="47"/>
  <c r="P107" i="47" s="1"/>
  <c r="J107" i="47"/>
  <c r="N107" i="47" s="1"/>
  <c r="L106" i="47"/>
  <c r="P106" i="47" s="1"/>
  <c r="J106" i="47"/>
  <c r="N106" i="47" s="1"/>
  <c r="L105" i="47"/>
  <c r="P105" i="47" s="1"/>
  <c r="J105" i="47"/>
  <c r="N105" i="47" s="1"/>
  <c r="K103" i="47"/>
  <c r="O103" i="47" s="1"/>
  <c r="I103" i="47"/>
  <c r="M103" i="47" s="1"/>
  <c r="K102" i="47"/>
  <c r="O102" i="47" s="1"/>
  <c r="I102" i="47"/>
  <c r="M102" i="47" s="1"/>
  <c r="K100" i="47"/>
  <c r="O100" i="47" s="1"/>
  <c r="I100" i="47"/>
  <c r="I101" i="47" s="1"/>
  <c r="M101" i="47" s="1"/>
  <c r="K99" i="47"/>
  <c r="K101" i="47" s="1"/>
  <c r="O101" i="47" s="1"/>
  <c r="I99" i="47"/>
  <c r="M99" i="47" s="1"/>
  <c r="L98" i="47"/>
  <c r="P98" i="47" s="1"/>
  <c r="J98" i="47"/>
  <c r="N98" i="47" s="1"/>
  <c r="L97" i="47"/>
  <c r="P97" i="47" s="1"/>
  <c r="J97" i="47"/>
  <c r="N97" i="47" s="1"/>
  <c r="L96" i="47"/>
  <c r="P96" i="47" s="1"/>
  <c r="J96" i="47"/>
  <c r="N96" i="47" s="1"/>
  <c r="K94" i="47"/>
  <c r="O94" i="47" s="1"/>
  <c r="I94" i="47"/>
  <c r="M94" i="47" s="1"/>
  <c r="K93" i="47"/>
  <c r="O93" i="47" s="1"/>
  <c r="I93" i="47"/>
  <c r="M93" i="47" s="1"/>
  <c r="K92" i="47"/>
  <c r="O92" i="47" s="1"/>
  <c r="K91" i="47"/>
  <c r="O91" i="47" s="1"/>
  <c r="I91" i="47"/>
  <c r="M91" i="47" s="1"/>
  <c r="K90" i="47"/>
  <c r="O90" i="47" s="1"/>
  <c r="I90" i="47"/>
  <c r="M90" i="47" s="1"/>
  <c r="L89" i="47"/>
  <c r="P89" i="47" s="1"/>
  <c r="J89" i="47"/>
  <c r="N89" i="47" s="1"/>
  <c r="L88" i="47"/>
  <c r="P88" i="47" s="1"/>
  <c r="J88" i="47"/>
  <c r="N88" i="47" s="1"/>
  <c r="L87" i="47"/>
  <c r="P87" i="47" s="1"/>
  <c r="J87" i="47"/>
  <c r="N87" i="47" s="1"/>
  <c r="K85" i="47"/>
  <c r="O85" i="47" s="1"/>
  <c r="I85" i="47"/>
  <c r="M85" i="47" s="1"/>
  <c r="K84" i="47"/>
  <c r="O84" i="47" s="1"/>
  <c r="I84" i="47"/>
  <c r="M84" i="47" s="1"/>
  <c r="K82" i="47"/>
  <c r="K83" i="47" s="1"/>
  <c r="O83" i="47" s="1"/>
  <c r="I82" i="47"/>
  <c r="I83" i="47" s="1"/>
  <c r="M83" i="47" s="1"/>
  <c r="K81" i="47"/>
  <c r="O81" i="47" s="1"/>
  <c r="I81" i="47"/>
  <c r="M81" i="47" s="1"/>
  <c r="L80" i="47"/>
  <c r="P80" i="47" s="1"/>
  <c r="J80" i="47"/>
  <c r="N80" i="47" s="1"/>
  <c r="L79" i="47"/>
  <c r="P79" i="47" s="1"/>
  <c r="J79" i="47"/>
  <c r="N79" i="47" s="1"/>
  <c r="L78" i="47"/>
  <c r="P78" i="47" s="1"/>
  <c r="J78" i="47"/>
  <c r="N78" i="47" s="1"/>
  <c r="K76" i="47"/>
  <c r="O76" i="47" s="1"/>
  <c r="I76" i="47"/>
  <c r="M76" i="47" s="1"/>
  <c r="K75" i="47"/>
  <c r="O75" i="47" s="1"/>
  <c r="I75" i="47"/>
  <c r="M75" i="47" s="1"/>
  <c r="K73" i="47"/>
  <c r="K74" i="47" s="1"/>
  <c r="O74" i="47" s="1"/>
  <c r="I73" i="47"/>
  <c r="I74" i="47" s="1"/>
  <c r="M74" i="47" s="1"/>
  <c r="K72" i="47"/>
  <c r="O72" i="47" s="1"/>
  <c r="I72" i="47"/>
  <c r="M72" i="47" s="1"/>
  <c r="L71" i="47"/>
  <c r="P71" i="47" s="1"/>
  <c r="J71" i="47"/>
  <c r="N71" i="47" s="1"/>
  <c r="L70" i="47"/>
  <c r="P70" i="47" s="1"/>
  <c r="J70" i="47"/>
  <c r="N70" i="47" s="1"/>
  <c r="L69" i="47"/>
  <c r="P69" i="47" s="1"/>
  <c r="J69" i="47"/>
  <c r="N69" i="47" s="1"/>
  <c r="K61" i="47"/>
  <c r="O61" i="47" s="1"/>
  <c r="I61" i="47"/>
  <c r="M61" i="47" s="1"/>
  <c r="K60" i="47"/>
  <c r="O60" i="47" s="1"/>
  <c r="I60" i="47"/>
  <c r="M60" i="47" s="1"/>
  <c r="K58" i="47"/>
  <c r="O58" i="47" s="1"/>
  <c r="I58" i="47"/>
  <c r="M58" i="47" s="1"/>
  <c r="K57" i="47"/>
  <c r="O57" i="47" s="1"/>
  <c r="I57" i="47"/>
  <c r="M57" i="47" s="1"/>
  <c r="P56" i="47"/>
  <c r="N56" i="47"/>
  <c r="L56" i="47"/>
  <c r="J56" i="47"/>
  <c r="L55" i="47"/>
  <c r="P55" i="47" s="1"/>
  <c r="J55" i="47"/>
  <c r="N55" i="47" s="1"/>
  <c r="L54" i="47"/>
  <c r="P54" i="47" s="1"/>
  <c r="J54" i="47"/>
  <c r="N54" i="47" s="1"/>
  <c r="O52" i="47"/>
  <c r="M52" i="47"/>
  <c r="K52" i="47"/>
  <c r="I52" i="47"/>
  <c r="K51" i="47"/>
  <c r="O51" i="47" s="1"/>
  <c r="I51" i="47"/>
  <c r="M51" i="47" s="1"/>
  <c r="O49" i="47"/>
  <c r="M49" i="47"/>
  <c r="K49" i="47"/>
  <c r="K50" i="47" s="1"/>
  <c r="O50" i="47" s="1"/>
  <c r="I49" i="47"/>
  <c r="K48" i="47"/>
  <c r="O48" i="47" s="1"/>
  <c r="I48" i="47"/>
  <c r="M48" i="47" s="1"/>
  <c r="L47" i="47"/>
  <c r="P47" i="47" s="1"/>
  <c r="J47" i="47"/>
  <c r="N47" i="47" s="1"/>
  <c r="N46" i="47"/>
  <c r="L46" i="47"/>
  <c r="P46" i="47" s="1"/>
  <c r="J46" i="47"/>
  <c r="L45" i="47"/>
  <c r="P45" i="47" s="1"/>
  <c r="J45" i="47"/>
  <c r="N45" i="47" s="1"/>
  <c r="K43" i="47"/>
  <c r="O43" i="47" s="1"/>
  <c r="I43" i="47"/>
  <c r="M43" i="47" s="1"/>
  <c r="M42" i="47"/>
  <c r="K42" i="47"/>
  <c r="O42" i="47" s="1"/>
  <c r="I42" i="47"/>
  <c r="K41" i="47"/>
  <c r="O41" i="47" s="1"/>
  <c r="I41" i="47"/>
  <c r="M41" i="47" s="1"/>
  <c r="K40" i="47"/>
  <c r="O40" i="47" s="1"/>
  <c r="I40" i="47"/>
  <c r="M40" i="47" s="1"/>
  <c r="M39" i="47"/>
  <c r="K39" i="47"/>
  <c r="O39" i="47" s="1"/>
  <c r="I39" i="47"/>
  <c r="L38" i="47"/>
  <c r="P38" i="47" s="1"/>
  <c r="J38" i="47"/>
  <c r="N38" i="47" s="1"/>
  <c r="L37" i="47"/>
  <c r="P37" i="47" s="1"/>
  <c r="J37" i="47"/>
  <c r="N37" i="47" s="1"/>
  <c r="N36" i="47"/>
  <c r="L36" i="47"/>
  <c r="P36" i="47" s="1"/>
  <c r="J36" i="47"/>
  <c r="K34" i="47"/>
  <c r="O34" i="47" s="1"/>
  <c r="I34" i="47"/>
  <c r="M34" i="47" s="1"/>
  <c r="K33" i="47"/>
  <c r="O33" i="47" s="1"/>
  <c r="I33" i="47"/>
  <c r="M33" i="47" s="1"/>
  <c r="K31" i="47"/>
  <c r="O31" i="47" s="1"/>
  <c r="I31" i="47"/>
  <c r="M31" i="47" s="1"/>
  <c r="K30" i="47"/>
  <c r="O30" i="47" s="1"/>
  <c r="I30" i="47"/>
  <c r="M30" i="47" s="1"/>
  <c r="N29" i="47"/>
  <c r="L29" i="47"/>
  <c r="P29" i="47" s="1"/>
  <c r="J29" i="47"/>
  <c r="L28" i="47"/>
  <c r="P28" i="47" s="1"/>
  <c r="J28" i="47"/>
  <c r="N28" i="47" s="1"/>
  <c r="L27" i="47"/>
  <c r="P27" i="47" s="1"/>
  <c r="J27" i="47"/>
  <c r="N27" i="47" s="1"/>
  <c r="M25" i="47"/>
  <c r="K25" i="47"/>
  <c r="O25" i="47" s="1"/>
  <c r="I25" i="47"/>
  <c r="K24" i="47"/>
  <c r="O24" i="47" s="1"/>
  <c r="I24" i="47"/>
  <c r="M24" i="47" s="1"/>
  <c r="M22" i="47"/>
  <c r="K22" i="47"/>
  <c r="K23" i="47" s="1"/>
  <c r="O23" i="47" s="1"/>
  <c r="I22" i="47"/>
  <c r="K21" i="47"/>
  <c r="O21" i="47" s="1"/>
  <c r="I21" i="47"/>
  <c r="M21" i="47" s="1"/>
  <c r="L20" i="47"/>
  <c r="P20" i="47" s="1"/>
  <c r="J20" i="47"/>
  <c r="N20" i="47" s="1"/>
  <c r="N19" i="47"/>
  <c r="L19" i="47"/>
  <c r="P19" i="47" s="1"/>
  <c r="J19" i="47"/>
  <c r="L18" i="47"/>
  <c r="P18" i="47" s="1"/>
  <c r="J18" i="47"/>
  <c r="N18" i="47" s="1"/>
  <c r="K16" i="47"/>
  <c r="O16" i="47" s="1"/>
  <c r="I16" i="47"/>
  <c r="M16" i="47" s="1"/>
  <c r="M15" i="47"/>
  <c r="K15" i="47"/>
  <c r="O15" i="47" s="1"/>
  <c r="I15" i="47"/>
  <c r="I14" i="47"/>
  <c r="M14" i="47" s="1"/>
  <c r="K13" i="47"/>
  <c r="O13" i="47" s="1"/>
  <c r="I13" i="47"/>
  <c r="M13" i="47" s="1"/>
  <c r="M12" i="47"/>
  <c r="K12" i="47"/>
  <c r="K14" i="47" s="1"/>
  <c r="O14" i="47" s="1"/>
  <c r="I12" i="47"/>
  <c r="L11" i="47"/>
  <c r="P11" i="47" s="1"/>
  <c r="J11" i="47"/>
  <c r="N11" i="47" s="1"/>
  <c r="L10" i="47"/>
  <c r="P10" i="47" s="1"/>
  <c r="J10" i="47"/>
  <c r="N10" i="47" s="1"/>
  <c r="N9" i="47"/>
  <c r="L9" i="47"/>
  <c r="P9" i="47" s="1"/>
  <c r="J9" i="47"/>
  <c r="W16" i="48" l="1"/>
  <c r="K26" i="30"/>
  <c r="K12" i="30"/>
  <c r="I36" i="26"/>
  <c r="M36" i="26" s="1"/>
  <c r="J36" i="26"/>
  <c r="N36" i="26" s="1"/>
  <c r="O34" i="25"/>
  <c r="Q15" i="25"/>
  <c r="O35" i="23"/>
  <c r="Q35" i="23"/>
  <c r="M18" i="23"/>
  <c r="Q18" i="23" s="1"/>
  <c r="K18" i="23"/>
  <c r="O18" i="23" s="1"/>
  <c r="N35" i="24"/>
  <c r="P35" i="24"/>
  <c r="N17" i="24"/>
  <c r="G15" i="18"/>
  <c r="Z32" i="48"/>
  <c r="AC32" i="48"/>
  <c r="W32" i="48"/>
  <c r="Z15" i="48"/>
  <c r="AC15" i="48"/>
  <c r="I92" i="47"/>
  <c r="M92" i="47" s="1"/>
  <c r="I119" i="47"/>
  <c r="M119" i="47" s="1"/>
  <c r="M109" i="47"/>
  <c r="M82" i="47"/>
  <c r="O82" i="47"/>
  <c r="O99" i="47"/>
  <c r="O109" i="47"/>
  <c r="M73" i="47"/>
  <c r="M100" i="47"/>
  <c r="O73" i="47"/>
  <c r="I32" i="47"/>
  <c r="M32" i="47" s="1"/>
  <c r="I59" i="47"/>
  <c r="M59" i="47" s="1"/>
  <c r="K32" i="47"/>
  <c r="O32" i="47" s="1"/>
  <c r="K59" i="47"/>
  <c r="O59" i="47" s="1"/>
  <c r="O12" i="47"/>
  <c r="O22" i="47"/>
  <c r="I50" i="47"/>
  <c r="M50" i="47" s="1"/>
  <c r="I23" i="47"/>
  <c r="M23" i="47" s="1"/>
  <c r="I26" i="25" l="1"/>
  <c r="I30" i="48" l="1"/>
  <c r="J28" i="48" s="1"/>
  <c r="H30" i="48"/>
  <c r="F30" i="48"/>
  <c r="G26" i="48" s="1"/>
  <c r="E30" i="48"/>
  <c r="C30" i="48"/>
  <c r="D26" i="48" s="1"/>
  <c r="B30" i="48"/>
  <c r="G24" i="48"/>
  <c r="D73" i="47"/>
  <c r="D72" i="47"/>
  <c r="D76" i="47" s="1"/>
  <c r="D13" i="47"/>
  <c r="D12" i="47"/>
  <c r="D16" i="47" s="1"/>
  <c r="E26" i="30"/>
  <c r="C26" i="30"/>
  <c r="E25" i="30"/>
  <c r="E28" i="30" s="1"/>
  <c r="C25" i="30"/>
  <c r="C28" i="30" s="1"/>
  <c r="F24" i="30"/>
  <c r="D24" i="30"/>
  <c r="F23" i="30"/>
  <c r="D23" i="30"/>
  <c r="F22" i="30"/>
  <c r="D22" i="30"/>
  <c r="E12" i="30"/>
  <c r="C12" i="30"/>
  <c r="C13" i="30" s="1"/>
  <c r="E11" i="30"/>
  <c r="E14" i="30" s="1"/>
  <c r="C11" i="30"/>
  <c r="C14" i="30" s="1"/>
  <c r="F10" i="30"/>
  <c r="D10" i="30"/>
  <c r="F9" i="30"/>
  <c r="D9" i="30"/>
  <c r="F8" i="30"/>
  <c r="D8" i="30"/>
  <c r="G35" i="26"/>
  <c r="F35" i="26"/>
  <c r="E35" i="26"/>
  <c r="D35" i="26"/>
  <c r="G34" i="26"/>
  <c r="F34" i="26"/>
  <c r="E34" i="26"/>
  <c r="D34" i="26"/>
  <c r="G17" i="26"/>
  <c r="F17" i="26"/>
  <c r="E17" i="26"/>
  <c r="D17" i="26"/>
  <c r="G16" i="26"/>
  <c r="F16" i="26"/>
  <c r="E16" i="26"/>
  <c r="D16" i="26"/>
  <c r="E34" i="25"/>
  <c r="C34" i="25"/>
  <c r="E33" i="25"/>
  <c r="E36" i="25" s="1"/>
  <c r="C33" i="25"/>
  <c r="C36" i="25" s="1"/>
  <c r="F32" i="25"/>
  <c r="D32" i="25"/>
  <c r="F31" i="25"/>
  <c r="D31" i="25"/>
  <c r="F30" i="25"/>
  <c r="D30" i="25"/>
  <c r="F29" i="25"/>
  <c r="D29" i="25"/>
  <c r="F28" i="25"/>
  <c r="D28" i="25"/>
  <c r="F27" i="25"/>
  <c r="D27" i="25"/>
  <c r="E16" i="25"/>
  <c r="C16" i="25"/>
  <c r="E15" i="25"/>
  <c r="E18" i="25" s="1"/>
  <c r="C15" i="25"/>
  <c r="C18" i="25" s="1"/>
  <c r="F14" i="25"/>
  <c r="D14" i="25"/>
  <c r="F13" i="25"/>
  <c r="D13" i="25"/>
  <c r="F12" i="25"/>
  <c r="D12" i="25"/>
  <c r="F11" i="25"/>
  <c r="D11" i="25"/>
  <c r="F10" i="25"/>
  <c r="D10" i="25"/>
  <c r="F9" i="25"/>
  <c r="D9" i="25"/>
  <c r="F35" i="23"/>
  <c r="D35" i="23"/>
  <c r="F34" i="23"/>
  <c r="F37" i="23" s="1"/>
  <c r="D34" i="23"/>
  <c r="D37" i="23" s="1"/>
  <c r="G33" i="23"/>
  <c r="E33" i="23"/>
  <c r="G32" i="23"/>
  <c r="E32" i="23"/>
  <c r="G31" i="23"/>
  <c r="E31" i="23"/>
  <c r="G30" i="23"/>
  <c r="E30" i="23"/>
  <c r="G29" i="23"/>
  <c r="E29" i="23"/>
  <c r="G28" i="23"/>
  <c r="E28" i="23"/>
  <c r="F17" i="23"/>
  <c r="D17" i="23"/>
  <c r="F16" i="23"/>
  <c r="F19" i="23" s="1"/>
  <c r="D16" i="23"/>
  <c r="D19" i="23" s="1"/>
  <c r="G15" i="23"/>
  <c r="E15" i="23"/>
  <c r="G14" i="23"/>
  <c r="E14" i="23"/>
  <c r="G13" i="23"/>
  <c r="E13" i="23"/>
  <c r="G12" i="23"/>
  <c r="E12" i="23"/>
  <c r="G11" i="23"/>
  <c r="E11" i="23"/>
  <c r="G10" i="23"/>
  <c r="E10" i="23"/>
  <c r="E35" i="24"/>
  <c r="C35" i="24"/>
  <c r="E34" i="24"/>
  <c r="E37" i="24" s="1"/>
  <c r="C34" i="24"/>
  <c r="C37" i="24" s="1"/>
  <c r="F33" i="24"/>
  <c r="D33" i="24"/>
  <c r="F32" i="24"/>
  <c r="D32" i="24"/>
  <c r="F31" i="24"/>
  <c r="D31" i="24"/>
  <c r="F30" i="24"/>
  <c r="D30" i="24"/>
  <c r="F29" i="24"/>
  <c r="D29" i="24"/>
  <c r="F28" i="24"/>
  <c r="D28" i="24"/>
  <c r="E17" i="24"/>
  <c r="C17" i="24"/>
  <c r="E16" i="24"/>
  <c r="E19" i="24" s="1"/>
  <c r="C16" i="24"/>
  <c r="C19" i="24" s="1"/>
  <c r="F15" i="24"/>
  <c r="D15" i="24"/>
  <c r="F14" i="24"/>
  <c r="D14" i="24"/>
  <c r="F13" i="24"/>
  <c r="D13" i="24"/>
  <c r="F12" i="24"/>
  <c r="D12" i="24"/>
  <c r="F11" i="24"/>
  <c r="D11" i="24"/>
  <c r="F10" i="24"/>
  <c r="D10" i="24"/>
  <c r="C32" i="18"/>
  <c r="C31" i="18"/>
  <c r="C34" i="18" s="1"/>
  <c r="D30" i="18"/>
  <c r="D29" i="18"/>
  <c r="D28" i="18"/>
  <c r="D27" i="18"/>
  <c r="D26" i="18"/>
  <c r="D25" i="18"/>
  <c r="C15" i="18"/>
  <c r="C14" i="18"/>
  <c r="D13" i="18"/>
  <c r="D12" i="18"/>
  <c r="D11" i="18"/>
  <c r="D10" i="18"/>
  <c r="D9" i="18"/>
  <c r="D8" i="18"/>
  <c r="D31" i="17"/>
  <c r="D30" i="17"/>
  <c r="D29" i="17"/>
  <c r="D28" i="17"/>
  <c r="D27" i="17"/>
  <c r="D26" i="17"/>
  <c r="D25" i="17"/>
  <c r="D24" i="17"/>
  <c r="D23" i="17"/>
  <c r="D22" i="17"/>
  <c r="D21" i="17"/>
  <c r="D20" i="17"/>
  <c r="C15" i="17"/>
  <c r="C16" i="17" s="1"/>
  <c r="B15" i="17"/>
  <c r="C14" i="17"/>
  <c r="D13" i="17" s="1"/>
  <c r="B14" i="17"/>
  <c r="I14" i="48"/>
  <c r="J13" i="48" s="1"/>
  <c r="H14" i="48"/>
  <c r="F14" i="48"/>
  <c r="G13" i="48" s="1"/>
  <c r="E14" i="48"/>
  <c r="C14" i="48"/>
  <c r="D10" i="48" s="1"/>
  <c r="B14" i="48"/>
  <c r="P76" i="15"/>
  <c r="O76" i="15"/>
  <c r="P75" i="15"/>
  <c r="O75" i="15"/>
  <c r="P71" i="15"/>
  <c r="O71" i="15"/>
  <c r="P70" i="15"/>
  <c r="O70" i="15"/>
  <c r="P67" i="15"/>
  <c r="O67" i="15"/>
  <c r="P66" i="15"/>
  <c r="O66" i="15"/>
  <c r="P32" i="15"/>
  <c r="O32" i="15"/>
  <c r="P31" i="15"/>
  <c r="O31" i="15"/>
  <c r="P27" i="15"/>
  <c r="O27" i="15"/>
  <c r="P26" i="15"/>
  <c r="O26" i="15"/>
  <c r="P23" i="15"/>
  <c r="O23" i="15"/>
  <c r="P22" i="15"/>
  <c r="O22" i="15"/>
  <c r="D118" i="47"/>
  <c r="B118" i="47"/>
  <c r="D117" i="47"/>
  <c r="D120" i="47" s="1"/>
  <c r="B117" i="47"/>
  <c r="B121" i="47" s="1"/>
  <c r="E116" i="47"/>
  <c r="C116" i="47"/>
  <c r="E115" i="47"/>
  <c r="C115" i="47"/>
  <c r="E114" i="47"/>
  <c r="C114" i="47"/>
  <c r="D109" i="47"/>
  <c r="B109" i="47"/>
  <c r="D108" i="47"/>
  <c r="D111" i="47" s="1"/>
  <c r="B108" i="47"/>
  <c r="B111" i="47" s="1"/>
  <c r="E107" i="47"/>
  <c r="C107" i="47"/>
  <c r="E106" i="47"/>
  <c r="C106" i="47"/>
  <c r="E105" i="47"/>
  <c r="C105" i="47"/>
  <c r="D100" i="47"/>
  <c r="B100" i="47"/>
  <c r="D99" i="47"/>
  <c r="D102" i="47" s="1"/>
  <c r="B99" i="47"/>
  <c r="B103" i="47" s="1"/>
  <c r="E98" i="47"/>
  <c r="C98" i="47"/>
  <c r="E97" i="47"/>
  <c r="C97" i="47"/>
  <c r="E96" i="47"/>
  <c r="C96" i="47"/>
  <c r="D91" i="47"/>
  <c r="B91" i="47"/>
  <c r="D90" i="47"/>
  <c r="D93" i="47" s="1"/>
  <c r="B90" i="47"/>
  <c r="B94" i="47" s="1"/>
  <c r="E89" i="47"/>
  <c r="C89" i="47"/>
  <c r="E88" i="47"/>
  <c r="C88" i="47"/>
  <c r="E87" i="47"/>
  <c r="C87" i="47"/>
  <c r="D82" i="47"/>
  <c r="B82" i="47"/>
  <c r="D81" i="47"/>
  <c r="D84" i="47" s="1"/>
  <c r="B81" i="47"/>
  <c r="B84" i="47" s="1"/>
  <c r="E80" i="47"/>
  <c r="C80" i="47"/>
  <c r="E79" i="47"/>
  <c r="C79" i="47"/>
  <c r="E78" i="47"/>
  <c r="C78" i="47"/>
  <c r="B73" i="47"/>
  <c r="B72" i="47"/>
  <c r="B75" i="47" s="1"/>
  <c r="E71" i="47"/>
  <c r="C71" i="47"/>
  <c r="E70" i="47"/>
  <c r="C70" i="47"/>
  <c r="E69" i="47"/>
  <c r="C69" i="47"/>
  <c r="D58" i="47"/>
  <c r="B58" i="47"/>
  <c r="D57" i="47"/>
  <c r="D61" i="47" s="1"/>
  <c r="B57" i="47"/>
  <c r="B60" i="47" s="1"/>
  <c r="E56" i="47"/>
  <c r="C56" i="47"/>
  <c r="E55" i="47"/>
  <c r="C55" i="47"/>
  <c r="E54" i="47"/>
  <c r="C54" i="47"/>
  <c r="D49" i="47"/>
  <c r="B49" i="47"/>
  <c r="D48" i="47"/>
  <c r="D52" i="47" s="1"/>
  <c r="B48" i="47"/>
  <c r="B51" i="47" s="1"/>
  <c r="E47" i="47"/>
  <c r="C47" i="47"/>
  <c r="E46" i="47"/>
  <c r="C46" i="47"/>
  <c r="E45" i="47"/>
  <c r="C45" i="47"/>
  <c r="D40" i="47"/>
  <c r="B40" i="47"/>
  <c r="D39" i="47"/>
  <c r="D42" i="47" s="1"/>
  <c r="B39" i="47"/>
  <c r="B43" i="47" s="1"/>
  <c r="E38" i="47"/>
  <c r="C38" i="47"/>
  <c r="E37" i="47"/>
  <c r="C37" i="47"/>
  <c r="E36" i="47"/>
  <c r="C36" i="47"/>
  <c r="D31" i="47"/>
  <c r="B31" i="47"/>
  <c r="D30" i="47"/>
  <c r="D34" i="47" s="1"/>
  <c r="B30" i="47"/>
  <c r="B33" i="47" s="1"/>
  <c r="E29" i="47"/>
  <c r="C29" i="47"/>
  <c r="E28" i="47"/>
  <c r="C28" i="47"/>
  <c r="E27" i="47"/>
  <c r="C27" i="47"/>
  <c r="D22" i="47"/>
  <c r="B22" i="47"/>
  <c r="D21" i="47"/>
  <c r="D25" i="47" s="1"/>
  <c r="B21" i="47"/>
  <c r="B25" i="47" s="1"/>
  <c r="E20" i="47"/>
  <c r="C20" i="47"/>
  <c r="E19" i="47"/>
  <c r="C19" i="47"/>
  <c r="E18" i="47"/>
  <c r="C18" i="47"/>
  <c r="B13" i="47"/>
  <c r="B12" i="47"/>
  <c r="B15" i="47" s="1"/>
  <c r="E11" i="47"/>
  <c r="C11" i="47"/>
  <c r="E10" i="47"/>
  <c r="C10" i="47"/>
  <c r="E9" i="47"/>
  <c r="C9" i="47"/>
  <c r="H26" i="11"/>
  <c r="E26" i="11"/>
  <c r="H25" i="11"/>
  <c r="E25" i="11"/>
  <c r="H24" i="11"/>
  <c r="E24" i="11"/>
  <c r="H23" i="11"/>
  <c r="E23" i="11"/>
  <c r="H22" i="11"/>
  <c r="E22" i="11"/>
  <c r="H21" i="11"/>
  <c r="E21" i="11"/>
  <c r="H20" i="11"/>
  <c r="E20" i="11"/>
  <c r="H14" i="11"/>
  <c r="E14" i="11"/>
  <c r="H13" i="11"/>
  <c r="E13" i="11"/>
  <c r="H12" i="11"/>
  <c r="E12" i="11"/>
  <c r="H11" i="11"/>
  <c r="E11" i="11"/>
  <c r="H10" i="11"/>
  <c r="E10" i="11"/>
  <c r="H9" i="11"/>
  <c r="E9" i="11"/>
  <c r="H8" i="11"/>
  <c r="E8" i="11"/>
  <c r="I7" i="25"/>
  <c r="I25" i="24"/>
  <c r="I7" i="24"/>
  <c r="P80" i="15"/>
  <c r="O80" i="15"/>
  <c r="P79" i="15"/>
  <c r="O79" i="15"/>
  <c r="P36" i="15"/>
  <c r="O36" i="15"/>
  <c r="P35" i="15"/>
  <c r="O35" i="15"/>
  <c r="C17" i="18" l="1"/>
  <c r="D92" i="47"/>
  <c r="D32" i="47"/>
  <c r="B16" i="17"/>
  <c r="C17" i="25"/>
  <c r="D110" i="47"/>
  <c r="D51" i="47"/>
  <c r="E13" i="30"/>
  <c r="F37" i="26"/>
  <c r="D37" i="26"/>
  <c r="G18" i="26"/>
  <c r="F19" i="26"/>
  <c r="D19" i="26"/>
  <c r="E35" i="25"/>
  <c r="C35" i="25"/>
  <c r="E17" i="25"/>
  <c r="E36" i="24"/>
  <c r="C36" i="24"/>
  <c r="E18" i="24"/>
  <c r="C16" i="18"/>
  <c r="J27" i="48"/>
  <c r="D29" i="48"/>
  <c r="D119" i="47"/>
  <c r="D74" i="47"/>
  <c r="D75" i="47"/>
  <c r="B119" i="47"/>
  <c r="B110" i="47"/>
  <c r="B92" i="47"/>
  <c r="D83" i="47"/>
  <c r="D50" i="47"/>
  <c r="B14" i="47"/>
  <c r="B16" i="47"/>
  <c r="C33" i="18"/>
  <c r="B101" i="47"/>
  <c r="B83" i="47"/>
  <c r="D23" i="47"/>
  <c r="D14" i="47"/>
  <c r="B41" i="47"/>
  <c r="G29" i="48"/>
  <c r="G27" i="48"/>
  <c r="G25" i="48"/>
  <c r="G8" i="48"/>
  <c r="G10" i="48"/>
  <c r="G11" i="48"/>
  <c r="G12" i="48"/>
  <c r="D8" i="48"/>
  <c r="J25" i="48"/>
  <c r="J29" i="48"/>
  <c r="G28" i="48"/>
  <c r="D25" i="48"/>
  <c r="D24" i="48"/>
  <c r="J26" i="48"/>
  <c r="D28" i="48"/>
  <c r="D27" i="48"/>
  <c r="J24" i="48"/>
  <c r="F36" i="26"/>
  <c r="G36" i="26"/>
  <c r="D18" i="26"/>
  <c r="E18" i="26"/>
  <c r="D15" i="47"/>
  <c r="E36" i="26"/>
  <c r="E27" i="30"/>
  <c r="C27" i="30"/>
  <c r="F36" i="23"/>
  <c r="F18" i="23"/>
  <c r="D18" i="23"/>
  <c r="D8" i="17"/>
  <c r="D10" i="17"/>
  <c r="D121" i="47"/>
  <c r="D112" i="47"/>
  <c r="B112" i="47"/>
  <c r="D94" i="47"/>
  <c r="D85" i="47"/>
  <c r="B85" i="47"/>
  <c r="B74" i="47"/>
  <c r="B76" i="47"/>
  <c r="D59" i="47"/>
  <c r="D60" i="47"/>
  <c r="B59" i="47"/>
  <c r="B61" i="47"/>
  <c r="D41" i="47"/>
  <c r="D43" i="47"/>
  <c r="B42" i="47"/>
  <c r="D33" i="47"/>
  <c r="B32" i="47"/>
  <c r="B34" i="47"/>
  <c r="D24" i="47"/>
  <c r="B93" i="47"/>
  <c r="B120" i="47"/>
  <c r="J10" i="48"/>
  <c r="D11" i="48"/>
  <c r="F18" i="26"/>
  <c r="D36" i="26"/>
  <c r="B23" i="47"/>
  <c r="B50" i="47"/>
  <c r="D101" i="47"/>
  <c r="J11" i="48"/>
  <c r="C18" i="24"/>
  <c r="D36" i="23"/>
  <c r="B102" i="47"/>
  <c r="D12" i="48"/>
  <c r="D9" i="17"/>
  <c r="J8" i="48"/>
  <c r="J12" i="48"/>
  <c r="D11" i="17"/>
  <c r="B24" i="47"/>
  <c r="B52" i="47"/>
  <c r="D103" i="47"/>
  <c r="D9" i="48"/>
  <c r="D13" i="48"/>
  <c r="D12" i="17"/>
  <c r="G9" i="48"/>
  <c r="J9" i="48"/>
  <c r="D14" i="17" l="1"/>
  <c r="G30" i="48"/>
  <c r="G31" i="48"/>
  <c r="G32" i="48" s="1"/>
  <c r="G14" i="48"/>
  <c r="G15" i="48"/>
  <c r="D30" i="48"/>
  <c r="D31" i="48"/>
  <c r="J30" i="48"/>
  <c r="J31" i="48"/>
  <c r="J15" i="48"/>
  <c r="J14" i="48"/>
  <c r="D15" i="48"/>
  <c r="D14" i="48"/>
  <c r="D15" i="17"/>
  <c r="D16" i="17" s="1"/>
  <c r="J32" i="48" l="1"/>
  <c r="B33" i="48"/>
  <c r="B34" i="48" s="1"/>
  <c r="G16" i="48"/>
  <c r="D32" i="48"/>
  <c r="B17" i="48"/>
  <c r="B18" i="48" s="1"/>
  <c r="D16" i="48"/>
  <c r="J16" i="48"/>
</calcChain>
</file>

<file path=xl/sharedStrings.xml><?xml version="1.0" encoding="utf-8"?>
<sst xmlns="http://schemas.openxmlformats.org/spreadsheetml/2006/main" count="655" uniqueCount="211">
  <si>
    <t>LLOQ</t>
  </si>
  <si>
    <t>HQC</t>
  </si>
  <si>
    <t>MQC</t>
  </si>
  <si>
    <t>LQC</t>
  </si>
  <si>
    <t>SD</t>
  </si>
  <si>
    <t>n</t>
  </si>
  <si>
    <t>ng/mL</t>
  </si>
  <si>
    <t xml:space="preserve"> LQC</t>
  </si>
  <si>
    <r>
      <t xml:space="preserve"> </t>
    </r>
    <r>
      <rPr>
        <sz val="10.5"/>
        <rFont val="宋体"/>
        <family val="3"/>
        <charset val="134"/>
      </rPr>
      <t>样品名称</t>
    </r>
  </si>
  <si>
    <r>
      <rPr>
        <sz val="10.5"/>
        <rFont val="宋体"/>
        <family val="3"/>
        <charset val="134"/>
      </rPr>
      <t>检测批次编号</t>
    </r>
  </si>
  <si>
    <r>
      <rPr>
        <sz val="10.5"/>
        <rFont val="宋体"/>
        <family val="3"/>
        <charset val="134"/>
      </rPr>
      <t>检测内容</t>
    </r>
  </si>
  <si>
    <r>
      <rPr>
        <sz val="10.5"/>
        <rFont val="宋体"/>
        <family val="3"/>
        <charset val="134"/>
      </rPr>
      <t>检测日期</t>
    </r>
  </si>
  <si>
    <r>
      <rPr>
        <sz val="10.5"/>
        <rFont val="宋体"/>
        <family val="3"/>
        <charset val="134"/>
      </rPr>
      <t>序号</t>
    </r>
  </si>
  <si>
    <r>
      <rPr>
        <sz val="10.5"/>
        <rFont val="宋体"/>
        <family val="3"/>
        <charset val="134"/>
      </rPr>
      <t>不同来源基质的编号</t>
    </r>
  </si>
  <si>
    <r>
      <rPr>
        <sz val="10.5"/>
        <rFont val="宋体"/>
        <family val="3"/>
        <charset val="134"/>
      </rPr>
      <t>内标响应值</t>
    </r>
  </si>
  <si>
    <r>
      <rPr>
        <sz val="10.5"/>
        <rFont val="宋体"/>
        <family val="3"/>
        <charset val="134"/>
      </rPr>
      <t>空白基质</t>
    </r>
  </si>
  <si>
    <r>
      <rPr>
        <sz val="10.5"/>
        <rFont val="宋体"/>
        <family val="3"/>
        <charset val="134"/>
      </rPr>
      <t>平均值</t>
    </r>
  </si>
  <si>
    <t>ng/mL</t>
    <phoneticPr fontId="6" type="noConversion"/>
  </si>
  <si>
    <r>
      <rPr>
        <sz val="10.5"/>
        <color indexed="8"/>
        <rFont val="宋体"/>
        <family val="3"/>
        <charset val="134"/>
      </rPr>
      <t>平均值</t>
    </r>
  </si>
  <si>
    <r>
      <rPr>
        <sz val="10.5"/>
        <rFont val="宋体"/>
        <family val="3"/>
        <charset val="134"/>
      </rPr>
      <t>样品编号</t>
    </r>
  </si>
  <si>
    <r>
      <t>T</t>
    </r>
    <r>
      <rPr>
        <vertAlign val="subscript"/>
        <sz val="10.5"/>
        <rFont val="Times New Roman"/>
        <family val="1"/>
      </rPr>
      <t>0</t>
    </r>
  </si>
  <si>
    <r>
      <t xml:space="preserve"> </t>
    </r>
    <r>
      <rPr>
        <sz val="10.5"/>
        <rFont val="宋体"/>
        <family val="3"/>
        <charset val="134"/>
      </rPr>
      <t>检测批次编号</t>
    </r>
    <phoneticPr fontId="6" type="noConversion"/>
  </si>
  <si>
    <r>
      <t>T</t>
    </r>
    <r>
      <rPr>
        <vertAlign val="subscript"/>
        <sz val="10.5"/>
        <rFont val="Times New Roman"/>
        <family val="1"/>
      </rPr>
      <t>x</t>
    </r>
    <phoneticPr fontId="6" type="noConversion"/>
  </si>
  <si>
    <t>ng/mL</t>
    <phoneticPr fontId="6" type="noConversion"/>
  </si>
  <si>
    <r>
      <rPr>
        <sz val="10.5"/>
        <rFont val="宋体"/>
        <family val="3"/>
        <charset val="134"/>
      </rPr>
      <t>浓度</t>
    </r>
    <phoneticPr fontId="6" type="noConversion"/>
  </si>
  <si>
    <r>
      <rPr>
        <sz val="10.5"/>
        <rFont val="宋体"/>
        <family val="3"/>
        <charset val="134"/>
      </rPr>
      <t>待测物与内标的峰面积比</t>
    </r>
    <phoneticPr fontId="6" type="noConversion"/>
  </si>
  <si>
    <r>
      <rPr>
        <sz val="10.5"/>
        <rFont val="宋体"/>
        <family val="3"/>
        <charset val="134"/>
      </rPr>
      <t>检测日期</t>
    </r>
    <phoneticPr fontId="6" type="noConversion"/>
  </si>
  <si>
    <t>放置时间：</t>
  </si>
  <si>
    <t>表23：溶血效应</t>
  </si>
  <si>
    <t>表22：全血稳定性</t>
  </si>
  <si>
    <t>表20：处理后样品的稳定性</t>
  </si>
  <si>
    <t>表19：冻融稳定性</t>
  </si>
  <si>
    <t xml:space="preserve">表18：生物样品前处理过程中的短期稳定性 </t>
  </si>
  <si>
    <t>表13：稀释可靠性</t>
  </si>
  <si>
    <t>表12：内标回收率：以内标与提取待测物的峰面积比计</t>
  </si>
  <si>
    <t>表9：批内/批间样品检测的精密度和准确度</t>
  </si>
  <si>
    <t>表4：选择性考察</t>
  </si>
  <si>
    <t>表1：批量样品检测情况列表</t>
  </si>
  <si>
    <t>干扰（%）</t>
  </si>
  <si>
    <t>CV（%）</t>
  </si>
  <si>
    <t>准确度（%）</t>
  </si>
  <si>
    <t>差异（%）</t>
  </si>
  <si>
    <t>准确度偏差（%）</t>
  </si>
  <si>
    <t>提取回收率（%）</t>
  </si>
  <si>
    <t>批内CV（%）</t>
  </si>
  <si>
    <t>批内准确度偏差（%）</t>
  </si>
  <si>
    <r>
      <rPr>
        <sz val="10.5"/>
        <rFont val="宋体"/>
        <family val="3"/>
        <charset val="134"/>
      </rPr>
      <t>待测物响应值</t>
    </r>
    <phoneticPr fontId="6" type="noConversion"/>
  </si>
  <si>
    <r>
      <rPr>
        <sz val="10.5"/>
        <rFont val="宋体"/>
        <family val="3"/>
        <charset val="134"/>
      </rPr>
      <t>放置时间：</t>
    </r>
  </si>
  <si>
    <r>
      <rPr>
        <sz val="10.5"/>
        <color theme="1"/>
        <rFont val="宋体"/>
        <family val="3"/>
        <charset val="134"/>
      </rPr>
      <t>检测日期</t>
    </r>
    <phoneticPr fontId="6" type="noConversion"/>
  </si>
  <si>
    <r>
      <rPr>
        <sz val="10.5"/>
        <rFont val="宋体"/>
        <family val="3"/>
        <charset val="134"/>
      </rPr>
      <t>浓度</t>
    </r>
    <phoneticPr fontId="6" type="noConversion"/>
  </si>
  <si>
    <r>
      <rPr>
        <sz val="10.5"/>
        <rFont val="宋体"/>
        <family val="3"/>
        <charset val="134"/>
      </rPr>
      <t>样品处理完成时间：</t>
    </r>
  </si>
  <si>
    <r>
      <rPr>
        <sz val="10.5"/>
        <rFont val="宋体"/>
        <family val="3"/>
        <charset val="134"/>
      </rPr>
      <t>该样品第一针进样时间：</t>
    </r>
  </si>
  <si>
    <r>
      <rPr>
        <sz val="10.5"/>
        <rFont val="宋体"/>
        <family val="3"/>
        <charset val="134"/>
      </rPr>
      <t>样品放置开始时间：</t>
    </r>
  </si>
  <si>
    <r>
      <rPr>
        <sz val="10.5"/>
        <rFont val="宋体"/>
        <family val="3"/>
        <charset val="134"/>
      </rPr>
      <t>备注：</t>
    </r>
  </si>
  <si>
    <t>Max</t>
    <phoneticPr fontId="6" type="noConversion"/>
  </si>
  <si>
    <t>Min</t>
    <phoneticPr fontId="6" type="noConversion"/>
  </si>
  <si>
    <t>批内</t>
    <phoneticPr fontId="6" type="noConversion"/>
  </si>
  <si>
    <t>批间</t>
    <phoneticPr fontId="6" type="noConversion"/>
  </si>
  <si>
    <t>%Bias</t>
    <phoneticPr fontId="6" type="noConversion"/>
  </si>
  <si>
    <t>%CV</t>
    <phoneticPr fontId="6" type="noConversion"/>
  </si>
  <si>
    <t>LLOQ</t>
    <phoneticPr fontId="6" type="noConversion"/>
  </si>
  <si>
    <t>GMQC</t>
    <phoneticPr fontId="6" type="noConversion"/>
  </si>
  <si>
    <t>MQC</t>
    <phoneticPr fontId="6" type="noConversion"/>
  </si>
  <si>
    <r>
      <rPr>
        <sz val="10.5"/>
        <rFont val="宋体"/>
        <family val="3"/>
        <charset val="134"/>
      </rPr>
      <t>生物基质批号</t>
    </r>
  </si>
  <si>
    <r>
      <rPr>
        <sz val="10.5"/>
        <rFont val="宋体"/>
        <family val="3"/>
        <charset val="134"/>
      </rPr>
      <t>准确度偏差</t>
    </r>
    <r>
      <rPr>
        <sz val="10.5"/>
        <rFont val="Times New Roman"/>
        <family val="1"/>
      </rPr>
      <t>%</t>
    </r>
  </si>
  <si>
    <t>%CV</t>
  </si>
  <si>
    <r>
      <rPr>
        <sz val="10.5"/>
        <rFont val="宋体"/>
        <family val="3"/>
        <charset val="134"/>
      </rPr>
      <t>准确度</t>
    </r>
    <r>
      <rPr>
        <sz val="10.5"/>
        <rFont val="Times New Roman"/>
        <family val="1"/>
      </rPr>
      <t>%</t>
    </r>
  </si>
  <si>
    <t>ng/mL</t>
    <phoneticPr fontId="20" type="noConversion"/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</si>
  <si>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1</t>
    </r>
    <phoneticPr fontId="6" type="noConversion"/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</si>
  <si>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2</t>
    </r>
    <r>
      <rPr>
        <sz val="11"/>
        <color theme="1"/>
        <rFont val="DengXian"/>
        <family val="2"/>
        <charset val="134"/>
        <scheme val="minor"/>
      </rPr>
      <t/>
    </r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</si>
  <si>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3</t>
    </r>
    <r>
      <rPr>
        <sz val="11"/>
        <color theme="1"/>
        <rFont val="DengXian"/>
        <family val="2"/>
        <charset val="134"/>
        <scheme val="minor"/>
      </rPr>
      <t/>
    </r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</si>
  <si>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4</t>
    </r>
    <r>
      <rPr>
        <sz val="11"/>
        <color theme="1"/>
        <rFont val="DengXian"/>
        <family val="2"/>
        <charset val="134"/>
        <scheme val="minor"/>
      </rPr>
      <t/>
    </r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</si>
  <si>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5</t>
    </r>
    <r>
      <rPr>
        <sz val="11"/>
        <color theme="1"/>
        <rFont val="DengXian"/>
        <family val="2"/>
        <charset val="134"/>
        <scheme val="minor"/>
      </rPr>
      <t/>
    </r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</si>
  <si>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6</t>
    </r>
    <r>
      <rPr>
        <sz val="11"/>
        <color theme="1"/>
        <rFont val="DengXian"/>
        <family val="2"/>
        <charset val="134"/>
        <scheme val="minor"/>
      </rPr>
      <t/>
    </r>
  </si>
  <si>
    <t>NA</t>
    <phoneticPr fontId="6" type="noConversion"/>
  </si>
  <si>
    <t xml:space="preserve"> </t>
    <phoneticPr fontId="6" type="noConversion"/>
  </si>
  <si>
    <r>
      <rPr>
        <sz val="10.5"/>
        <rFont val="宋体"/>
        <family val="3"/>
        <charset val="134"/>
      </rPr>
      <t>未提取的峰面积比</t>
    </r>
  </si>
  <si>
    <r>
      <rPr>
        <sz val="10.5"/>
        <rFont val="宋体"/>
        <family val="3"/>
        <charset val="134"/>
      </rPr>
      <t>提取后峰面积比</t>
    </r>
  </si>
  <si>
    <r>
      <rPr>
        <sz val="10.5"/>
        <color indexed="8"/>
        <rFont val="宋体"/>
        <family val="3"/>
        <charset val="134"/>
      </rPr>
      <t>提取后峰面积比</t>
    </r>
    <phoneticPr fontId="47" type="noConversion"/>
  </si>
  <si>
    <r>
      <rPr>
        <sz val="10.5"/>
        <color indexed="8"/>
        <rFont val="宋体"/>
        <family val="3"/>
        <charset val="134"/>
      </rPr>
      <t>未提取的峰面积比</t>
    </r>
    <r>
      <rPr>
        <sz val="10.5"/>
        <color indexed="8"/>
        <rFont val="Times New Roman"/>
        <family val="1"/>
      </rPr>
      <t xml:space="preserve"> </t>
    </r>
  </si>
  <si>
    <r>
      <rPr>
        <sz val="10.5"/>
        <color indexed="8"/>
        <rFont val="宋体"/>
        <family val="3"/>
        <charset val="134"/>
      </rPr>
      <t>平均值</t>
    </r>
    <phoneticPr fontId="47" type="noConversion"/>
  </si>
  <si>
    <t>拒绝批：</t>
    <phoneticPr fontId="6" type="noConversion"/>
  </si>
  <si>
    <t>接受批：</t>
    <phoneticPr fontId="6" type="noConversion"/>
  </si>
  <si>
    <r>
      <rPr>
        <sz val="10.5"/>
        <rFont val="宋体"/>
        <family val="3"/>
        <charset val="134"/>
      </rPr>
      <t>总体回收率</t>
    </r>
    <r>
      <rPr>
        <sz val="10.5"/>
        <rFont val="Times New Roman"/>
        <family val="1"/>
      </rPr>
      <t>%</t>
    </r>
  </si>
  <si>
    <r>
      <rPr>
        <sz val="10.5"/>
        <rFont val="宋体"/>
        <family val="3"/>
        <charset val="134"/>
      </rPr>
      <t>总体变异</t>
    </r>
    <r>
      <rPr>
        <sz val="10.5"/>
        <rFont val="Times New Roman"/>
        <family val="1"/>
      </rPr>
      <t>%CV</t>
    </r>
    <phoneticPr fontId="20" type="noConversion"/>
  </si>
  <si>
    <t>干扰 （%）</t>
  </si>
  <si>
    <t>准确度偏差 （%）</t>
  </si>
  <si>
    <t>批内CV （%）</t>
  </si>
  <si>
    <t>批内准确度偏差 （%）</t>
  </si>
  <si>
    <t>批间CV （%）</t>
  </si>
  <si>
    <t>批间准确度偏差 （%）</t>
  </si>
  <si>
    <t>CV （%）</t>
  </si>
  <si>
    <t>准确度 （%）</t>
  </si>
  <si>
    <t>差异 （%）</t>
  </si>
  <si>
    <t>#表示不符合接受标准，仍参与统计计算</t>
  </si>
  <si>
    <r>
      <rPr>
        <sz val="10.5"/>
        <rFont val="宋体"/>
        <family val="3"/>
        <charset val="134"/>
      </rPr>
      <t>试验条件：在超低温冷冻冰箱（</t>
    </r>
    <r>
      <rPr>
        <sz val="10.5"/>
        <rFont val="Times New Roman"/>
        <family val="1"/>
      </rPr>
      <t>-70~-90 °C</t>
    </r>
    <r>
      <rPr>
        <sz val="10.5"/>
        <rFont val="宋体"/>
        <family val="3"/>
        <charset val="134"/>
      </rPr>
      <t>）冻存至少</t>
    </r>
    <r>
      <rPr>
        <sz val="10.5"/>
        <rFont val="Times New Roman"/>
        <family val="1"/>
      </rPr>
      <t>12</t>
    </r>
    <r>
      <rPr>
        <sz val="10.5"/>
        <rFont val="宋体"/>
        <family val="3"/>
        <charset val="134"/>
      </rPr>
      <t>小时，在室温白光条件下融化。</t>
    </r>
    <phoneticPr fontId="6" type="noConversion"/>
  </si>
  <si>
    <t>RESS25071-AS</t>
  </si>
  <si>
    <t>RESS25071-AS</t>
    <phoneticPr fontId="6" type="noConversion"/>
  </si>
  <si>
    <t>RESS25071-SS</t>
  </si>
  <si>
    <t>RESS25071-SS</t>
    <phoneticPr fontId="6" type="noConversion"/>
  </si>
  <si>
    <r>
      <rPr>
        <sz val="10.5"/>
        <rFont val="宋体"/>
        <family val="3"/>
        <charset val="134"/>
      </rPr>
      <t>试验条件：全血样品在室温白光下放置</t>
    </r>
    <r>
      <rPr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小时后的稳定性</t>
    </r>
    <phoneticPr fontId="6" type="noConversion"/>
  </si>
  <si>
    <r>
      <rPr>
        <sz val="10.5"/>
        <rFont val="宋体"/>
        <family val="3"/>
        <charset val="134"/>
      </rPr>
      <t>冻融循环次数</t>
    </r>
  </si>
  <si>
    <r>
      <t>5</t>
    </r>
    <r>
      <rPr>
        <sz val="10.5"/>
        <rFont val="宋体"/>
        <family val="3"/>
        <charset val="134"/>
      </rPr>
      <t>次</t>
    </r>
  </si>
  <si>
    <r>
      <rPr>
        <sz val="10.5"/>
        <rFont val="宋体"/>
        <family val="3"/>
        <charset val="134"/>
      </rPr>
      <t>样品放置结束时间：</t>
    </r>
  </si>
  <si>
    <r>
      <t>RESS25071-AS</t>
    </r>
    <r>
      <rPr>
        <sz val="10.5"/>
        <rFont val="宋体"/>
        <family val="3"/>
        <charset val="134"/>
      </rPr>
      <t>选择性</t>
    </r>
    <phoneticPr fontId="6" type="noConversion"/>
  </si>
  <si>
    <r>
      <t>RESS25071-SS</t>
    </r>
    <r>
      <rPr>
        <sz val="10.5"/>
        <rFont val="宋体"/>
        <family val="3"/>
        <charset val="134"/>
      </rPr>
      <t>选择性</t>
    </r>
    <phoneticPr fontId="6" type="noConversion"/>
  </si>
  <si>
    <r>
      <rPr>
        <sz val="10.5"/>
        <rFont val="宋体"/>
        <family val="3"/>
        <charset val="134"/>
      </rPr>
      <t>符合接受标准的标曲样品定量下限内标</t>
    </r>
    <r>
      <rPr>
        <sz val="10.5"/>
        <rFont val="Times New Roman"/>
        <family val="1"/>
      </rPr>
      <t>ISSS25071</t>
    </r>
    <r>
      <rPr>
        <sz val="10.5"/>
        <rFont val="宋体"/>
        <family val="3"/>
        <charset val="134"/>
      </rPr>
      <t>的平均峰面积值</t>
    </r>
    <phoneticPr fontId="6" type="noConversion"/>
  </si>
  <si>
    <r>
      <rPr>
        <sz val="10.5"/>
        <rFont val="宋体"/>
        <family val="3"/>
        <charset val="134"/>
      </rPr>
      <t>内标</t>
    </r>
    <r>
      <rPr>
        <sz val="10.5"/>
        <rFont val="Times New Roman"/>
        <family val="1"/>
      </rPr>
      <t>ISSS25071</t>
    </r>
    <r>
      <rPr>
        <sz val="10.5"/>
        <rFont val="宋体"/>
        <family val="3"/>
        <charset val="134"/>
      </rPr>
      <t>保留时间处的峰面积</t>
    </r>
    <phoneticPr fontId="6" type="noConversion"/>
  </si>
  <si>
    <r>
      <rPr>
        <sz val="10.5"/>
        <rFont val="宋体"/>
        <family val="3"/>
        <charset val="134"/>
      </rPr>
      <t>符合接受标准的标曲样品定量下限的内标</t>
    </r>
    <r>
      <rPr>
        <sz val="10.5"/>
        <rFont val="Times New Roman"/>
        <family val="1"/>
      </rPr>
      <t>ISSS25071</t>
    </r>
    <r>
      <rPr>
        <sz val="10.5"/>
        <rFont val="宋体"/>
        <family val="3"/>
        <charset val="134"/>
      </rPr>
      <t>的峰面积（均）值</t>
    </r>
    <phoneticPr fontId="6" type="noConversion"/>
  </si>
  <si>
    <r>
      <rPr>
        <sz val="10.5"/>
        <rFont val="宋体"/>
        <family val="3"/>
        <charset val="134"/>
      </rPr>
      <t>干扰占</t>
    </r>
    <r>
      <rPr>
        <sz val="10.5"/>
        <rFont val="Times New Roman"/>
        <family val="1"/>
      </rPr>
      <t xml:space="preserve">ISSS25071
</t>
    </r>
    <r>
      <rPr>
        <sz val="10.5"/>
        <rFont val="宋体"/>
        <family val="3"/>
        <charset val="134"/>
      </rPr>
      <t>的百分比（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  <phoneticPr fontId="6" type="noConversion"/>
  </si>
  <si>
    <r>
      <rPr>
        <sz val="10.5"/>
        <rFont val="宋体"/>
        <family val="3"/>
        <charset val="134"/>
      </rPr>
      <t>内标对待测物</t>
    </r>
    <r>
      <rPr>
        <sz val="10.5"/>
        <rFont val="Times New Roman"/>
        <family val="1"/>
      </rPr>
      <t>RESS25071-AS</t>
    </r>
    <r>
      <rPr>
        <sz val="10.5"/>
        <rFont val="宋体"/>
        <family val="3"/>
        <charset val="134"/>
      </rPr>
      <t>的干扰</t>
    </r>
    <phoneticPr fontId="6" type="noConversion"/>
  </si>
  <si>
    <r>
      <rPr>
        <sz val="10.5"/>
        <rFont val="宋体"/>
        <family val="3"/>
        <charset val="134"/>
      </rPr>
      <t>待测物</t>
    </r>
    <r>
      <rPr>
        <sz val="10.5"/>
        <rFont val="Times New Roman"/>
        <family val="1"/>
      </rPr>
      <t>RESS25071-AS</t>
    </r>
    <r>
      <rPr>
        <sz val="10.5"/>
        <rFont val="宋体"/>
        <family val="3"/>
        <charset val="134"/>
      </rPr>
      <t>对内标的干扰</t>
    </r>
    <phoneticPr fontId="6" type="noConversion"/>
  </si>
  <si>
    <r>
      <rPr>
        <sz val="10.5"/>
        <rFont val="宋体"/>
        <family val="3"/>
        <charset val="134"/>
      </rPr>
      <t>待测物</t>
    </r>
    <r>
      <rPr>
        <sz val="10.5"/>
        <rFont val="Times New Roman"/>
        <family val="1"/>
      </rPr>
      <t>RESS25071-AS</t>
    </r>
    <r>
      <rPr>
        <sz val="10.5"/>
        <rFont val="宋体"/>
        <family val="3"/>
        <charset val="134"/>
      </rPr>
      <t>保留时间处的峰面积</t>
    </r>
    <phoneticPr fontId="6" type="noConversion"/>
  </si>
  <si>
    <r>
      <rPr>
        <sz val="10.5"/>
        <rFont val="宋体"/>
        <family val="3"/>
        <charset val="134"/>
      </rPr>
      <t>干扰占</t>
    </r>
    <r>
      <rPr>
        <sz val="10.5"/>
        <rFont val="Times New Roman"/>
        <family val="1"/>
      </rPr>
      <t xml:space="preserve">RESS25071-AS
</t>
    </r>
    <r>
      <rPr>
        <sz val="10.5"/>
        <rFont val="宋体"/>
        <family val="3"/>
        <charset val="134"/>
      </rPr>
      <t>的百分比（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  <phoneticPr fontId="6" type="noConversion"/>
  </si>
  <si>
    <r>
      <rPr>
        <sz val="10.5"/>
        <rFont val="宋体"/>
        <family val="3"/>
        <charset val="134"/>
      </rPr>
      <t>待测物</t>
    </r>
    <r>
      <rPr>
        <sz val="10.5"/>
        <rFont val="Times New Roman"/>
        <family val="1"/>
      </rPr>
      <t>RESS25071-SS</t>
    </r>
    <r>
      <rPr>
        <sz val="10.5"/>
        <rFont val="宋体"/>
        <family val="3"/>
        <charset val="134"/>
      </rPr>
      <t>对内标的干扰</t>
    </r>
    <phoneticPr fontId="6" type="noConversion"/>
  </si>
  <si>
    <r>
      <rPr>
        <sz val="10.5"/>
        <rFont val="宋体"/>
        <family val="3"/>
        <charset val="134"/>
      </rPr>
      <t>内标对待测物</t>
    </r>
    <r>
      <rPr>
        <sz val="10.5"/>
        <rFont val="Times New Roman"/>
        <family val="1"/>
      </rPr>
      <t>RESS25071-SS</t>
    </r>
    <r>
      <rPr>
        <sz val="10.5"/>
        <rFont val="宋体"/>
        <family val="3"/>
        <charset val="134"/>
      </rPr>
      <t>的干扰</t>
    </r>
    <phoneticPr fontId="6" type="noConversion"/>
  </si>
  <si>
    <r>
      <rPr>
        <sz val="10.5"/>
        <rFont val="宋体"/>
        <family val="3"/>
        <charset val="134"/>
      </rPr>
      <t>待测物</t>
    </r>
    <r>
      <rPr>
        <sz val="10.5"/>
        <rFont val="Times New Roman"/>
        <family val="1"/>
      </rPr>
      <t>RESS25071-SS</t>
    </r>
    <r>
      <rPr>
        <sz val="10.5"/>
        <rFont val="宋体"/>
        <family val="3"/>
        <charset val="134"/>
      </rPr>
      <t>保留时间处的峰面积</t>
    </r>
    <phoneticPr fontId="6" type="noConversion"/>
  </si>
  <si>
    <r>
      <rPr>
        <sz val="10.5"/>
        <rFont val="宋体"/>
        <family val="3"/>
        <charset val="134"/>
      </rPr>
      <t>符合接受标准的标曲样品定量下限</t>
    </r>
    <r>
      <rPr>
        <sz val="10.5"/>
        <rFont val="Times New Roman"/>
        <family val="1"/>
      </rPr>
      <t>RESS25071-SS</t>
    </r>
    <r>
      <rPr>
        <sz val="10.5"/>
        <rFont val="宋体"/>
        <family val="3"/>
        <charset val="134"/>
      </rPr>
      <t>峰面积（均）值</t>
    </r>
    <phoneticPr fontId="6" type="noConversion"/>
  </si>
  <si>
    <r>
      <rPr>
        <sz val="10.5"/>
        <rFont val="宋体"/>
        <family val="3"/>
        <charset val="134"/>
      </rPr>
      <t>干扰占</t>
    </r>
    <r>
      <rPr>
        <sz val="10.5"/>
        <rFont val="Times New Roman"/>
        <family val="1"/>
      </rPr>
      <t xml:space="preserve">RESS25071-SS
</t>
    </r>
    <r>
      <rPr>
        <sz val="10.5"/>
        <rFont val="宋体"/>
        <family val="3"/>
        <charset val="134"/>
      </rPr>
      <t>的百分比（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  <phoneticPr fontId="6" type="noConversion"/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</si>
  <si>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：待测物与内标间的干扰</t>
    </r>
    <phoneticPr fontId="6" type="noConversion"/>
  </si>
  <si>
    <r>
      <t>DQC</t>
    </r>
    <r>
      <rPr>
        <sz val="10.5"/>
        <rFont val="宋体"/>
        <family val="3"/>
        <charset val="134"/>
      </rPr>
      <t>（稀释倍数</t>
    </r>
    <r>
      <rPr>
        <sz val="10.5"/>
        <rFont val="Times New Roman"/>
        <family val="1"/>
      </rPr>
      <t>50</t>
    </r>
    <r>
      <rPr>
        <sz val="10.5"/>
        <rFont val="宋体"/>
        <family val="3"/>
        <charset val="134"/>
      </rPr>
      <t>倍）</t>
    </r>
    <phoneticPr fontId="6" type="noConversion"/>
  </si>
  <si>
    <r>
      <rPr>
        <sz val="10.5"/>
        <rFont val="宋体"/>
        <family val="3"/>
        <charset val="134"/>
      </rPr>
      <t>平均值</t>
    </r>
    <phoneticPr fontId="6" type="noConversion"/>
  </si>
  <si>
    <r>
      <rPr>
        <sz val="10.5"/>
        <rFont val="宋体"/>
        <family val="3"/>
        <charset val="134"/>
      </rPr>
      <t>工作液浓度：</t>
    </r>
    <r>
      <rPr>
        <sz val="10.5"/>
        <rFont val="Times New Roman"/>
        <family val="1"/>
      </rPr>
      <t>10000.000 ng/mL</t>
    </r>
    <phoneticPr fontId="6" type="noConversion"/>
  </si>
  <si>
    <r>
      <rPr>
        <sz val="10.5"/>
        <rFont val="宋体"/>
        <family val="3"/>
        <charset val="134"/>
      </rPr>
      <t>提取后内标峰面积比</t>
    </r>
  </si>
  <si>
    <r>
      <rPr>
        <sz val="10.5"/>
        <rFont val="宋体"/>
        <family val="3"/>
        <charset val="134"/>
      </rPr>
      <t>未提取内标峰面积比</t>
    </r>
  </si>
  <si>
    <r>
      <rPr>
        <sz val="10.5"/>
        <rFont val="宋体"/>
        <family val="3"/>
        <charset val="134"/>
      </rPr>
      <t>样品名称</t>
    </r>
    <phoneticPr fontId="6" type="noConversion"/>
  </si>
  <si>
    <r>
      <rPr>
        <sz val="10.5"/>
        <rFont val="宋体"/>
        <family val="3"/>
        <charset val="134"/>
      </rPr>
      <t>待测物峰面积</t>
    </r>
    <phoneticPr fontId="6" type="noConversion"/>
  </si>
  <si>
    <r>
      <rPr>
        <sz val="10.5"/>
        <rFont val="宋体"/>
        <family val="3"/>
        <charset val="134"/>
      </rPr>
      <t>内标峰面积</t>
    </r>
    <phoneticPr fontId="6" type="noConversion"/>
  </si>
  <si>
    <r>
      <rPr>
        <sz val="10.5"/>
        <rFont val="宋体"/>
        <family val="3"/>
        <charset val="134"/>
      </rPr>
      <t>内标峰面积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待测物峰面积</t>
    </r>
    <phoneticPr fontId="6" type="noConversion"/>
  </si>
  <si>
    <t>EQ2019F2</t>
    <phoneticPr fontId="6" type="noConversion"/>
  </si>
  <si>
    <r>
      <rPr>
        <sz val="10.5"/>
        <rFont val="宋体"/>
        <family val="3"/>
        <charset val="134"/>
      </rPr>
      <t>是</t>
    </r>
  </si>
  <si>
    <r>
      <rPr>
        <sz val="10.5"/>
        <rFont val="宋体"/>
        <family val="3"/>
        <charset val="134"/>
      </rPr>
      <t>符合接受标准的标曲样品定量下限</t>
    </r>
    <r>
      <rPr>
        <sz val="10.5"/>
        <rFont val="Times New Roman"/>
        <family val="1"/>
      </rPr>
      <t>RESS25071-AS</t>
    </r>
    <r>
      <rPr>
        <sz val="10.5"/>
        <rFont val="宋体"/>
        <family val="3"/>
        <charset val="134"/>
      </rPr>
      <t>峰面积（均）值</t>
    </r>
    <phoneticPr fontId="6" type="noConversion"/>
  </si>
  <si>
    <t>#348.489</t>
    <phoneticPr fontId="6" type="noConversion"/>
  </si>
  <si>
    <r>
      <rPr>
        <sz val="10.5"/>
        <rFont val="宋体"/>
        <family val="3"/>
        <charset val="134"/>
      </rPr>
      <t>批内均值</t>
    </r>
    <phoneticPr fontId="6" type="noConversion"/>
  </si>
  <si>
    <r>
      <rPr>
        <sz val="10.5"/>
        <rFont val="宋体"/>
        <family val="3"/>
        <charset val="134"/>
      </rPr>
      <t>批内</t>
    </r>
    <r>
      <rPr>
        <sz val="10.5"/>
        <rFont val="Times New Roman"/>
        <family val="1"/>
      </rPr>
      <t>SD</t>
    </r>
  </si>
  <si>
    <r>
      <rPr>
        <sz val="10.5"/>
        <rFont val="宋体"/>
        <family val="3"/>
        <charset val="134"/>
      </rPr>
      <t>除</t>
    </r>
    <r>
      <rPr>
        <sz val="10.5"/>
        <rFont val="Times New Roman"/>
        <family val="1"/>
      </rPr>
      <t>LLOQ</t>
    </r>
    <r>
      <rPr>
        <sz val="10.5"/>
        <rFont val="宋体"/>
        <family val="3"/>
        <charset val="134"/>
      </rPr>
      <t>外</t>
    </r>
    <phoneticPr fontId="6" type="noConversion"/>
  </si>
  <si>
    <r>
      <rPr>
        <sz val="10.5"/>
        <rFont val="宋体"/>
        <family val="3"/>
        <charset val="134"/>
      </rPr>
      <t>批内均值</t>
    </r>
    <phoneticPr fontId="6" type="noConversion"/>
  </si>
  <si>
    <r>
      <rPr>
        <sz val="10.5"/>
        <rFont val="宋体"/>
        <family val="3"/>
        <charset val="134"/>
      </rPr>
      <t>平均实测浓度</t>
    </r>
  </si>
  <si>
    <r>
      <rPr>
        <sz val="10.5"/>
        <rFont val="宋体"/>
        <family val="3"/>
        <charset val="134"/>
      </rPr>
      <t>批间</t>
    </r>
    <r>
      <rPr>
        <sz val="10.5"/>
        <rFont val="Times New Roman"/>
        <family val="1"/>
      </rPr>
      <t>SD</t>
    </r>
  </si>
  <si>
    <r>
      <rPr>
        <sz val="10.5"/>
        <rFont val="宋体"/>
        <family val="3"/>
        <charset val="134"/>
      </rPr>
      <t>注：拒绝原因见表</t>
    </r>
    <r>
      <rPr>
        <sz val="10.5"/>
        <rFont val="Times New Roman"/>
        <family val="1"/>
      </rPr>
      <t>1</t>
    </r>
    <phoneticPr fontId="6" type="noConversion"/>
  </si>
  <si>
    <t>#12.975</t>
  </si>
  <si>
    <t>#12.395</t>
  </si>
  <si>
    <t>#368.390</t>
    <phoneticPr fontId="6" type="noConversion"/>
  </si>
  <si>
    <t>#25.247</t>
  </si>
  <si>
    <t>#11.838</t>
  </si>
  <si>
    <t>#24.728</t>
  </si>
  <si>
    <t>#7.102</t>
  </si>
  <si>
    <t>SS25071BV02 Extracted IS 1</t>
  </si>
  <si>
    <t>SS25071BV02 Extracted IS 2</t>
  </si>
  <si>
    <t>SS25071BV02 Extracted IS 3</t>
  </si>
  <si>
    <t>SS25071BV02 Extracted IS 4</t>
  </si>
  <si>
    <t>SS25071BV02 Extracted IS 5</t>
  </si>
  <si>
    <t>SS25071BV02 Extracted IS 6</t>
  </si>
  <si>
    <t>SS25071BV02 Unextracted Mid 1</t>
  </si>
  <si>
    <t>SS25071BV02 Unextracted Mid 2</t>
  </si>
  <si>
    <t>SS25071BV02 Unextracted Mid 3</t>
  </si>
  <si>
    <t>SS25071BV02 Unextracted Mid 4</t>
  </si>
  <si>
    <t>SS25071BV02 Unextracted Mid 5</t>
  </si>
  <si>
    <t>SS25071BV02 Unextracted Mid 6</t>
  </si>
  <si>
    <r>
      <rPr>
        <sz val="10.5"/>
        <rFont val="宋体"/>
        <family val="3"/>
        <charset val="134"/>
      </rPr>
      <t>检测日期：</t>
    </r>
    <r>
      <rPr>
        <sz val="10.5"/>
        <rFont val="Times New Roman"/>
        <family val="1"/>
      </rPr>
      <t>2025/05/23</t>
    </r>
    <phoneticPr fontId="20" type="noConversion"/>
  </si>
  <si>
    <t>RESS25071-SS</t>
    <phoneticPr fontId="6" type="noConversion"/>
  </si>
  <si>
    <r>
      <rPr>
        <sz val="10.5"/>
        <rFont val="宋体"/>
        <family val="3"/>
        <charset val="134"/>
      </rPr>
      <t>检测日期</t>
    </r>
    <phoneticPr fontId="6" type="noConversion"/>
  </si>
  <si>
    <r>
      <rPr>
        <sz val="10.5"/>
        <rFont val="宋体"/>
        <family val="3"/>
        <charset val="134"/>
      </rPr>
      <t>检测日期</t>
    </r>
    <phoneticPr fontId="6" type="noConversion"/>
  </si>
  <si>
    <r>
      <rPr>
        <sz val="10.5"/>
        <rFont val="宋体"/>
        <family val="3"/>
        <charset val="134"/>
      </rPr>
      <t>提取日期</t>
    </r>
    <phoneticPr fontId="6" type="noConversion"/>
  </si>
  <si>
    <r>
      <rPr>
        <sz val="10.5"/>
        <rFont val="宋体"/>
        <family val="3"/>
        <charset val="134"/>
      </rPr>
      <t>分析批是否接受</t>
    </r>
    <r>
      <rPr>
        <sz val="10.5"/>
        <rFont val="Times New Roman"/>
        <family val="1"/>
      </rPr>
      <t>RESS25071-AS</t>
    </r>
    <phoneticPr fontId="6" type="noConversion"/>
  </si>
  <si>
    <r>
      <rPr>
        <sz val="10.5"/>
        <rFont val="宋体"/>
        <family val="3"/>
        <charset val="134"/>
      </rPr>
      <t>分析批是否接受</t>
    </r>
    <r>
      <rPr>
        <sz val="10.5"/>
        <rFont val="Times New Roman"/>
        <family val="1"/>
      </rPr>
      <t>RESS25071-SS</t>
    </r>
    <phoneticPr fontId="6" type="noConversion"/>
  </si>
  <si>
    <r>
      <rPr>
        <sz val="10.5"/>
        <rFont val="宋体"/>
        <family val="3"/>
        <charset val="134"/>
      </rPr>
      <t>设备编号</t>
    </r>
    <phoneticPr fontId="6" type="noConversion"/>
  </si>
  <si>
    <t>KN-BM-25-196 48</t>
  </si>
  <si>
    <t>KN-BM-25-196 48</t>
    <phoneticPr fontId="6" type="noConversion"/>
  </si>
  <si>
    <t>KN-BM-25-196 49</t>
  </si>
  <si>
    <t>KN-BM-25-196 49</t>
    <phoneticPr fontId="6" type="noConversion"/>
  </si>
  <si>
    <t>KN-BM-25-196 50</t>
  </si>
  <si>
    <t>KN-BM-25-196 50</t>
    <phoneticPr fontId="6" type="noConversion"/>
  </si>
  <si>
    <t>KN-BM-25-196 148</t>
  </si>
  <si>
    <t>KN-BM-25-196 148</t>
    <phoneticPr fontId="6" type="noConversion"/>
  </si>
  <si>
    <t>KN-BM-25-196 149</t>
  </si>
  <si>
    <t>KN-BM-25-196 149</t>
    <phoneticPr fontId="6" type="noConversion"/>
  </si>
  <si>
    <t>KN-BM-25-196 150</t>
    <phoneticPr fontId="6" type="noConversion"/>
  </si>
  <si>
    <r>
      <rPr>
        <sz val="10.5"/>
        <rFont val="宋体"/>
        <family val="3"/>
        <charset val="134"/>
      </rPr>
      <t>试验条件：在室温白光下放置</t>
    </r>
    <r>
      <rPr>
        <sz val="10.5"/>
        <rFont val="Times New Roman"/>
        <family val="1"/>
      </rPr>
      <t>17</t>
    </r>
    <r>
      <rPr>
        <sz val="10.5"/>
        <rFont val="宋体"/>
        <family val="3"/>
        <charset val="134"/>
      </rPr>
      <t>小时的短期稳定性</t>
    </r>
    <phoneticPr fontId="6" type="noConversion"/>
  </si>
  <si>
    <r>
      <rPr>
        <sz val="10.5"/>
        <rFont val="宋体"/>
        <family val="3"/>
        <charset val="134"/>
      </rPr>
      <t>试验条件：在室温白光下放置</t>
    </r>
    <r>
      <rPr>
        <sz val="10.5"/>
        <rFont val="Times New Roman"/>
        <family val="1"/>
      </rPr>
      <t>17</t>
    </r>
    <r>
      <rPr>
        <sz val="10.5"/>
        <rFont val="宋体"/>
        <family val="3"/>
        <charset val="134"/>
      </rPr>
      <t>小时的短期稳定性</t>
    </r>
    <phoneticPr fontId="6" type="noConversion"/>
  </si>
  <si>
    <t>KN-BM-25-196 150</t>
    <phoneticPr fontId="20" type="noConversion"/>
  </si>
  <si>
    <r>
      <rPr>
        <sz val="10.5"/>
        <rFont val="宋体"/>
        <family val="3"/>
        <charset val="134"/>
      </rPr>
      <t>试验条件：在自动进样器（</t>
    </r>
    <r>
      <rPr>
        <sz val="10.5"/>
        <rFont val="Times New Roman"/>
        <family val="1"/>
      </rPr>
      <t>5 °C</t>
    </r>
    <r>
      <rPr>
        <sz val="10.5"/>
        <rFont val="宋体"/>
        <family val="3"/>
        <charset val="134"/>
      </rPr>
      <t>）条件下保存</t>
    </r>
    <r>
      <rPr>
        <sz val="10.5"/>
        <rFont val="Times New Roman"/>
        <family val="1"/>
      </rPr>
      <t>158</t>
    </r>
    <r>
      <rPr>
        <sz val="10.5"/>
        <rFont val="宋体"/>
        <family val="3"/>
        <charset val="134"/>
      </rPr>
      <t>小时的稳定性</t>
    </r>
    <phoneticPr fontId="6" type="noConversion"/>
  </si>
  <si>
    <r>
      <rPr>
        <sz val="10.5"/>
        <rFont val="宋体"/>
        <family val="3"/>
        <charset val="134"/>
      </rPr>
      <t>系统适用性，标准曲线及范围，第二批批内准确度和精密度，选择性，稳定性</t>
    </r>
    <r>
      <rPr>
        <sz val="10.5"/>
        <rFont val="Times New Roman"/>
        <family val="1"/>
      </rPr>
      <t>T0</t>
    </r>
    <r>
      <rPr>
        <sz val="10.5"/>
        <rFont val="宋体"/>
        <family val="3"/>
        <charset val="134"/>
      </rPr>
      <t>样品，基质效应，溶血效应，最大进样针数（</t>
    </r>
    <r>
      <rPr>
        <sz val="10.5"/>
        <rFont val="Times New Roman"/>
        <family val="1"/>
      </rPr>
      <t>122</t>
    </r>
    <r>
      <rPr>
        <sz val="10.5"/>
        <rFont val="宋体"/>
        <family val="3"/>
        <charset val="134"/>
      </rPr>
      <t>针），残留评价</t>
    </r>
    <phoneticPr fontId="6" type="noConversion"/>
  </si>
  <si>
    <r>
      <rPr>
        <sz val="10.5"/>
        <rFont val="宋体"/>
        <family val="3"/>
        <charset val="134"/>
      </rPr>
      <t>是</t>
    </r>
    <phoneticPr fontId="6" type="noConversion"/>
  </si>
  <si>
    <r>
      <rPr>
        <sz val="10.5"/>
        <rFont val="宋体"/>
        <family val="3"/>
        <charset val="134"/>
      </rPr>
      <t>系统适用性，标准曲线及范围，第三批批内准确度和精密度，回收率，残留评价</t>
    </r>
    <phoneticPr fontId="6" type="noConversion"/>
  </si>
  <si>
    <r>
      <rPr>
        <sz val="10.5"/>
        <rFont val="宋体"/>
        <family val="3"/>
        <charset val="134"/>
      </rPr>
      <t>系统适用性，全血稳定性</t>
    </r>
    <phoneticPr fontId="6" type="noConversion"/>
  </si>
  <si>
    <r>
      <rPr>
        <sz val="10.5"/>
        <rFont val="宋体"/>
        <family val="3"/>
        <charset val="134"/>
      </rPr>
      <t>不适用</t>
    </r>
    <r>
      <rPr>
        <vertAlign val="superscript"/>
        <sz val="10.5"/>
        <rFont val="Times New Roman"/>
        <family val="1"/>
      </rPr>
      <t>2</t>
    </r>
    <phoneticPr fontId="6" type="noConversion"/>
  </si>
  <si>
    <r>
      <rPr>
        <sz val="10.5"/>
        <rFont val="宋体"/>
        <family val="3"/>
        <charset val="134"/>
      </rPr>
      <t>系统适用性，标准曲线及范围，第四批批内准确度和精密度，样品短期稳定性，样品冻融稳定性，特异性，稀释可靠性，处理后样品稳定性</t>
    </r>
    <r>
      <rPr>
        <vertAlign val="superscript"/>
        <sz val="10.5"/>
        <rFont val="Times New Roman"/>
        <family val="1"/>
      </rPr>
      <t>3</t>
    </r>
    <r>
      <rPr>
        <sz val="10.5"/>
        <rFont val="宋体"/>
        <family val="3"/>
        <charset val="134"/>
      </rPr>
      <t>，残留评价</t>
    </r>
    <phoneticPr fontId="6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</si>
  <si>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：本分析批无标曲质控样品</t>
    </r>
    <phoneticPr fontId="6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</si>
  <si>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3</t>
    </r>
    <r>
      <rPr>
        <sz val="10.5"/>
        <rFont val="宋体"/>
        <family val="3"/>
        <charset val="134"/>
      </rPr>
      <t>：处理后样品稳定性实验，所使用的样品于</t>
    </r>
    <r>
      <rPr>
        <sz val="10.5"/>
        <rFont val="Times New Roman"/>
        <family val="1"/>
      </rPr>
      <t>2025</t>
    </r>
    <r>
      <rPr>
        <sz val="10.5"/>
        <rFont val="宋体"/>
        <family val="3"/>
        <charset val="134"/>
      </rPr>
      <t>年</t>
    </r>
    <r>
      <rPr>
        <sz val="10.5"/>
        <rFont val="Times New Roman"/>
        <family val="1"/>
      </rPr>
      <t>05</t>
    </r>
    <r>
      <rPr>
        <sz val="10.5"/>
        <rFont val="宋体"/>
        <family val="3"/>
        <charset val="134"/>
      </rPr>
      <t>月</t>
    </r>
    <r>
      <rPr>
        <sz val="10.5"/>
        <rFont val="Times New Roman"/>
        <family val="1"/>
      </rPr>
      <t>23</t>
    </r>
    <r>
      <rPr>
        <sz val="10.5"/>
        <rFont val="宋体"/>
        <family val="3"/>
        <charset val="134"/>
      </rPr>
      <t>日第</t>
    </r>
    <r>
      <rPr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个分析批中制备。</t>
    </r>
    <phoneticPr fontId="6" type="noConversion"/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</si>
  <si>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2</t>
    </r>
    <phoneticPr fontId="6" type="noConversion"/>
  </si>
  <si>
    <r>
      <rPr>
        <sz val="10.5"/>
        <rFont val="宋体"/>
        <family val="3"/>
        <charset val="134"/>
      </rPr>
      <t>溶血</t>
    </r>
    <phoneticPr fontId="6" type="noConversion"/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</si>
  <si>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：基质效应试验</t>
    </r>
    <phoneticPr fontId="6" type="noConversion"/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</si>
  <si>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2</t>
    </r>
    <phoneticPr fontId="20" type="noConversion"/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</si>
  <si>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>11</t>
    </r>
    <r>
      <rPr>
        <sz val="10.5"/>
        <color theme="1"/>
        <rFont val="宋体"/>
        <family val="3"/>
        <charset val="134"/>
      </rPr>
      <t>：待测物提取回收率：以待测物与内标的峰面积比计</t>
    </r>
    <phoneticPr fontId="6" type="noConversion"/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</si>
  <si>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3</t>
    </r>
    <phoneticPr fontId="20" type="noConversion"/>
  </si>
  <si>
    <r>
      <rPr>
        <sz val="10.5"/>
        <rFont val="宋体"/>
        <family val="3"/>
        <charset val="134"/>
      </rPr>
      <t>提取后峰面积比</t>
    </r>
    <phoneticPr fontId="20" type="noConversion"/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</si>
  <si>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3</t>
    </r>
    <phoneticPr fontId="6" type="noConversion"/>
  </si>
  <si>
    <r>
      <rPr>
        <sz val="10.5"/>
        <rFont val="宋体"/>
        <family val="3"/>
        <charset val="134"/>
      </rPr>
      <t>是</t>
    </r>
    <r>
      <rPr>
        <vertAlign val="superscript"/>
        <sz val="10.5"/>
        <rFont val="Times New Roman"/>
        <family val="1"/>
      </rPr>
      <t>1</t>
    </r>
    <phoneticPr fontId="6" type="noConversion"/>
  </si>
  <si>
    <r>
      <t>EQ2019F2</t>
    </r>
    <r>
      <rPr>
        <vertAlign val="superscript"/>
        <sz val="10.5"/>
        <rFont val="Times New Roman"/>
        <family val="1"/>
      </rPr>
      <t>4</t>
    </r>
    <phoneticPr fontId="6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</si>
  <si>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4</t>
    </r>
    <r>
      <rPr>
        <sz val="10.5"/>
        <rFont val="宋体"/>
        <family val="3"/>
        <charset val="134"/>
      </rPr>
      <t>：该分析批进样过程中发现色谱峰异常，待测物和内标未出峰，故删除</t>
    </r>
    <r>
      <rPr>
        <sz val="10.5"/>
        <rFont val="Times New Roman"/>
        <family val="1"/>
      </rPr>
      <t>066 SS25071BV02 Extracted High4</t>
    </r>
    <r>
      <rPr>
        <sz val="10.5"/>
        <rFont val="宋体"/>
        <family val="3"/>
        <charset val="134"/>
      </rPr>
      <t>样品之后的所有序列样品。联系工程师进行仪器维修后，将序列重新命名为</t>
    </r>
    <r>
      <rPr>
        <sz val="10.5"/>
        <rFont val="Times New Roman"/>
        <family val="1"/>
      </rPr>
      <t>Run3@20250526-reinjection</t>
    </r>
    <r>
      <rPr>
        <sz val="10.5"/>
        <rFont val="宋体"/>
        <family val="3"/>
        <charset val="134"/>
      </rPr>
      <t>后重新进样分析。</t>
    </r>
    <phoneticPr fontId="6" type="noConversion"/>
  </si>
  <si>
    <r>
      <rPr>
        <sz val="10.5"/>
        <rFont val="宋体"/>
        <family val="3"/>
        <charset val="134"/>
      </rPr>
      <t>符合接受标准的定量下限</t>
    </r>
    <r>
      <rPr>
        <sz val="10.5"/>
        <rFont val="Times New Roman"/>
        <family val="1"/>
      </rPr>
      <t>RESS25071-AS</t>
    </r>
    <r>
      <rPr>
        <sz val="10.5"/>
        <rFont val="宋体"/>
        <family val="3"/>
        <charset val="134"/>
      </rPr>
      <t>峰面积（均）值</t>
    </r>
    <phoneticPr fontId="6" type="noConversion"/>
  </si>
  <si>
    <r>
      <rPr>
        <sz val="10.5"/>
        <rFont val="宋体"/>
        <family val="3"/>
        <charset val="134"/>
      </rPr>
      <t>符合接受标准的定量下限</t>
    </r>
    <r>
      <rPr>
        <sz val="10.5"/>
        <rFont val="Times New Roman"/>
        <family val="1"/>
      </rPr>
      <t>RESS25071-SS</t>
    </r>
    <r>
      <rPr>
        <sz val="10.5"/>
        <rFont val="宋体"/>
        <family val="3"/>
        <charset val="134"/>
      </rPr>
      <t>峰面积（均）值</t>
    </r>
    <phoneticPr fontId="6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</si>
  <si>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1</t>
    </r>
    <r>
      <rPr>
        <sz val="10.5"/>
        <rFont val="宋体"/>
        <family val="3"/>
        <charset val="134"/>
      </rPr>
      <t>：批内精密度准确度及稳定性</t>
    </r>
    <r>
      <rPr>
        <sz val="10.5"/>
        <rFont val="Times New Roman"/>
        <family val="1"/>
      </rPr>
      <t>T0</t>
    </r>
    <r>
      <rPr>
        <sz val="10.5"/>
        <rFont val="宋体"/>
        <family val="3"/>
        <charset val="134"/>
      </rPr>
      <t>考察失败，因待测物</t>
    </r>
    <r>
      <rPr>
        <sz val="10.5"/>
        <rFont val="Times New Roman"/>
        <family val="1"/>
      </rPr>
      <t>LLOQ</t>
    </r>
    <r>
      <rPr>
        <sz val="10.5"/>
        <rFont val="宋体"/>
        <family val="3"/>
        <charset val="134"/>
      </rPr>
      <t>峰面积较低，且波动较大，故后续升级分析方法，增加样本进样体积，该分析批考察项结果均不采纳。</t>
    </r>
    <phoneticPr fontId="6" type="noConversion"/>
  </si>
  <si>
    <t>Only RESS25071 1</t>
    <phoneticPr fontId="6" type="noConversion"/>
  </si>
  <si>
    <t>Only RESS25071 2</t>
  </si>
  <si>
    <t>Only RESS25071 3</t>
  </si>
  <si>
    <t>Only ISSS25071 1</t>
    <phoneticPr fontId="6" type="noConversion"/>
  </si>
  <si>
    <t>Only ISSS25071 2</t>
  </si>
  <si>
    <t>Only ISSS25071 3</t>
  </si>
  <si>
    <r>
      <rPr>
        <sz val="10.5"/>
        <rFont val="宋体"/>
        <family val="3"/>
        <charset val="134"/>
      </rPr>
      <t>系统适用性，标准曲线及范围，第一批批内准确度和精密度，稳定性</t>
    </r>
    <r>
      <rPr>
        <sz val="10.5"/>
        <rFont val="Times New Roman"/>
        <family val="1"/>
      </rPr>
      <t>T0</t>
    </r>
    <r>
      <rPr>
        <sz val="10.5"/>
        <rFont val="宋体"/>
        <family val="3"/>
        <charset val="134"/>
      </rPr>
      <t>样品，特异性，稀释可靠性，残留评价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</si>
</sst>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"/>
    <numFmt numFmtId="177" formatCode="0.0_ "/>
    <numFmt numFmtId="178" formatCode="0.000"/>
    <numFmt numFmtId="179" formatCode="0_ "/>
    <numFmt numFmtId="180" formatCode="0.000000"/>
    <numFmt numFmtId="181" formatCode="yyyy/mm/dd"/>
    <numFmt numFmtId="182" formatCode="0.000_ "/>
    <numFmt numFmtId="183" formatCode="0.000000_ "/>
    <numFmt numFmtId="184" formatCode="[$-409]dd\-mmm\-yy;@"/>
    <numFmt numFmtId="185" formatCode="yyyy/mm/dd\ hh:mm"/>
    <numFmt numFmtId="186" formatCode="0.00;[Red]0.00"/>
  </numFmts>
  <fonts count="50">
    <font>
      <sz val="11"/>
      <color theme="1"/>
      <name val="DengXian"/>
      <family val="2"/>
      <scheme val="minor"/>
    </font>
    <font>
      <sz val="11"/>
      <color theme="1"/>
      <name val="DengXian"/>
      <family val="2"/>
      <charset val="134"/>
      <scheme val="minor"/>
    </font>
    <font>
      <sz val="11"/>
      <color indexed="8"/>
      <name val="Calibri"/>
      <family val="2"/>
    </font>
    <font>
      <sz val="10.5"/>
      <color indexed="8"/>
      <name val="宋体"/>
      <family val="3"/>
      <charset val="134"/>
    </font>
    <font>
      <sz val="10"/>
      <color indexed="8"/>
      <name val="Times New Roman"/>
      <family val="1"/>
    </font>
    <font>
      <sz val="10"/>
      <name val="Arial"/>
      <family val="2"/>
    </font>
    <font>
      <sz val="9"/>
      <name val="DengXian"/>
      <family val="2"/>
    </font>
    <font>
      <sz val="10.5"/>
      <name val="宋体"/>
      <family val="3"/>
      <charset val="134"/>
    </font>
    <font>
      <sz val="10"/>
      <name val="Times New Roman"/>
      <family val="1"/>
    </font>
    <font>
      <sz val="11"/>
      <color rgb="FF9C0006"/>
      <name val="Calibri"/>
      <family val="2"/>
    </font>
    <font>
      <sz val="12"/>
      <color rgb="FF9C0006"/>
      <name val="DengXian"/>
      <family val="2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1"/>
      <color theme="1"/>
      <name val="Times New Roman"/>
      <family val="1"/>
    </font>
    <font>
      <sz val="10.5"/>
      <color rgb="FFFF0000"/>
      <name val="Times New Roman"/>
      <family val="1"/>
    </font>
    <font>
      <sz val="10.5"/>
      <name val="Times New Roman"/>
      <family val="1"/>
    </font>
    <font>
      <vertAlign val="subscript"/>
      <sz val="10.5"/>
      <name val="Times New Roman"/>
      <family val="1"/>
    </font>
    <font>
      <sz val="12"/>
      <name val="宋体"/>
      <family val="3"/>
      <charset val="134"/>
    </font>
    <font>
      <sz val="11"/>
      <name val="Times New Roman"/>
      <family val="1"/>
    </font>
    <font>
      <sz val="10.5"/>
      <color indexed="8"/>
      <name val="Times New Roman"/>
      <family val="1"/>
    </font>
    <font>
      <sz val="9"/>
      <name val="DengXian"/>
      <family val="3"/>
      <charset val="134"/>
      <scheme val="minor"/>
    </font>
    <font>
      <sz val="10.5"/>
      <color rgb="FF0070C0"/>
      <name val="Times New Roman"/>
      <family val="1"/>
    </font>
    <font>
      <sz val="10"/>
      <color indexed="8"/>
      <name val="MS Sans Serif"/>
      <family val="2"/>
    </font>
    <font>
      <sz val="11"/>
      <color indexed="8"/>
      <name val="Times New Roman"/>
      <family val="1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2"/>
      <color rgb="FF9C0006"/>
      <name val="DengXian"/>
      <family val="2"/>
      <scheme val="minor"/>
    </font>
    <font>
      <sz val="11"/>
      <color rgb="FF006100"/>
      <name val="DengXian"/>
      <family val="2"/>
      <scheme val="minor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1"/>
      <color rgb="FF9C0006"/>
      <name val="DengXian"/>
      <family val="2"/>
      <scheme val="minor"/>
    </font>
    <font>
      <b/>
      <sz val="11"/>
      <color rgb="FFFA7D00"/>
      <name val="DengXian"/>
      <family val="2"/>
      <scheme val="minor"/>
    </font>
    <font>
      <b/>
      <sz val="11"/>
      <color theme="0"/>
      <name val="DengXian"/>
      <family val="2"/>
      <scheme val="minor"/>
    </font>
    <font>
      <i/>
      <sz val="11"/>
      <color rgb="FF7F7F7F"/>
      <name val="DengXian"/>
      <family val="2"/>
      <scheme val="minor"/>
    </font>
    <font>
      <sz val="11"/>
      <color rgb="FF006100"/>
      <name val="DengXian"/>
      <family val="2"/>
      <scheme val="minor"/>
    </font>
    <font>
      <b/>
      <sz val="15"/>
      <color theme="3"/>
      <name val="DengXian"/>
      <family val="2"/>
      <scheme val="minor"/>
    </font>
    <font>
      <b/>
      <sz val="13"/>
      <color theme="3"/>
      <name val="DengXian"/>
      <family val="2"/>
      <scheme val="minor"/>
    </font>
    <font>
      <b/>
      <sz val="11"/>
      <color theme="3"/>
      <name val="DengXian"/>
      <family val="2"/>
      <scheme val="minor"/>
    </font>
    <font>
      <sz val="11"/>
      <color rgb="FF3F3F76"/>
      <name val="DengXian"/>
      <family val="2"/>
      <scheme val="minor"/>
    </font>
    <font>
      <sz val="11"/>
      <color rgb="FFFA7D00"/>
      <name val="DengXian"/>
      <family val="2"/>
      <scheme val="minor"/>
    </font>
    <font>
      <sz val="11"/>
      <color rgb="FF9C6500"/>
      <name val="DengXian"/>
      <family val="2"/>
      <scheme val="minor"/>
    </font>
    <font>
      <b/>
      <sz val="11"/>
      <color rgb="FF3F3F3F"/>
      <name val="DengXian"/>
      <family val="2"/>
      <scheme val="minor"/>
    </font>
    <font>
      <b/>
      <sz val="18"/>
      <color theme="3"/>
      <name val="DengXian Light"/>
      <family val="2"/>
      <scheme val="major"/>
    </font>
    <font>
      <b/>
      <sz val="11"/>
      <color theme="1"/>
      <name val="DengXian"/>
      <family val="2"/>
      <scheme val="minor"/>
    </font>
    <font>
      <sz val="11"/>
      <color rgb="FFFF0000"/>
      <name val="DengXian"/>
      <family val="2"/>
      <scheme val="minor"/>
    </font>
    <font>
      <sz val="10.5"/>
      <name val="Times New Roman"/>
      <family val="3"/>
      <charset val="134"/>
    </font>
    <font>
      <sz val="11"/>
      <color rgb="FF9C0006"/>
      <name val="DengXian"/>
      <family val="2"/>
      <scheme val="minor"/>
    </font>
    <font>
      <sz val="9"/>
      <name val="DengXian"/>
      <family val="2"/>
    </font>
    <font>
      <sz val="11"/>
      <name val="DengXian"/>
      <family val="2"/>
      <scheme val="minor"/>
    </font>
    <font>
      <vertAlign val="superscript"/>
      <sz val="10.5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/>
    <xf numFmtId="0" fontId="9" fillId="2" borderId="0" applyNumberFormat="0" applyBorder="0" applyAlignment="0" applyProtection="0"/>
    <xf numFmtId="0" fontId="5" fillId="0" borderId="0"/>
    <xf numFmtId="0" fontId="2" fillId="0" borderId="0"/>
    <xf numFmtId="9" fontId="5" fillId="0" borderId="0" applyFont="0" applyFill="0" applyBorder="0" applyAlignment="0" applyProtection="0"/>
    <xf numFmtId="0" fontId="10" fillId="2" borderId="0" applyNumberFormat="0" applyBorder="0" applyAlignment="0" applyProtection="0"/>
    <xf numFmtId="0" fontId="17" fillId="0" borderId="0"/>
    <xf numFmtId="0" fontId="5" fillId="0" borderId="0"/>
    <xf numFmtId="0" fontId="22" fillId="0" borderId="0"/>
    <xf numFmtId="0" fontId="24" fillId="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" borderId="0" applyNumberFormat="0" applyBorder="0" applyAlignment="0" applyProtection="0"/>
    <xf numFmtId="0" fontId="17" fillId="0" borderId="0"/>
    <xf numFmtId="0" fontId="27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8" fillId="5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6" borderId="0" applyNumberFormat="0" applyBorder="0" applyAlignment="0" applyProtection="0"/>
    <xf numFmtId="0" fontId="28" fillId="10" borderId="0" applyNumberFormat="0" applyBorder="0" applyAlignment="0" applyProtection="0"/>
    <xf numFmtId="0" fontId="28" fillId="14" borderId="0" applyNumberFormat="0" applyBorder="0" applyAlignment="0" applyProtection="0"/>
    <xf numFmtId="0" fontId="28" fillId="18" borderId="0" applyNumberFormat="0" applyBorder="0" applyAlignment="0" applyProtection="0"/>
    <xf numFmtId="0" fontId="28" fillId="22" borderId="0" applyNumberFormat="0" applyBorder="0" applyAlignment="0" applyProtection="0"/>
    <xf numFmtId="0" fontId="28" fillId="26" borderId="0" applyNumberFormat="0" applyBorder="0" applyAlignment="0" applyProtection="0"/>
    <xf numFmtId="0" fontId="29" fillId="7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4" borderId="0" applyNumberFormat="0" applyBorder="0" applyAlignment="0" applyProtection="0"/>
    <xf numFmtId="0" fontId="29" fillId="8" borderId="0" applyNumberFormat="0" applyBorder="0" applyAlignment="0" applyProtection="0"/>
    <xf numFmtId="0" fontId="29" fillId="12" borderId="0" applyNumberFormat="0" applyBorder="0" applyAlignment="0" applyProtection="0"/>
    <xf numFmtId="0" fontId="29" fillId="16" borderId="0" applyNumberFormat="0" applyBorder="0" applyAlignment="0" applyProtection="0"/>
    <xf numFmtId="0" fontId="29" fillId="20" borderId="0" applyNumberFormat="0" applyBorder="0" applyAlignment="0" applyProtection="0"/>
    <xf numFmtId="0" fontId="29" fillId="24" borderId="0" applyNumberFormat="0" applyBorder="0" applyAlignment="0" applyProtection="0"/>
    <xf numFmtId="0" fontId="30" fillId="2" borderId="0" applyNumberFormat="0" applyBorder="0" applyAlignment="0" applyProtection="0"/>
    <xf numFmtId="0" fontId="31" fillId="30" borderId="28" applyNumberFormat="0" applyAlignment="0" applyProtection="0"/>
    <xf numFmtId="0" fontId="32" fillId="31" borderId="31" applyNumberFormat="0" applyAlignment="0" applyProtection="0"/>
    <xf numFmtId="0" fontId="33" fillId="0" borderId="0" applyNumberFormat="0" applyFill="0" applyBorder="0" applyAlignment="0" applyProtection="0"/>
    <xf numFmtId="0" fontId="34" fillId="3" borderId="0" applyNumberFormat="0" applyBorder="0" applyAlignment="0" applyProtection="0"/>
    <xf numFmtId="0" fontId="35" fillId="0" borderId="25" applyNumberFormat="0" applyFill="0" applyAlignment="0" applyProtection="0"/>
    <xf numFmtId="0" fontId="36" fillId="0" borderId="26" applyNumberFormat="0" applyFill="0" applyAlignment="0" applyProtection="0"/>
    <xf numFmtId="0" fontId="37" fillId="0" borderId="27" applyNumberFormat="0" applyFill="0" applyAlignment="0" applyProtection="0"/>
    <xf numFmtId="0" fontId="37" fillId="0" borderId="0" applyNumberFormat="0" applyFill="0" applyBorder="0" applyAlignment="0" applyProtection="0"/>
    <xf numFmtId="0" fontId="38" fillId="29" borderId="28" applyNumberFormat="0" applyAlignment="0" applyProtection="0"/>
    <xf numFmtId="0" fontId="39" fillId="0" borderId="30" applyNumberFormat="0" applyFill="0" applyAlignment="0" applyProtection="0"/>
    <xf numFmtId="0" fontId="40" fillId="28" borderId="0" applyNumberFormat="0" applyBorder="0" applyAlignment="0" applyProtection="0"/>
    <xf numFmtId="0" fontId="28" fillId="32" borderId="32" applyNumberFormat="0" applyFont="0" applyAlignment="0" applyProtection="0"/>
    <xf numFmtId="0" fontId="41" fillId="30" borderId="29" applyNumberFormat="0" applyAlignment="0" applyProtection="0"/>
    <xf numFmtId="0" fontId="42" fillId="0" borderId="0" applyNumberFormat="0" applyFill="0" applyBorder="0" applyAlignment="0" applyProtection="0"/>
    <xf numFmtId="0" fontId="43" fillId="0" borderId="33" applyNumberFormat="0" applyFill="0" applyAlignment="0" applyProtection="0"/>
    <xf numFmtId="0" fontId="44" fillId="0" borderId="0" applyNumberFormat="0" applyFill="0" applyBorder="0" applyAlignment="0" applyProtection="0"/>
    <xf numFmtId="0" fontId="46" fillId="2" borderId="0" applyNumberFormat="0" applyBorder="0" applyAlignment="0" applyProtection="0"/>
    <xf numFmtId="0" fontId="26" fillId="2" borderId="0" applyNumberFormat="0" applyBorder="0" applyAlignment="0" applyProtection="0"/>
    <xf numFmtId="0" fontId="24" fillId="0" borderId="0"/>
    <xf numFmtId="0" fontId="27" fillId="3" borderId="0" applyNumberFormat="0" applyBorder="0" applyAlignment="0" applyProtection="0">
      <alignment vertical="center"/>
    </xf>
    <xf numFmtId="0" fontId="26" fillId="2" borderId="0" applyNumberFormat="0" applyBorder="0" applyAlignment="0" applyProtection="0"/>
  </cellStyleXfs>
  <cellXfs count="219">
    <xf numFmtId="0" fontId="0" fillId="0" borderId="0" xfId="0"/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12" fillId="0" borderId="0" xfId="0" applyFont="1"/>
    <xf numFmtId="0" fontId="15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5" fillId="0" borderId="0" xfId="3" applyFont="1"/>
    <xf numFmtId="0" fontId="15" fillId="0" borderId="0" xfId="5" applyFont="1" applyFill="1" applyBorder="1" applyAlignment="1">
      <alignment horizontal="center" vertical="center" wrapText="1"/>
    </xf>
    <xf numFmtId="0" fontId="15" fillId="0" borderId="0" xfId="5" applyFont="1" applyFill="1" applyBorder="1" applyAlignment="1">
      <alignment horizontal="center" vertical="center"/>
    </xf>
    <xf numFmtId="179" fontId="15" fillId="0" borderId="0" xfId="0" applyNumberFormat="1" applyFont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0" fontId="15" fillId="0" borderId="0" xfId="3" applyFont="1" applyAlignment="1">
      <alignment horizont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4" fillId="0" borderId="0" xfId="3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182" fontId="15" fillId="0" borderId="1" xfId="0" applyNumberFormat="1" applyFont="1" applyBorder="1" applyAlignment="1">
      <alignment horizontal="center" vertical="center" wrapText="1"/>
    </xf>
    <xf numFmtId="0" fontId="8" fillId="0" borderId="0" xfId="0" applyFont="1"/>
    <xf numFmtId="0" fontId="4" fillId="0" borderId="0" xfId="0" applyFont="1"/>
    <xf numFmtId="0" fontId="23" fillId="0" borderId="0" xfId="3" applyFont="1"/>
    <xf numFmtId="0" fontId="18" fillId="0" borderId="0" xfId="3" applyFont="1"/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12" fillId="0" borderId="1" xfId="79" applyFont="1" applyBorder="1" applyAlignment="1">
      <alignment horizontal="center" vertical="center" wrapText="1"/>
    </xf>
    <xf numFmtId="0" fontId="15" fillId="0" borderId="1" xfId="79" applyFont="1" applyBorder="1" applyAlignment="1">
      <alignment horizontal="center" vertical="center" wrapText="1"/>
    </xf>
    <xf numFmtId="0" fontId="45" fillId="0" borderId="0" xfId="3" applyFont="1"/>
    <xf numFmtId="177" fontId="15" fillId="0" borderId="0" xfId="3" applyNumberFormat="1" applyFont="1"/>
    <xf numFmtId="177" fontId="15" fillId="0" borderId="1" xfId="0" applyNumberFormat="1" applyFont="1" applyBorder="1" applyAlignment="1">
      <alignment horizontal="center" vertical="center" wrapText="1"/>
    </xf>
    <xf numFmtId="177" fontId="15" fillId="0" borderId="0" xfId="0" applyNumberFormat="1" applyFont="1"/>
    <xf numFmtId="179" fontId="15" fillId="0" borderId="1" xfId="0" applyNumberFormat="1" applyFont="1" applyBorder="1" applyAlignment="1">
      <alignment horizontal="center" vertical="center" wrapText="1"/>
    </xf>
    <xf numFmtId="183" fontId="12" fillId="0" borderId="1" xfId="79" applyNumberFormat="1" applyFont="1" applyBorder="1" applyAlignment="1">
      <alignment horizontal="center" vertical="center" wrapText="1"/>
    </xf>
    <xf numFmtId="177" fontId="12" fillId="0" borderId="0" xfId="0" applyNumberFormat="1" applyFont="1" applyAlignment="1">
      <alignment vertical="center"/>
    </xf>
    <xf numFmtId="177" fontId="12" fillId="0" borderId="1" xfId="79" applyNumberFormat="1" applyFont="1" applyBorder="1" applyAlignment="1">
      <alignment horizontal="center" vertical="center" wrapText="1"/>
    </xf>
    <xf numFmtId="177" fontId="19" fillId="0" borderId="0" xfId="0" applyNumberFormat="1" applyFont="1" applyAlignment="1">
      <alignment horizontal="right" vertical="center"/>
    </xf>
    <xf numFmtId="177" fontId="15" fillId="0" borderId="4" xfId="0" applyNumberFormat="1" applyFont="1" applyBorder="1" applyAlignment="1">
      <alignment horizontal="center" vertical="center" wrapText="1"/>
    </xf>
    <xf numFmtId="183" fontId="15" fillId="0" borderId="1" xfId="2" applyNumberFormat="1" applyFont="1" applyBorder="1" applyAlignment="1">
      <alignment horizontal="center" vertical="center" wrapText="1"/>
    </xf>
    <xf numFmtId="177" fontId="15" fillId="0" borderId="1" xfId="2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183" fontId="15" fillId="0" borderId="1" xfId="0" applyNumberFormat="1" applyFont="1" applyBorder="1" applyAlignment="1">
      <alignment horizontal="center" vertical="center" wrapText="1"/>
    </xf>
    <xf numFmtId="182" fontId="15" fillId="0" borderId="4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182" fontId="15" fillId="0" borderId="1" xfId="0" applyNumberFormat="1" applyFont="1" applyBorder="1" applyAlignment="1">
      <alignment horizontal="center" vertical="center"/>
    </xf>
    <xf numFmtId="178" fontId="15" fillId="0" borderId="2" xfId="0" applyNumberFormat="1" applyFont="1" applyBorder="1" applyAlignment="1">
      <alignment horizontal="center" vertical="center" wrapText="1"/>
    </xf>
    <xf numFmtId="0" fontId="18" fillId="0" borderId="0" xfId="0" applyFont="1"/>
    <xf numFmtId="183" fontId="19" fillId="0" borderId="1" xfId="79" applyNumberFormat="1" applyFont="1" applyBorder="1" applyAlignment="1">
      <alignment horizontal="center" vertical="center"/>
    </xf>
    <xf numFmtId="177" fontId="19" fillId="0" borderId="1" xfId="79" applyNumberFormat="1" applyFont="1" applyBorder="1" applyAlignment="1">
      <alignment horizontal="center" vertical="center"/>
    </xf>
    <xf numFmtId="183" fontId="15" fillId="0" borderId="1" xfId="79" applyNumberFormat="1" applyFont="1" applyBorder="1" applyAlignment="1">
      <alignment horizontal="center" vertical="center"/>
    </xf>
    <xf numFmtId="177" fontId="15" fillId="0" borderId="1" xfId="79" applyNumberFormat="1" applyFont="1" applyBorder="1" applyAlignment="1">
      <alignment horizontal="center" vertical="center"/>
    </xf>
    <xf numFmtId="183" fontId="15" fillId="0" borderId="1" xfId="79" applyNumberFormat="1" applyFont="1" applyBorder="1" applyAlignment="1">
      <alignment horizontal="center" vertical="center" wrapText="1"/>
    </xf>
    <xf numFmtId="177" fontId="15" fillId="0" borderId="1" xfId="79" applyNumberFormat="1" applyFont="1" applyBorder="1" applyAlignment="1">
      <alignment horizontal="center" vertical="center" wrapText="1"/>
    </xf>
    <xf numFmtId="1" fontId="0" fillId="0" borderId="0" xfId="0" applyNumberFormat="1"/>
    <xf numFmtId="0" fontId="15" fillId="0" borderId="1" xfId="0" applyFont="1" applyBorder="1" applyAlignment="1">
      <alignment horizontal="center" vertical="center"/>
    </xf>
    <xf numFmtId="0" fontId="15" fillId="0" borderId="1" xfId="5" applyFont="1" applyFill="1" applyBorder="1" applyAlignment="1">
      <alignment horizontal="center" vertical="center"/>
    </xf>
    <xf numFmtId="1" fontId="15" fillId="0" borderId="9" xfId="0" applyNumberFormat="1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177" fontId="15" fillId="0" borderId="1" xfId="0" applyNumberFormat="1" applyFont="1" applyBorder="1" applyAlignment="1">
      <alignment horizontal="center" vertical="center"/>
    </xf>
    <xf numFmtId="180" fontId="15" fillId="0" borderId="0" xfId="0" applyNumberFormat="1" applyFont="1" applyAlignment="1">
      <alignment horizontal="right" vertical="center"/>
    </xf>
    <xf numFmtId="183" fontId="15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right" vertical="center"/>
    </xf>
    <xf numFmtId="183" fontId="15" fillId="0" borderId="23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right" vertical="center"/>
    </xf>
    <xf numFmtId="183" fontId="15" fillId="0" borderId="24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 vertical="center"/>
    </xf>
    <xf numFmtId="181" fontId="15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5" fillId="0" borderId="2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182" fontId="15" fillId="0" borderId="2" xfId="0" applyNumberFormat="1" applyFont="1" applyBorder="1" applyAlignment="1" applyProtection="1">
      <alignment horizontal="center" vertical="center" wrapText="1"/>
      <protection locked="0"/>
    </xf>
    <xf numFmtId="182" fontId="15" fillId="0" borderId="1" xfId="0" applyNumberFormat="1" applyFont="1" applyBorder="1" applyAlignment="1" applyProtection="1">
      <alignment horizontal="center" vertical="center"/>
      <protection locked="0"/>
    </xf>
    <xf numFmtId="177" fontId="15" fillId="0" borderId="1" xfId="0" applyNumberFormat="1" applyFont="1" applyBorder="1" applyAlignment="1" applyProtection="1">
      <alignment horizontal="center" vertical="center"/>
      <protection locked="0"/>
    </xf>
    <xf numFmtId="179" fontId="15" fillId="0" borderId="1" xfId="0" applyNumberFormat="1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0" fontId="45" fillId="0" borderId="0" xfId="0" applyFont="1"/>
    <xf numFmtId="186" fontId="15" fillId="0" borderId="0" xfId="0" applyNumberFormat="1" applyFont="1" applyAlignment="1">
      <alignment horizontal="left" vertical="center"/>
    </xf>
    <xf numFmtId="1" fontId="8" fillId="0" borderId="0" xfId="0" applyNumberFormat="1" applyFont="1" applyAlignment="1">
      <alignment horizontal="center"/>
    </xf>
    <xf numFmtId="0" fontId="8" fillId="0" borderId="0" xfId="8" applyFont="1" applyAlignment="1">
      <alignment horizontal="center"/>
    </xf>
    <xf numFmtId="185" fontId="15" fillId="0" borderId="0" xfId="0" applyNumberFormat="1" applyFont="1" applyAlignment="1">
      <alignment horizontal="left" vertical="center"/>
    </xf>
    <xf numFmtId="186" fontId="15" fillId="0" borderId="0" xfId="0" applyNumberFormat="1" applyFont="1"/>
    <xf numFmtId="0" fontId="8" fillId="0" borderId="0" xfId="7" applyFont="1" applyAlignment="1">
      <alignment horizontal="center" vertical="center"/>
    </xf>
    <xf numFmtId="184" fontId="8" fillId="0" borderId="0" xfId="8" applyNumberFormat="1" applyFont="1" applyAlignment="1">
      <alignment horizont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justify"/>
    </xf>
    <xf numFmtId="0" fontId="8" fillId="0" borderId="1" xfId="0" applyFont="1" applyBorder="1" applyAlignment="1">
      <alignment horizontal="center" vertical="center"/>
    </xf>
    <xf numFmtId="14" fontId="15" fillId="0" borderId="0" xfId="0" applyNumberFormat="1" applyFont="1"/>
    <xf numFmtId="49" fontId="18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right"/>
    </xf>
    <xf numFmtId="0" fontId="48" fillId="0" borderId="0" xfId="0" applyFont="1"/>
    <xf numFmtId="0" fontId="15" fillId="0" borderId="1" xfId="0" applyFont="1" applyBorder="1" applyAlignment="1">
      <alignment horizontal="left" vertical="center" wrapText="1"/>
    </xf>
    <xf numFmtId="1" fontId="13" fillId="0" borderId="0" xfId="0" applyNumberFormat="1" applyFont="1"/>
    <xf numFmtId="0" fontId="12" fillId="0" borderId="0" xfId="0" applyFont="1" applyAlignment="1">
      <alignment horizontal="left" vertical="center"/>
    </xf>
    <xf numFmtId="0" fontId="15" fillId="33" borderId="0" xfId="0" applyFont="1" applyFill="1" applyAlignment="1">
      <alignment horizontal="left" vertical="center"/>
    </xf>
    <xf numFmtId="177" fontId="15" fillId="0" borderId="0" xfId="0" applyNumberFormat="1" applyFont="1" applyAlignment="1">
      <alignment vertical="center"/>
    </xf>
    <xf numFmtId="182" fontId="15" fillId="0" borderId="0" xfId="0" applyNumberFormat="1" applyFont="1" applyAlignment="1">
      <alignment vertical="center"/>
    </xf>
    <xf numFmtId="183" fontId="15" fillId="0" borderId="0" xfId="0" applyNumberFormat="1" applyFont="1" applyAlignment="1">
      <alignment vertical="center"/>
    </xf>
    <xf numFmtId="182" fontId="15" fillId="0" borderId="0" xfId="0" applyNumberFormat="1" applyFont="1"/>
    <xf numFmtId="183" fontId="15" fillId="0" borderId="0" xfId="0" applyNumberFormat="1" applyFont="1"/>
    <xf numFmtId="182" fontId="15" fillId="0" borderId="0" xfId="0" applyNumberFormat="1" applyFont="1" applyAlignment="1">
      <alignment horizontal="center" vertical="center"/>
    </xf>
    <xf numFmtId="176" fontId="15" fillId="0" borderId="0" xfId="0" applyNumberFormat="1" applyFont="1" applyAlignment="1">
      <alignment horizontal="right" vertical="center"/>
    </xf>
    <xf numFmtId="0" fontId="45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/>
    </xf>
    <xf numFmtId="0" fontId="4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1" fontId="15" fillId="0" borderId="2" xfId="0" applyNumberFormat="1" applyFont="1" applyBorder="1" applyAlignment="1">
      <alignment horizontal="center" vertical="center"/>
    </xf>
    <xf numFmtId="1" fontId="15" fillId="0" borderId="9" xfId="0" applyNumberFormat="1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45" fillId="0" borderId="1" xfId="0" applyFont="1" applyBorder="1" applyAlignment="1">
      <alignment horizontal="center" vertical="center" wrapText="1"/>
    </xf>
    <xf numFmtId="177" fontId="45" fillId="0" borderId="1" xfId="0" applyNumberFormat="1" applyFont="1" applyBorder="1" applyAlignment="1">
      <alignment horizontal="center" vertical="center" wrapText="1"/>
    </xf>
    <xf numFmtId="177" fontId="15" fillId="0" borderId="1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9" xfId="0" applyNumberFormat="1" applyFont="1" applyBorder="1" applyAlignment="1">
      <alignment horizontal="center" vertical="center"/>
    </xf>
    <xf numFmtId="179" fontId="15" fillId="0" borderId="3" xfId="0" applyNumberFormat="1" applyFont="1" applyBorder="1" applyAlignment="1">
      <alignment horizontal="center" vertical="center"/>
    </xf>
    <xf numFmtId="177" fontId="15" fillId="0" borderId="2" xfId="0" applyNumberFormat="1" applyFont="1" applyBorder="1" applyAlignment="1">
      <alignment horizontal="center" vertical="center"/>
    </xf>
    <xf numFmtId="177" fontId="15" fillId="0" borderId="9" xfId="0" applyNumberFormat="1" applyFont="1" applyBorder="1" applyAlignment="1">
      <alignment horizontal="center" vertical="center"/>
    </xf>
    <xf numFmtId="177" fontId="15" fillId="0" borderId="3" xfId="0" applyNumberFormat="1" applyFont="1" applyBorder="1" applyAlignment="1">
      <alignment horizontal="center" vertical="center"/>
    </xf>
    <xf numFmtId="181" fontId="15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181" fontId="15" fillId="0" borderId="1" xfId="0" applyNumberFormat="1" applyFont="1" applyBorder="1" applyAlignment="1">
      <alignment horizontal="center" vertical="center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81" fontId="15" fillId="0" borderId="1" xfId="0" applyNumberFormat="1" applyFont="1" applyBorder="1" applyAlignment="1" applyProtection="1">
      <alignment horizontal="center" vertical="center"/>
      <protection locked="0"/>
    </xf>
    <xf numFmtId="0" fontId="15" fillId="0" borderId="2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7" xfId="0" applyFont="1" applyBorder="1" applyAlignment="1">
      <alignment horizontal="left" vertical="center"/>
    </xf>
    <xf numFmtId="0" fontId="15" fillId="0" borderId="21" xfId="0" applyFont="1" applyBorder="1" applyAlignment="1" applyProtection="1">
      <alignment horizontal="left" vertical="center" wrapText="1"/>
      <protection locked="0"/>
    </xf>
    <xf numFmtId="0" fontId="15" fillId="0" borderId="19" xfId="0" applyFont="1" applyBorder="1" applyAlignment="1" applyProtection="1">
      <alignment horizontal="left" vertical="center" wrapText="1"/>
      <protection locked="0"/>
    </xf>
    <xf numFmtId="0" fontId="15" fillId="0" borderId="2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15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 vertical="center"/>
    </xf>
    <xf numFmtId="0" fontId="15" fillId="0" borderId="2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7" fontId="12" fillId="0" borderId="13" xfId="79" applyNumberFormat="1" applyFont="1" applyBorder="1" applyAlignment="1">
      <alignment horizontal="center" vertical="center" wrapText="1"/>
    </xf>
    <xf numFmtId="177" fontId="12" fillId="0" borderId="14" xfId="79" applyNumberFormat="1" applyFont="1" applyBorder="1" applyAlignment="1">
      <alignment horizontal="center" vertical="center" wrapText="1"/>
    </xf>
    <xf numFmtId="177" fontId="12" fillId="0" borderId="17" xfId="79" applyNumberFormat="1" applyFont="1" applyBorder="1" applyAlignment="1">
      <alignment horizontal="center" vertical="center" wrapText="1"/>
    </xf>
    <xf numFmtId="177" fontId="12" fillId="0" borderId="18" xfId="79" applyNumberFormat="1" applyFont="1" applyBorder="1" applyAlignment="1">
      <alignment horizontal="center" vertical="center" wrapText="1"/>
    </xf>
    <xf numFmtId="177" fontId="15" fillId="0" borderId="1" xfId="0" applyNumberFormat="1" applyFont="1" applyBorder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/>
    </xf>
    <xf numFmtId="0" fontId="15" fillId="0" borderId="4" xfId="79" applyFont="1" applyBorder="1" applyAlignment="1">
      <alignment horizontal="left" vertical="center" wrapText="1"/>
    </xf>
    <xf numFmtId="0" fontId="15" fillId="0" borderId="8" xfId="79" applyFont="1" applyBorder="1" applyAlignment="1">
      <alignment horizontal="left" vertical="center" wrapText="1"/>
    </xf>
    <xf numFmtId="0" fontId="15" fillId="0" borderId="6" xfId="79" applyFont="1" applyBorder="1" applyAlignment="1">
      <alignment horizontal="left" vertical="center" wrapText="1"/>
    </xf>
    <xf numFmtId="0" fontId="12" fillId="0" borderId="5" xfId="79" applyFont="1" applyBorder="1" applyAlignment="1">
      <alignment horizontal="center" vertical="center" wrapText="1"/>
    </xf>
    <xf numFmtId="0" fontId="12" fillId="0" borderId="1" xfId="79" applyFont="1" applyBorder="1" applyAlignment="1">
      <alignment horizontal="center" vertical="center" wrapText="1"/>
    </xf>
    <xf numFmtId="0" fontId="12" fillId="0" borderId="4" xfId="79" applyFont="1" applyBorder="1" applyAlignment="1">
      <alignment horizontal="center" vertical="center" wrapText="1"/>
    </xf>
    <xf numFmtId="0" fontId="12" fillId="0" borderId="8" xfId="79" applyFont="1" applyBorder="1" applyAlignment="1">
      <alignment horizontal="center" vertical="center" wrapText="1"/>
    </xf>
    <xf numFmtId="0" fontId="12" fillId="0" borderId="6" xfId="79" applyFont="1" applyBorder="1" applyAlignment="1">
      <alignment horizontal="center" vertical="center" wrapText="1"/>
    </xf>
    <xf numFmtId="177" fontId="15" fillId="0" borderId="13" xfId="79" applyNumberFormat="1" applyFont="1" applyBorder="1" applyAlignment="1">
      <alignment horizontal="center" vertical="center" wrapText="1"/>
    </xf>
    <xf numFmtId="177" fontId="15" fillId="0" borderId="14" xfId="79" applyNumberFormat="1" applyFont="1" applyBorder="1" applyAlignment="1">
      <alignment horizontal="center" vertical="center" wrapText="1"/>
    </xf>
    <xf numFmtId="177" fontId="15" fillId="0" borderId="17" xfId="79" applyNumberFormat="1" applyFont="1" applyBorder="1" applyAlignment="1">
      <alignment horizontal="center" vertical="center" wrapText="1"/>
    </xf>
    <xf numFmtId="177" fontId="15" fillId="0" borderId="18" xfId="79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177" fontId="15" fillId="0" borderId="2" xfId="0" applyNumberFormat="1" applyFont="1" applyBorder="1" applyAlignment="1">
      <alignment horizontal="center" vertical="center" wrapText="1"/>
    </xf>
    <xf numFmtId="177" fontId="15" fillId="0" borderId="9" xfId="0" applyNumberFormat="1" applyFont="1" applyBorder="1" applyAlignment="1">
      <alignment horizontal="center" vertical="center" wrapText="1"/>
    </xf>
    <xf numFmtId="177" fontId="15" fillId="0" borderId="3" xfId="0" applyNumberFormat="1" applyFont="1" applyBorder="1" applyAlignment="1">
      <alignment horizontal="center" vertical="center" wrapText="1"/>
    </xf>
    <xf numFmtId="177" fontId="15" fillId="0" borderId="10" xfId="0" applyNumberFormat="1" applyFont="1" applyBorder="1" applyAlignment="1">
      <alignment horizontal="center" vertical="center" wrapText="1"/>
    </xf>
    <xf numFmtId="177" fontId="15" fillId="0" borderId="11" xfId="0" applyNumberFormat="1" applyFont="1" applyBorder="1" applyAlignment="1">
      <alignment horizontal="center" vertical="center" wrapText="1"/>
    </xf>
    <xf numFmtId="177" fontId="15" fillId="0" borderId="12" xfId="0" applyNumberFormat="1" applyFont="1" applyBorder="1" applyAlignment="1">
      <alignment horizontal="center" vertical="center" wrapText="1"/>
    </xf>
    <xf numFmtId="0" fontId="45" fillId="0" borderId="7" xfId="0" applyFont="1" applyBorder="1" applyAlignment="1">
      <alignment horizontal="left"/>
    </xf>
    <xf numFmtId="181" fontId="15" fillId="0" borderId="2" xfId="0" applyNumberFormat="1" applyFont="1" applyBorder="1" applyAlignment="1">
      <alignment horizontal="center" vertical="center" wrapText="1"/>
    </xf>
    <xf numFmtId="181" fontId="15" fillId="0" borderId="9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5" fillId="0" borderId="2" xfId="0" applyFont="1" applyBorder="1" applyAlignment="1">
      <alignment horizontal="center"/>
    </xf>
    <xf numFmtId="0" fontId="15" fillId="0" borderId="20" xfId="0" applyFont="1" applyBorder="1" applyAlignment="1">
      <alignment horizontal="center" vertical="center" wrapText="1"/>
    </xf>
    <xf numFmtId="177" fontId="15" fillId="0" borderId="1" xfId="0" applyNumberFormat="1" applyFont="1" applyBorder="1" applyAlignment="1">
      <alignment horizontal="center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left" vertical="center" wrapText="1"/>
    </xf>
  </cellXfs>
  <cellStyles count="82">
    <cellStyle name="20% - Accent1" xfId="36" xr:uid="{00000000-0005-0000-0000-000000000000}"/>
    <cellStyle name="20% - Accent2" xfId="37" xr:uid="{00000000-0005-0000-0000-000001000000}"/>
    <cellStyle name="20% - Accent3" xfId="38" xr:uid="{00000000-0005-0000-0000-000002000000}"/>
    <cellStyle name="20% - Accent4" xfId="39" xr:uid="{00000000-0005-0000-0000-000003000000}"/>
    <cellStyle name="20% - Accent5" xfId="40" xr:uid="{00000000-0005-0000-0000-000004000000}"/>
    <cellStyle name="20% - Accent6" xfId="41" xr:uid="{00000000-0005-0000-0000-000005000000}"/>
    <cellStyle name="20% - 强调文字颜色 1" xfId="9" xr:uid="{00000000-0005-0000-0000-000006000000}"/>
    <cellStyle name="20% - 强调文字颜色 2" xfId="10" xr:uid="{00000000-0005-0000-0000-000007000000}"/>
    <cellStyle name="20% - 强调文字颜色 3" xfId="11" xr:uid="{00000000-0005-0000-0000-000008000000}"/>
    <cellStyle name="20% - 强调文字颜色 4" xfId="12" xr:uid="{00000000-0005-0000-0000-000009000000}"/>
    <cellStyle name="20% - 强调文字颜色 5" xfId="13" xr:uid="{00000000-0005-0000-0000-00000A000000}"/>
    <cellStyle name="20% - 强调文字颜色 6" xfId="14" xr:uid="{00000000-0005-0000-0000-00000B000000}"/>
    <cellStyle name="40% - Accent1" xfId="42" xr:uid="{00000000-0005-0000-0000-00000C000000}"/>
    <cellStyle name="40% - Accent2" xfId="43" xr:uid="{00000000-0005-0000-0000-00000D000000}"/>
    <cellStyle name="40% - Accent3" xfId="44" xr:uid="{00000000-0005-0000-0000-00000E000000}"/>
    <cellStyle name="40% - Accent4" xfId="45" xr:uid="{00000000-0005-0000-0000-00000F000000}"/>
    <cellStyle name="40% - Accent5" xfId="46" xr:uid="{00000000-0005-0000-0000-000010000000}"/>
    <cellStyle name="40% - Accent6" xfId="47" xr:uid="{00000000-0005-0000-0000-000011000000}"/>
    <cellStyle name="40% - 强调文字颜色 1" xfId="15" xr:uid="{00000000-0005-0000-0000-000012000000}"/>
    <cellStyle name="40% - 强调文字颜色 2" xfId="16" xr:uid="{00000000-0005-0000-0000-000013000000}"/>
    <cellStyle name="40% - 强调文字颜色 3" xfId="17" xr:uid="{00000000-0005-0000-0000-000014000000}"/>
    <cellStyle name="40% - 强调文字颜色 4" xfId="18" xr:uid="{00000000-0005-0000-0000-000015000000}"/>
    <cellStyle name="40% - 强调文字颜色 5" xfId="19" xr:uid="{00000000-0005-0000-0000-000016000000}"/>
    <cellStyle name="40% - 强调文字颜色 6" xfId="20" xr:uid="{00000000-0005-0000-0000-000017000000}"/>
    <cellStyle name="60% - Accent1" xfId="48" xr:uid="{00000000-0005-0000-0000-000018000000}"/>
    <cellStyle name="60% - Accent2" xfId="49" xr:uid="{00000000-0005-0000-0000-000019000000}"/>
    <cellStyle name="60% - Accent3" xfId="50" xr:uid="{00000000-0005-0000-0000-00001A000000}"/>
    <cellStyle name="60% - Accent4" xfId="51" xr:uid="{00000000-0005-0000-0000-00001B000000}"/>
    <cellStyle name="60% - Accent5" xfId="52" xr:uid="{00000000-0005-0000-0000-00001C000000}"/>
    <cellStyle name="60% - Accent6" xfId="53" xr:uid="{00000000-0005-0000-0000-00001D000000}"/>
    <cellStyle name="60% - 强调文字颜色 1" xfId="21" xr:uid="{00000000-0005-0000-0000-00001E000000}"/>
    <cellStyle name="60% - 强调文字颜色 2" xfId="22" xr:uid="{00000000-0005-0000-0000-00001F000000}"/>
    <cellStyle name="60% - 强调文字颜色 3" xfId="23" xr:uid="{00000000-0005-0000-0000-000020000000}"/>
    <cellStyle name="60% - 强调文字颜色 4" xfId="24" xr:uid="{00000000-0005-0000-0000-000021000000}"/>
    <cellStyle name="60% - 强调文字颜色 5" xfId="25" xr:uid="{00000000-0005-0000-0000-000022000000}"/>
    <cellStyle name="60% - 强调文字颜色 6" xfId="26" xr:uid="{00000000-0005-0000-0000-000023000000}"/>
    <cellStyle name="Accent1" xfId="54" xr:uid="{00000000-0005-0000-0000-000024000000}"/>
    <cellStyle name="Accent2" xfId="55" xr:uid="{00000000-0005-0000-0000-000025000000}"/>
    <cellStyle name="Accent3" xfId="56" xr:uid="{00000000-0005-0000-0000-000026000000}"/>
    <cellStyle name="Accent4" xfId="57" xr:uid="{00000000-0005-0000-0000-000027000000}"/>
    <cellStyle name="Accent5" xfId="58" xr:uid="{00000000-0005-0000-0000-000028000000}"/>
    <cellStyle name="Accent6" xfId="59" xr:uid="{00000000-0005-0000-0000-000029000000}"/>
    <cellStyle name="Bad" xfId="60" xr:uid="{00000000-0005-0000-0000-00002A000000}"/>
    <cellStyle name="Bad 2" xfId="1" xr:uid="{00000000-0005-0000-0000-00002B000000}"/>
    <cellStyle name="Bad_表11_Recovery" xfId="77" xr:uid="{00000000-0005-0000-0000-00002C000000}"/>
    <cellStyle name="Calculation" xfId="61" xr:uid="{00000000-0005-0000-0000-00002D000000}"/>
    <cellStyle name="Check Cell" xfId="62" xr:uid="{00000000-0005-0000-0000-00002E000000}"/>
    <cellStyle name="Explanatory Text" xfId="63" xr:uid="{00000000-0005-0000-0000-00002F000000}"/>
    <cellStyle name="Good" xfId="64" xr:uid="{00000000-0005-0000-0000-000030000000}"/>
    <cellStyle name="Heading 1" xfId="65" xr:uid="{00000000-0005-0000-0000-000031000000}"/>
    <cellStyle name="Heading 2" xfId="66" xr:uid="{00000000-0005-0000-0000-000032000000}"/>
    <cellStyle name="Heading 3" xfId="67" xr:uid="{00000000-0005-0000-0000-000033000000}"/>
    <cellStyle name="Heading 4" xfId="68" xr:uid="{00000000-0005-0000-0000-000034000000}"/>
    <cellStyle name="Input" xfId="69" xr:uid="{00000000-0005-0000-0000-000035000000}"/>
    <cellStyle name="Linked Cell" xfId="70" xr:uid="{00000000-0005-0000-0000-000036000000}"/>
    <cellStyle name="Neutral" xfId="71" xr:uid="{00000000-0005-0000-0000-000037000000}"/>
    <cellStyle name="Normal 2" xfId="2" xr:uid="{00000000-0005-0000-0000-000038000000}"/>
    <cellStyle name="Normal 3" xfId="3" xr:uid="{00000000-0005-0000-0000-000039000000}"/>
    <cellStyle name="Normal_Gilead Samples 02jan07" xfId="7" xr:uid="{00000000-0005-0000-0000-00003A000000}"/>
    <cellStyle name="Normal_TABLE2" xfId="8" xr:uid="{00000000-0005-0000-0000-00003B000000}"/>
    <cellStyle name="Note" xfId="72" xr:uid="{00000000-0005-0000-0000-00003C000000}"/>
    <cellStyle name="Output" xfId="73" xr:uid="{00000000-0005-0000-0000-00003D000000}"/>
    <cellStyle name="Percent 2" xfId="4" xr:uid="{00000000-0005-0000-0000-00003E000000}"/>
    <cellStyle name="Title" xfId="74" xr:uid="{00000000-0005-0000-0000-00003F000000}"/>
    <cellStyle name="Total" xfId="75" xr:uid="{00000000-0005-0000-0000-000040000000}"/>
    <cellStyle name="Warning Text" xfId="76" xr:uid="{00000000-0005-0000-0000-000041000000}"/>
    <cellStyle name="差" xfId="5" builtinId="27"/>
    <cellStyle name="差_1.1" xfId="27" xr:uid="{00000000-0005-0000-0000-000043000000}"/>
    <cellStyle name="差_表11_Recovery" xfId="78" xr:uid="{00000000-0005-0000-0000-000044000000}"/>
    <cellStyle name="差_表25_干扰" xfId="81" xr:uid="{00000000-0005-0000-0000-000045000000}"/>
    <cellStyle name="常规" xfId="0" builtinId="0"/>
    <cellStyle name="常规 2" xfId="28" xr:uid="{00000000-0005-0000-0000-000047000000}"/>
    <cellStyle name="常规 2 2" xfId="6" xr:uid="{00000000-0005-0000-0000-000048000000}"/>
    <cellStyle name="常规_表11_Recovery" xfId="79" xr:uid="{00000000-0005-0000-0000-000049000000}"/>
    <cellStyle name="好_1.1" xfId="29" xr:uid="{00000000-0005-0000-0000-00004A000000}"/>
    <cellStyle name="好_表11_Recovery" xfId="80" xr:uid="{00000000-0005-0000-0000-00004B000000}"/>
    <cellStyle name="强调文字颜色 1" xfId="30" xr:uid="{00000000-0005-0000-0000-00004C000000}"/>
    <cellStyle name="强调文字颜色 2" xfId="31" xr:uid="{00000000-0005-0000-0000-00004D000000}"/>
    <cellStyle name="强调文字颜色 3" xfId="32" xr:uid="{00000000-0005-0000-0000-00004E000000}"/>
    <cellStyle name="强调文字颜色 4" xfId="33" xr:uid="{00000000-0005-0000-0000-00004F000000}"/>
    <cellStyle name="强调文字颜色 5" xfId="34" xr:uid="{00000000-0005-0000-0000-000050000000}"/>
    <cellStyle name="强调文字颜色 6" xfId="35" xr:uid="{00000000-0005-0000-0000-00005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2:H22"/>
  <sheetViews>
    <sheetView tabSelected="1" view="pageBreakPreview" zoomScaleNormal="100" zoomScaleSheetLayoutView="100" workbookViewId="0">
      <selection activeCell="B6" sqref="B6"/>
    </sheetView>
  </sheetViews>
  <sheetFormatPr defaultColWidth="8.875" defaultRowHeight="13.5"/>
  <cols>
    <col min="1" max="1" width="7.875" style="5" customWidth="1"/>
    <col min="2" max="2" width="54.625" style="5" customWidth="1"/>
    <col min="3" max="4" width="12.25" style="5" customWidth="1"/>
    <col min="5" max="5" width="13.875" style="9" customWidth="1"/>
    <col min="6" max="6" width="13.875" style="5" customWidth="1"/>
    <col min="7" max="7" width="12" style="5" customWidth="1"/>
    <col min="8" max="8" width="9.625" style="5" bestFit="1" customWidth="1"/>
    <col min="9" max="16384" width="8.875" style="5"/>
  </cols>
  <sheetData>
    <row r="2" spans="1:7">
      <c r="A2" s="118" t="s">
        <v>37</v>
      </c>
      <c r="B2" s="118"/>
      <c r="C2" s="7"/>
    </row>
    <row r="3" spans="1:7">
      <c r="A3" s="98"/>
    </row>
    <row r="4" spans="1:7" ht="31.5" customHeight="1">
      <c r="A4" s="29" t="s">
        <v>9</v>
      </c>
      <c r="B4" s="29" t="s">
        <v>10</v>
      </c>
      <c r="C4" s="29" t="s">
        <v>163</v>
      </c>
      <c r="D4" s="29" t="s">
        <v>11</v>
      </c>
      <c r="E4" s="29" t="s">
        <v>164</v>
      </c>
      <c r="F4" s="29" t="s">
        <v>165</v>
      </c>
      <c r="G4" s="61" t="s">
        <v>166</v>
      </c>
    </row>
    <row r="5" spans="1:7" ht="45.75" customHeight="1">
      <c r="A5" s="99">
        <v>1</v>
      </c>
      <c r="B5" s="218" t="s">
        <v>210</v>
      </c>
      <c r="C5" s="76">
        <v>45797</v>
      </c>
      <c r="D5" s="76">
        <v>45799</v>
      </c>
      <c r="E5" s="29" t="s">
        <v>183</v>
      </c>
      <c r="F5" s="29" t="s">
        <v>198</v>
      </c>
      <c r="G5" s="61" t="s">
        <v>129</v>
      </c>
    </row>
    <row r="6" spans="1:7" ht="50.25" customHeight="1">
      <c r="A6" s="99">
        <v>2</v>
      </c>
      <c r="B6" s="105" t="s">
        <v>182</v>
      </c>
      <c r="C6" s="76">
        <v>45800</v>
      </c>
      <c r="D6" s="76">
        <v>45800</v>
      </c>
      <c r="E6" s="29" t="s">
        <v>183</v>
      </c>
      <c r="F6" s="29" t="s">
        <v>183</v>
      </c>
      <c r="G6" s="61" t="s">
        <v>129</v>
      </c>
    </row>
    <row r="7" spans="1:7" ht="43.5" customHeight="1">
      <c r="A7" s="99">
        <v>3</v>
      </c>
      <c r="B7" s="105" t="s">
        <v>184</v>
      </c>
      <c r="C7" s="76">
        <v>45803</v>
      </c>
      <c r="D7" s="76">
        <v>45804</v>
      </c>
      <c r="E7" s="29" t="s">
        <v>183</v>
      </c>
      <c r="F7" s="29" t="s">
        <v>183</v>
      </c>
      <c r="G7" s="61" t="s">
        <v>199</v>
      </c>
    </row>
    <row r="8" spans="1:7" ht="16.5">
      <c r="A8" s="99">
        <v>4</v>
      </c>
      <c r="B8" s="105" t="s">
        <v>185</v>
      </c>
      <c r="C8" s="76">
        <v>45806</v>
      </c>
      <c r="D8" s="76">
        <v>45806</v>
      </c>
      <c r="E8" s="29" t="s">
        <v>186</v>
      </c>
      <c r="F8" s="29" t="s">
        <v>186</v>
      </c>
      <c r="G8" s="61" t="s">
        <v>129</v>
      </c>
    </row>
    <row r="9" spans="1:7" ht="52.5" customHeight="1">
      <c r="A9" s="99">
        <v>5</v>
      </c>
      <c r="B9" s="218" t="s">
        <v>187</v>
      </c>
      <c r="C9" s="76">
        <v>45806</v>
      </c>
      <c r="D9" s="76">
        <v>45807</v>
      </c>
      <c r="E9" s="29" t="s">
        <v>130</v>
      </c>
      <c r="F9" s="29" t="s">
        <v>130</v>
      </c>
      <c r="G9" s="61" t="s">
        <v>129</v>
      </c>
    </row>
    <row r="10" spans="1:7">
      <c r="A10" s="8" t="s">
        <v>53</v>
      </c>
    </row>
    <row r="11" spans="1:7" ht="14.25" customHeight="1">
      <c r="A11" s="119" t="s">
        <v>203</v>
      </c>
      <c r="B11" s="117"/>
      <c r="C11" s="117"/>
      <c r="D11" s="117"/>
      <c r="E11" s="117"/>
      <c r="F11" s="117"/>
      <c r="G11" s="117"/>
    </row>
    <row r="12" spans="1:7">
      <c r="A12" s="117" t="s">
        <v>188</v>
      </c>
      <c r="B12" s="117"/>
      <c r="C12" s="117"/>
      <c r="D12" s="117"/>
      <c r="E12" s="117"/>
      <c r="F12" s="117"/>
      <c r="G12" s="117"/>
    </row>
    <row r="13" spans="1:7">
      <c r="A13" s="117" t="s">
        <v>189</v>
      </c>
      <c r="B13" s="117"/>
      <c r="C13" s="117"/>
      <c r="D13" s="117"/>
      <c r="E13" s="117"/>
      <c r="F13" s="117"/>
      <c r="G13" s="117"/>
    </row>
    <row r="14" spans="1:7" ht="34.5" customHeight="1">
      <c r="A14" s="120" t="s">
        <v>200</v>
      </c>
      <c r="B14" s="120"/>
      <c r="C14" s="120"/>
      <c r="D14" s="120"/>
      <c r="E14" s="120"/>
      <c r="F14" s="120"/>
      <c r="G14" s="120"/>
    </row>
    <row r="15" spans="1:7">
      <c r="A15" s="117"/>
      <c r="B15" s="117"/>
      <c r="C15" s="117"/>
      <c r="D15" s="117"/>
      <c r="E15" s="117"/>
      <c r="F15" s="117"/>
      <c r="G15" s="117"/>
    </row>
    <row r="16" spans="1:7" ht="15">
      <c r="B16" s="53"/>
      <c r="C16" s="53"/>
      <c r="D16" s="53"/>
      <c r="E16" s="5"/>
    </row>
    <row r="17" spans="2:8" ht="15">
      <c r="B17" s="53"/>
      <c r="C17" s="53"/>
      <c r="D17" s="53"/>
      <c r="E17" s="5"/>
    </row>
    <row r="18" spans="2:8" ht="15">
      <c r="B18" s="53"/>
      <c r="C18" s="53"/>
      <c r="D18" s="53"/>
      <c r="E18" s="5"/>
    </row>
    <row r="19" spans="2:8" ht="15">
      <c r="B19" s="53"/>
      <c r="C19" s="53"/>
      <c r="D19" s="53"/>
      <c r="E19" s="53"/>
    </row>
    <row r="20" spans="2:8" ht="15">
      <c r="B20" s="53"/>
      <c r="C20" s="53"/>
      <c r="D20" s="53"/>
      <c r="E20" s="53"/>
      <c r="G20" s="100"/>
      <c r="H20" s="100"/>
    </row>
    <row r="21" spans="2:8" ht="15">
      <c r="B21" s="53"/>
      <c r="C21" s="53"/>
      <c r="D21" s="53"/>
      <c r="E21" s="53"/>
    </row>
    <row r="22" spans="2:8" ht="15">
      <c r="B22" s="53"/>
      <c r="C22" s="53"/>
      <c r="D22" s="53"/>
      <c r="E22" s="53"/>
    </row>
  </sheetData>
  <mergeCells count="6">
    <mergeCell ref="A15:G15"/>
    <mergeCell ref="A2:B2"/>
    <mergeCell ref="A11:G11"/>
    <mergeCell ref="A12:G12"/>
    <mergeCell ref="A13:G13"/>
    <mergeCell ref="A14:G14"/>
  </mergeCells>
  <phoneticPr fontId="6" type="noConversion"/>
  <printOptions headings="1" gridLines="1"/>
  <pageMargins left="0.70866141732283472" right="0.70866141732283472" top="0.74803149606299213" bottom="0.74803149606299213" header="0.31496062992125984" footer="0.31496062992125984"/>
  <pageSetup scale="67" orientation="portrait" r:id="rId1"/>
  <headerFooter>
    <oddHeader>&amp;C 1632MV7生物分析方法学验证数据</oddHeader>
    <oddFooter>&amp;C第&amp;P页，共&amp;N页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2:K31"/>
  <sheetViews>
    <sheetView view="pageBreakPreview" zoomScaleNormal="100" zoomScaleSheetLayoutView="100" workbookViewId="0">
      <selection activeCell="B28" sqref="B28"/>
    </sheetView>
  </sheetViews>
  <sheetFormatPr defaultColWidth="8.875" defaultRowHeight="15.75" customHeight="1"/>
  <cols>
    <col min="1" max="1" width="10.5" style="6" customWidth="1"/>
    <col min="2" max="2" width="27" style="6" customWidth="1"/>
    <col min="3" max="3" width="10.375" style="6" customWidth="1"/>
    <col min="4" max="4" width="27.5" style="6" customWidth="1"/>
    <col min="5" max="6" width="10.375" style="6" customWidth="1"/>
    <col min="7" max="7" width="26.5" style="6" customWidth="1"/>
    <col min="8" max="8" width="10.375" style="6" customWidth="1"/>
    <col min="9" max="16384" width="8.875" style="6"/>
  </cols>
  <sheetData>
    <row r="2" spans="1:11" ht="15.75" customHeight="1">
      <c r="A2" s="117" t="s">
        <v>36</v>
      </c>
      <c r="B2" s="117"/>
      <c r="C2" s="117"/>
    </row>
    <row r="3" spans="1:11" ht="15.75" customHeight="1">
      <c r="A3" s="8"/>
      <c r="B3" s="8"/>
      <c r="C3" s="8"/>
    </row>
    <row r="4" spans="1:11" ht="15.75" customHeight="1">
      <c r="A4" s="8" t="s">
        <v>104</v>
      </c>
      <c r="C4" s="6" t="s">
        <v>75</v>
      </c>
    </row>
    <row r="5" spans="1:11" ht="15.75" customHeight="1">
      <c r="A5" s="128" t="s">
        <v>190</v>
      </c>
      <c r="B5" s="129"/>
      <c r="C5" s="129"/>
      <c r="D5" s="129"/>
      <c r="E5" s="129"/>
      <c r="F5" s="129"/>
      <c r="G5" s="129"/>
      <c r="H5" s="130"/>
    </row>
    <row r="6" spans="1:11" ht="15.75" customHeight="1">
      <c r="A6" s="127" t="s">
        <v>12</v>
      </c>
      <c r="B6" s="127" t="s">
        <v>13</v>
      </c>
      <c r="C6" s="127" t="s">
        <v>46</v>
      </c>
      <c r="D6" s="127"/>
      <c r="E6" s="127"/>
      <c r="F6" s="127" t="s">
        <v>14</v>
      </c>
      <c r="G6" s="127"/>
      <c r="H6" s="127"/>
    </row>
    <row r="7" spans="1:11" ht="50.25" customHeight="1">
      <c r="A7" s="127"/>
      <c r="B7" s="127"/>
      <c r="C7" s="29" t="s">
        <v>15</v>
      </c>
      <c r="D7" s="116" t="s">
        <v>201</v>
      </c>
      <c r="E7" s="29" t="s">
        <v>85</v>
      </c>
      <c r="F7" s="29" t="s">
        <v>15</v>
      </c>
      <c r="G7" s="29" t="s">
        <v>106</v>
      </c>
      <c r="H7" s="29" t="s">
        <v>85</v>
      </c>
    </row>
    <row r="8" spans="1:11" ht="15.75" customHeight="1">
      <c r="A8" s="29" t="s">
        <v>68</v>
      </c>
      <c r="B8" s="101" t="s">
        <v>168</v>
      </c>
      <c r="C8" s="61">
        <v>186</v>
      </c>
      <c r="D8" s="124">
        <v>7650</v>
      </c>
      <c r="E8" s="66">
        <f>ROUND(C8/D8*100,1)</f>
        <v>2.4</v>
      </c>
      <c r="F8" s="61">
        <v>510</v>
      </c>
      <c r="G8" s="121">
        <v>2765481</v>
      </c>
      <c r="H8" s="66">
        <f>ROUND(F8/G8*100,1)</f>
        <v>0</v>
      </c>
      <c r="I8" s="106"/>
      <c r="J8" s="106"/>
    </row>
    <row r="9" spans="1:11" ht="15.75" customHeight="1">
      <c r="A9" s="29" t="s">
        <v>69</v>
      </c>
      <c r="B9" s="101" t="s">
        <v>170</v>
      </c>
      <c r="C9" s="61">
        <v>261</v>
      </c>
      <c r="D9" s="125"/>
      <c r="E9" s="66">
        <f>ROUND(C9/D8*100,1)</f>
        <v>3.4</v>
      </c>
      <c r="F9" s="61">
        <v>430</v>
      </c>
      <c r="G9" s="122"/>
      <c r="H9" s="66">
        <f>ROUND(F9/G8*100,1)</f>
        <v>0</v>
      </c>
      <c r="I9" s="106"/>
      <c r="J9" s="106"/>
    </row>
    <row r="10" spans="1:11" ht="15.75" customHeight="1">
      <c r="A10" s="29" t="s">
        <v>70</v>
      </c>
      <c r="B10" s="101" t="s">
        <v>172</v>
      </c>
      <c r="C10" s="61">
        <v>165</v>
      </c>
      <c r="D10" s="125"/>
      <c r="E10" s="66">
        <f>ROUND(C10/D8*100,1)</f>
        <v>2.2000000000000002</v>
      </c>
      <c r="F10" s="61">
        <v>332</v>
      </c>
      <c r="G10" s="122"/>
      <c r="H10" s="66">
        <f>ROUND(F10/G8*100,1)</f>
        <v>0</v>
      </c>
      <c r="I10" s="106"/>
      <c r="J10" s="106"/>
    </row>
    <row r="11" spans="1:11" ht="15.75" customHeight="1">
      <c r="A11" s="29" t="s">
        <v>71</v>
      </c>
      <c r="B11" s="101" t="s">
        <v>174</v>
      </c>
      <c r="C11" s="61">
        <v>211</v>
      </c>
      <c r="D11" s="125"/>
      <c r="E11" s="66">
        <f>ROUND(C11/D8*100,1)</f>
        <v>2.8</v>
      </c>
      <c r="F11" s="61">
        <v>370</v>
      </c>
      <c r="G11" s="122"/>
      <c r="H11" s="66">
        <f>ROUND(F11/G8*100,1)</f>
        <v>0</v>
      </c>
      <c r="I11" s="106"/>
      <c r="J11" s="106"/>
    </row>
    <row r="12" spans="1:11" ht="15.75" customHeight="1">
      <c r="A12" s="29" t="s">
        <v>72</v>
      </c>
      <c r="B12" s="101" t="s">
        <v>176</v>
      </c>
      <c r="C12" s="61">
        <v>155</v>
      </c>
      <c r="D12" s="125"/>
      <c r="E12" s="66">
        <f>ROUND(C12/D8*100,1)</f>
        <v>2</v>
      </c>
      <c r="F12" s="61">
        <v>967</v>
      </c>
      <c r="G12" s="122"/>
      <c r="H12" s="66">
        <f>ROUND(F12/G8*100,1)</f>
        <v>0</v>
      </c>
      <c r="I12" s="106"/>
      <c r="J12" s="106"/>
    </row>
    <row r="13" spans="1:11" ht="15.75" customHeight="1">
      <c r="A13" s="29" t="s">
        <v>73</v>
      </c>
      <c r="B13" s="101" t="s">
        <v>177</v>
      </c>
      <c r="C13" s="61">
        <v>123</v>
      </c>
      <c r="D13" s="125"/>
      <c r="E13" s="66">
        <f>ROUND(C13/D8*100,1)</f>
        <v>1.6</v>
      </c>
      <c r="F13" s="61">
        <v>180</v>
      </c>
      <c r="G13" s="122"/>
      <c r="H13" s="66">
        <f>ROUND(F13/G8*100,1)</f>
        <v>0</v>
      </c>
      <c r="I13" s="106"/>
      <c r="J13" s="106"/>
    </row>
    <row r="14" spans="1:11" ht="15.75" customHeight="1">
      <c r="A14" s="29" t="s">
        <v>191</v>
      </c>
      <c r="B14" s="101" t="s">
        <v>74</v>
      </c>
      <c r="C14" s="61">
        <v>161</v>
      </c>
      <c r="D14" s="126"/>
      <c r="E14" s="66">
        <f>ROUND(C14/D8*100,1)</f>
        <v>2.1</v>
      </c>
      <c r="F14" s="61">
        <v>616</v>
      </c>
      <c r="G14" s="123"/>
      <c r="H14" s="66">
        <f>ROUND(F14/G8*100,1)</f>
        <v>0</v>
      </c>
      <c r="I14" s="106"/>
      <c r="J14" s="106"/>
      <c r="K14" s="106"/>
    </row>
    <row r="15" spans="1:11" ht="15.75" customHeight="1">
      <c r="D15" s="102"/>
    </row>
    <row r="16" spans="1:11" ht="15.75" customHeight="1">
      <c r="A16" s="8" t="s">
        <v>105</v>
      </c>
      <c r="C16" s="6" t="s">
        <v>75</v>
      </c>
    </row>
    <row r="17" spans="1:10" ht="15.75" customHeight="1">
      <c r="A17" s="128" t="s">
        <v>190</v>
      </c>
      <c r="B17" s="129"/>
      <c r="C17" s="129"/>
      <c r="D17" s="129"/>
      <c r="E17" s="129"/>
      <c r="F17" s="129"/>
      <c r="G17" s="129"/>
      <c r="H17" s="130"/>
    </row>
    <row r="18" spans="1:10" ht="15.75" customHeight="1">
      <c r="A18" s="127" t="s">
        <v>12</v>
      </c>
      <c r="B18" s="127" t="s">
        <v>13</v>
      </c>
      <c r="C18" s="127" t="s">
        <v>46</v>
      </c>
      <c r="D18" s="127"/>
      <c r="E18" s="127"/>
      <c r="F18" s="127" t="s">
        <v>14</v>
      </c>
      <c r="G18" s="127"/>
      <c r="H18" s="127"/>
    </row>
    <row r="19" spans="1:10" ht="54" customHeight="1">
      <c r="A19" s="127"/>
      <c r="B19" s="127"/>
      <c r="C19" s="29" t="s">
        <v>15</v>
      </c>
      <c r="D19" s="116" t="s">
        <v>202</v>
      </c>
      <c r="E19" s="29" t="s">
        <v>38</v>
      </c>
      <c r="F19" s="29" t="s">
        <v>15</v>
      </c>
      <c r="G19" s="29" t="s">
        <v>106</v>
      </c>
      <c r="H19" s="29" t="s">
        <v>85</v>
      </c>
    </row>
    <row r="20" spans="1:10" ht="15.75" customHeight="1">
      <c r="A20" s="29" t="s">
        <v>68</v>
      </c>
      <c r="B20" s="101" t="s">
        <v>168</v>
      </c>
      <c r="C20" s="61">
        <v>219</v>
      </c>
      <c r="D20" s="124">
        <v>5272</v>
      </c>
      <c r="E20" s="66">
        <f>ROUND(C20/D20*100,1)</f>
        <v>4.2</v>
      </c>
      <c r="F20" s="61">
        <v>510</v>
      </c>
      <c r="G20" s="121">
        <v>2765481</v>
      </c>
      <c r="H20" s="66">
        <f>ROUND(F20/G20*100,1)</f>
        <v>0</v>
      </c>
      <c r="I20" s="106"/>
      <c r="J20" s="106"/>
    </row>
    <row r="21" spans="1:10" ht="15.75" customHeight="1">
      <c r="A21" s="29" t="s">
        <v>69</v>
      </c>
      <c r="B21" s="101" t="s">
        <v>170</v>
      </c>
      <c r="C21" s="61">
        <v>864</v>
      </c>
      <c r="D21" s="125"/>
      <c r="E21" s="66">
        <f>ROUND(C21/D20*100,1)</f>
        <v>16.399999999999999</v>
      </c>
      <c r="F21" s="61">
        <v>430</v>
      </c>
      <c r="G21" s="122"/>
      <c r="H21" s="66">
        <f>ROUND(F21/G20*100,1)</f>
        <v>0</v>
      </c>
      <c r="I21" s="106"/>
      <c r="J21" s="106"/>
    </row>
    <row r="22" spans="1:10" ht="15.75" customHeight="1">
      <c r="A22" s="29" t="s">
        <v>70</v>
      </c>
      <c r="B22" s="101" t="s">
        <v>172</v>
      </c>
      <c r="C22" s="61">
        <v>206</v>
      </c>
      <c r="D22" s="125"/>
      <c r="E22" s="66">
        <f>ROUND(C22/D20*100,1)</f>
        <v>3.9</v>
      </c>
      <c r="F22" s="61">
        <v>332</v>
      </c>
      <c r="G22" s="122"/>
      <c r="H22" s="66">
        <f>ROUND(F22/G20*100,1)</f>
        <v>0</v>
      </c>
      <c r="I22" s="106"/>
      <c r="J22" s="106"/>
    </row>
    <row r="23" spans="1:10" ht="15.75" customHeight="1">
      <c r="A23" s="29" t="s">
        <v>71</v>
      </c>
      <c r="B23" s="101" t="s">
        <v>174</v>
      </c>
      <c r="C23" s="61">
        <v>262</v>
      </c>
      <c r="D23" s="125"/>
      <c r="E23" s="66">
        <f>ROUND(C23/D20*100,1)</f>
        <v>5</v>
      </c>
      <c r="F23" s="61">
        <v>370</v>
      </c>
      <c r="G23" s="122"/>
      <c r="H23" s="66">
        <f>ROUND(F23/G20*100,1)</f>
        <v>0</v>
      </c>
      <c r="I23" s="106"/>
      <c r="J23" s="106"/>
    </row>
    <row r="24" spans="1:10" ht="15.75" customHeight="1">
      <c r="A24" s="29" t="s">
        <v>72</v>
      </c>
      <c r="B24" s="101" t="s">
        <v>176</v>
      </c>
      <c r="C24" s="61">
        <v>304</v>
      </c>
      <c r="D24" s="125"/>
      <c r="E24" s="66">
        <f>ROUND(C24/D20*100,1)</f>
        <v>5.8</v>
      </c>
      <c r="F24" s="61">
        <v>967</v>
      </c>
      <c r="G24" s="122"/>
      <c r="H24" s="66">
        <f>ROUND(F24/G20*100,1)</f>
        <v>0</v>
      </c>
      <c r="I24" s="106"/>
      <c r="J24" s="106"/>
    </row>
    <row r="25" spans="1:10" ht="15.75" customHeight="1">
      <c r="A25" s="29" t="s">
        <v>73</v>
      </c>
      <c r="B25" s="101" t="s">
        <v>177</v>
      </c>
      <c r="C25" s="61">
        <v>219</v>
      </c>
      <c r="D25" s="125"/>
      <c r="E25" s="66">
        <f>ROUND(C25/D20*100,1)</f>
        <v>4.2</v>
      </c>
      <c r="F25" s="61">
        <v>180</v>
      </c>
      <c r="G25" s="122"/>
      <c r="H25" s="66">
        <f>ROUND(F25/G20*100,1)</f>
        <v>0</v>
      </c>
      <c r="I25" s="106"/>
      <c r="J25" s="106"/>
    </row>
    <row r="26" spans="1:10" ht="15.75" customHeight="1">
      <c r="A26" s="29" t="s">
        <v>191</v>
      </c>
      <c r="B26" s="101" t="s">
        <v>74</v>
      </c>
      <c r="C26" s="61">
        <v>588</v>
      </c>
      <c r="D26" s="126"/>
      <c r="E26" s="66">
        <f>ROUND(C26/D20*100,1)</f>
        <v>11.2</v>
      </c>
      <c r="F26" s="61">
        <v>616</v>
      </c>
      <c r="G26" s="123"/>
      <c r="H26" s="66">
        <f>ROUND(F26/G20*100,1)</f>
        <v>0</v>
      </c>
      <c r="I26" s="106"/>
      <c r="J26" s="106"/>
    </row>
    <row r="31" spans="1:10" ht="15.75" customHeight="1">
      <c r="G31" s="106"/>
    </row>
  </sheetData>
  <mergeCells count="15">
    <mergeCell ref="G8:G14"/>
    <mergeCell ref="D20:D26"/>
    <mergeCell ref="G20:G26"/>
    <mergeCell ref="A2:C2"/>
    <mergeCell ref="A6:A7"/>
    <mergeCell ref="B6:B7"/>
    <mergeCell ref="F6:H6"/>
    <mergeCell ref="A5:H5"/>
    <mergeCell ref="C6:E6"/>
    <mergeCell ref="A17:H17"/>
    <mergeCell ref="A18:A19"/>
    <mergeCell ref="B18:B19"/>
    <mergeCell ref="C18:E18"/>
    <mergeCell ref="F18:H18"/>
    <mergeCell ref="D8:D14"/>
  </mergeCells>
  <phoneticPr fontId="6" type="noConversion"/>
  <printOptions headings="1" gridLines="1"/>
  <pageMargins left="0.70866141732283472" right="0.70866141732283472" top="0.74803149606299213" bottom="0.74803149606299213" header="0.31496062992125984" footer="0.31496062992125984"/>
  <pageSetup scale="63" orientation="portrait" r:id="rId1"/>
  <headerFooter>
    <oddHeader>&amp;C 1632MV7生物分析方法学验证数据</oddHeader>
    <oddFooter>&amp;C第&amp;P页，共&amp;N页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2:T45"/>
  <sheetViews>
    <sheetView view="pageBreakPreview" zoomScaleNormal="100" zoomScaleSheetLayoutView="100" workbookViewId="0">
      <selection activeCell="F11" sqref="F11"/>
    </sheetView>
  </sheetViews>
  <sheetFormatPr defaultColWidth="8.875" defaultRowHeight="13.5"/>
  <cols>
    <col min="1" max="1" width="11.125" style="11" customWidth="1"/>
    <col min="2" max="2" width="9.625" style="11" customWidth="1"/>
    <col min="3" max="3" width="31.5" style="16" customWidth="1"/>
    <col min="4" max="4" width="21" style="11" customWidth="1"/>
    <col min="5" max="5" width="33.75" style="11" customWidth="1"/>
    <col min="6" max="6" width="18.625" style="35" customWidth="1"/>
    <col min="7" max="7" width="29.875" style="11" bestFit="1" customWidth="1"/>
    <col min="8" max="16384" width="8.875" style="11"/>
  </cols>
  <sheetData>
    <row r="2" spans="1:20">
      <c r="A2" s="119" t="s">
        <v>119</v>
      </c>
      <c r="B2" s="117"/>
      <c r="C2" s="117"/>
    </row>
    <row r="3" spans="1:20">
      <c r="A3" s="75"/>
      <c r="B3" s="8"/>
      <c r="C3" s="8"/>
    </row>
    <row r="4" spans="1:20">
      <c r="A4" s="77"/>
      <c r="B4" s="8"/>
      <c r="C4" s="8"/>
      <c r="G4" s="19"/>
    </row>
    <row r="5" spans="1:20">
      <c r="A5" s="34" t="s">
        <v>111</v>
      </c>
      <c r="C5" s="11"/>
      <c r="D5" s="6"/>
      <c r="E5" s="6"/>
      <c r="F5" s="15"/>
      <c r="G5" s="1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ht="18" customHeight="1">
      <c r="A6" s="127" t="s">
        <v>26</v>
      </c>
      <c r="B6" s="127" t="s">
        <v>21</v>
      </c>
      <c r="C6" s="127" t="s">
        <v>8</v>
      </c>
      <c r="D6" s="131" t="s">
        <v>107</v>
      </c>
      <c r="E6" s="131" t="s">
        <v>108</v>
      </c>
      <c r="F6" s="132" t="s">
        <v>109</v>
      </c>
      <c r="G6" s="2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ht="18" customHeight="1">
      <c r="A7" s="127"/>
      <c r="B7" s="127"/>
      <c r="C7" s="127"/>
      <c r="D7" s="127"/>
      <c r="E7" s="127"/>
      <c r="F7" s="133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ht="15.75" customHeight="1">
      <c r="A8" s="144">
        <v>45807</v>
      </c>
      <c r="B8" s="134">
        <v>5</v>
      </c>
      <c r="C8" s="62" t="s">
        <v>204</v>
      </c>
      <c r="D8" s="61">
        <v>3105</v>
      </c>
      <c r="E8" s="138">
        <v>2932423</v>
      </c>
      <c r="F8" s="141">
        <f>ROUND(AVERAGE(D8:D10)/E8*100,1)</f>
        <v>0.1</v>
      </c>
      <c r="G8"/>
      <c r="H8" s="60"/>
      <c r="I8"/>
      <c r="J8" s="60"/>
      <c r="K8" s="10"/>
      <c r="L8" s="10"/>
      <c r="M8" s="10"/>
      <c r="N8" s="10"/>
      <c r="O8" s="10"/>
      <c r="P8" s="10"/>
      <c r="Q8" s="10"/>
      <c r="R8" s="10"/>
      <c r="S8" s="10"/>
    </row>
    <row r="9" spans="1:20" ht="15.75" customHeight="1">
      <c r="A9" s="144"/>
      <c r="B9" s="135"/>
      <c r="C9" s="62" t="s">
        <v>205</v>
      </c>
      <c r="D9" s="61">
        <v>1860</v>
      </c>
      <c r="E9" s="139"/>
      <c r="F9" s="142"/>
      <c r="G9"/>
      <c r="H9" s="60"/>
      <c r="I9"/>
      <c r="J9" s="60"/>
      <c r="K9" s="10"/>
      <c r="L9" s="10"/>
      <c r="M9" s="10"/>
      <c r="N9" s="10"/>
      <c r="O9" s="10"/>
      <c r="P9" s="10"/>
      <c r="Q9" s="10"/>
      <c r="R9" s="10"/>
      <c r="S9" s="10"/>
    </row>
    <row r="10" spans="1:20" ht="15.75" customHeight="1">
      <c r="A10" s="144"/>
      <c r="B10" s="136"/>
      <c r="C10" s="62" t="s">
        <v>206</v>
      </c>
      <c r="D10" s="61">
        <v>2799</v>
      </c>
      <c r="E10" s="140"/>
      <c r="F10" s="143"/>
      <c r="G10"/>
      <c r="H10" s="60"/>
      <c r="I10"/>
      <c r="J10" s="60"/>
      <c r="K10" s="10"/>
      <c r="L10" s="10"/>
      <c r="M10" s="10"/>
      <c r="N10" s="10"/>
      <c r="O10" s="10"/>
      <c r="P10" s="10"/>
      <c r="Q10" s="10"/>
      <c r="R10" s="10"/>
      <c r="S10" s="10"/>
    </row>
    <row r="11" spans="1:20" ht="14.25">
      <c r="B11" s="12"/>
      <c r="C11" s="13"/>
      <c r="D11" s="6"/>
      <c r="E11" s="14"/>
      <c r="F11" s="15"/>
      <c r="G11"/>
      <c r="H11" s="60"/>
      <c r="I11"/>
      <c r="J11" s="60"/>
      <c r="K11" s="10"/>
      <c r="L11" s="10"/>
      <c r="M11" s="10"/>
      <c r="N11" s="10"/>
      <c r="O11" s="10"/>
      <c r="P11" s="10"/>
      <c r="Q11" s="10"/>
      <c r="R11" s="10"/>
      <c r="S11" s="10"/>
    </row>
    <row r="12" spans="1:20" ht="14.25">
      <c r="B12" s="12"/>
      <c r="C12" s="13"/>
      <c r="D12" s="6"/>
      <c r="E12" s="14"/>
      <c r="F12" s="15"/>
      <c r="G12"/>
      <c r="H12" s="60"/>
      <c r="I12"/>
      <c r="J12" s="60"/>
      <c r="K12" s="10"/>
      <c r="L12" s="10"/>
      <c r="M12" s="10"/>
      <c r="N12" s="10"/>
      <c r="O12" s="10"/>
      <c r="P12" s="10"/>
      <c r="Q12" s="10"/>
      <c r="R12" s="10"/>
      <c r="S12" s="10"/>
    </row>
    <row r="13" spans="1:20" ht="14.25">
      <c r="A13" s="119" t="s">
        <v>110</v>
      </c>
      <c r="B13" s="117"/>
      <c r="C13" s="117"/>
      <c r="D13" s="6"/>
      <c r="F13" s="15"/>
      <c r="G13"/>
      <c r="H13" s="60"/>
      <c r="I13"/>
      <c r="J13" s="60"/>
      <c r="K13" s="10"/>
      <c r="L13" s="10"/>
      <c r="M13" s="10"/>
      <c r="N13" s="10"/>
      <c r="O13" s="10"/>
      <c r="P13" s="10"/>
      <c r="Q13" s="10"/>
      <c r="R13" s="10"/>
      <c r="S13" s="10"/>
    </row>
    <row r="14" spans="1:20" ht="18" customHeight="1">
      <c r="A14" s="127" t="s">
        <v>26</v>
      </c>
      <c r="B14" s="127" t="s">
        <v>21</v>
      </c>
      <c r="C14" s="127" t="s">
        <v>8</v>
      </c>
      <c r="D14" s="131" t="s">
        <v>112</v>
      </c>
      <c r="E14" s="131" t="s">
        <v>131</v>
      </c>
      <c r="F14" s="132" t="s">
        <v>113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20" ht="18" customHeight="1">
      <c r="A15" s="127"/>
      <c r="B15" s="127"/>
      <c r="C15" s="127"/>
      <c r="D15" s="127"/>
      <c r="E15" s="127"/>
      <c r="F15" s="133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20" ht="15.75" customHeight="1">
      <c r="A16" s="144">
        <v>45807</v>
      </c>
      <c r="B16" s="134">
        <v>5</v>
      </c>
      <c r="C16" s="62" t="s">
        <v>207</v>
      </c>
      <c r="D16" s="61">
        <v>470</v>
      </c>
      <c r="E16" s="137">
        <v>7330</v>
      </c>
      <c r="F16" s="141">
        <f>ROUND(AVERAGE(D16:D18)/E16*100,1)</f>
        <v>4.2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 ht="15.75" customHeight="1">
      <c r="A17" s="144"/>
      <c r="B17" s="135"/>
      <c r="C17" s="62" t="s">
        <v>208</v>
      </c>
      <c r="D17" s="61">
        <v>168</v>
      </c>
      <c r="E17" s="137"/>
      <c r="F17" s="142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 ht="15.75" customHeight="1">
      <c r="A18" s="144"/>
      <c r="B18" s="136"/>
      <c r="C18" s="62" t="s">
        <v>209</v>
      </c>
      <c r="D18" s="61">
        <v>276</v>
      </c>
      <c r="E18" s="137"/>
      <c r="F18" s="143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>
      <c r="B19" s="5"/>
      <c r="C19" s="9"/>
      <c r="D19" s="5"/>
      <c r="E19" s="5"/>
      <c r="F19" s="37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>
      <c r="B20" s="5"/>
      <c r="C20" s="9"/>
      <c r="D20" s="5"/>
      <c r="E20" s="5"/>
      <c r="F20" s="37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>
      <c r="A21" s="119" t="s">
        <v>114</v>
      </c>
      <c r="B21" s="117"/>
      <c r="C21" s="117"/>
      <c r="D21" s="6"/>
      <c r="E21" s="6"/>
      <c r="F21" s="1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ht="19.5" customHeight="1">
      <c r="A22" s="127" t="s">
        <v>26</v>
      </c>
      <c r="B22" s="127" t="s">
        <v>21</v>
      </c>
      <c r="C22" s="127" t="s">
        <v>8</v>
      </c>
      <c r="D22" s="131" t="s">
        <v>107</v>
      </c>
      <c r="E22" s="131" t="s">
        <v>108</v>
      </c>
      <c r="F22" s="132" t="s">
        <v>109</v>
      </c>
      <c r="G22"/>
      <c r="H22" s="60"/>
      <c r="I22"/>
      <c r="J22" s="60"/>
    </row>
    <row r="23" spans="1:19" ht="19.5" customHeight="1">
      <c r="A23" s="127"/>
      <c r="B23" s="127"/>
      <c r="C23" s="127"/>
      <c r="D23" s="127"/>
      <c r="E23" s="127"/>
      <c r="F23" s="133"/>
      <c r="G23"/>
      <c r="H23" s="60"/>
      <c r="I23"/>
      <c r="J23" s="60"/>
    </row>
    <row r="24" spans="1:19" ht="14.25">
      <c r="A24" s="144">
        <v>45807</v>
      </c>
      <c r="B24" s="134">
        <v>5</v>
      </c>
      <c r="C24" s="62" t="s">
        <v>204</v>
      </c>
      <c r="D24" s="61">
        <v>3105</v>
      </c>
      <c r="E24" s="138">
        <v>2932423</v>
      </c>
      <c r="F24" s="141">
        <f>ROUND(AVERAGE(D24:D26)/E24*100,1)</f>
        <v>0.1</v>
      </c>
      <c r="G24"/>
      <c r="H24" s="60"/>
      <c r="I24"/>
      <c r="J24" s="60"/>
    </row>
    <row r="25" spans="1:19" ht="14.25">
      <c r="A25" s="144"/>
      <c r="B25" s="135"/>
      <c r="C25" s="62" t="s">
        <v>205</v>
      </c>
      <c r="D25" s="61">
        <v>1860</v>
      </c>
      <c r="E25" s="139"/>
      <c r="F25" s="142"/>
      <c r="G25"/>
      <c r="H25" s="60"/>
      <c r="I25"/>
      <c r="J25" s="60"/>
    </row>
    <row r="26" spans="1:19" ht="14.25">
      <c r="A26" s="144"/>
      <c r="B26" s="136"/>
      <c r="C26" s="62" t="s">
        <v>206</v>
      </c>
      <c r="D26" s="61">
        <v>2799</v>
      </c>
      <c r="E26" s="140"/>
      <c r="F26" s="143"/>
      <c r="G26"/>
      <c r="H26" s="60"/>
      <c r="I26"/>
      <c r="J26" s="60"/>
    </row>
    <row r="27" spans="1:19" ht="14.25">
      <c r="B27" s="12"/>
      <c r="C27" s="13"/>
      <c r="D27" s="6"/>
      <c r="E27" s="14"/>
      <c r="F27" s="15"/>
      <c r="G27"/>
      <c r="H27" s="60"/>
      <c r="I27"/>
      <c r="J27" s="60"/>
    </row>
    <row r="28" spans="1:19">
      <c r="B28" s="12"/>
      <c r="C28" s="13"/>
      <c r="D28" s="6"/>
      <c r="E28" s="14"/>
      <c r="F28" s="15"/>
    </row>
    <row r="29" spans="1:19">
      <c r="A29" s="119" t="s">
        <v>115</v>
      </c>
      <c r="B29" s="117"/>
      <c r="C29" s="117"/>
      <c r="D29" s="6"/>
      <c r="F29" s="15"/>
      <c r="G29" s="10"/>
    </row>
    <row r="30" spans="1:19" ht="18" customHeight="1">
      <c r="A30" s="127" t="s">
        <v>26</v>
      </c>
      <c r="B30" s="127" t="s">
        <v>21</v>
      </c>
      <c r="C30" s="127" t="s">
        <v>8</v>
      </c>
      <c r="D30" s="131" t="s">
        <v>116</v>
      </c>
      <c r="E30" s="131" t="s">
        <v>117</v>
      </c>
      <c r="F30" s="132" t="s">
        <v>118</v>
      </c>
      <c r="G30" s="10"/>
    </row>
    <row r="31" spans="1:19" ht="18" customHeight="1">
      <c r="A31" s="127"/>
      <c r="B31" s="127"/>
      <c r="C31" s="127"/>
      <c r="D31" s="127"/>
      <c r="E31" s="127"/>
      <c r="F31" s="133"/>
      <c r="G31" s="10"/>
    </row>
    <row r="32" spans="1:19">
      <c r="A32" s="144">
        <v>45807</v>
      </c>
      <c r="B32" s="134">
        <v>5</v>
      </c>
      <c r="C32" s="62" t="s">
        <v>207</v>
      </c>
      <c r="D32" s="61">
        <v>457</v>
      </c>
      <c r="E32" s="137">
        <v>6141</v>
      </c>
      <c r="F32" s="141">
        <f>ROUND(AVERAGE(D32:D34)/E32*100,1)</f>
        <v>7.6</v>
      </c>
      <c r="G32" s="10"/>
    </row>
    <row r="33" spans="1:8">
      <c r="A33" s="144"/>
      <c r="B33" s="135"/>
      <c r="C33" s="62" t="s">
        <v>208</v>
      </c>
      <c r="D33" s="61">
        <v>668</v>
      </c>
      <c r="E33" s="137"/>
      <c r="F33" s="142"/>
      <c r="G33" s="10"/>
    </row>
    <row r="34" spans="1:8">
      <c r="A34" s="144"/>
      <c r="B34" s="136"/>
      <c r="C34" s="62" t="s">
        <v>209</v>
      </c>
      <c r="D34" s="61">
        <v>272</v>
      </c>
      <c r="E34" s="137"/>
      <c r="F34" s="143"/>
      <c r="G34" s="10"/>
    </row>
    <row r="35" spans="1:8" s="27" customFormat="1" ht="15" customHeight="1">
      <c r="A35" s="25"/>
      <c r="B35" s="25"/>
      <c r="C35" s="26"/>
      <c r="D35" s="26"/>
      <c r="E35" s="26"/>
      <c r="F35" s="26"/>
      <c r="G35" s="26"/>
      <c r="H35" s="26"/>
    </row>
    <row r="36" spans="1:8" s="27" customFormat="1" ht="26.25" customHeight="1">
      <c r="A36" s="28"/>
      <c r="B36" s="28"/>
    </row>
    <row r="37" spans="1:8" s="27" customFormat="1" ht="15">
      <c r="A37" s="28"/>
      <c r="B37" s="28"/>
    </row>
    <row r="38" spans="1:8" s="27" customFormat="1" ht="15">
      <c r="A38" s="28"/>
      <c r="B38" s="28"/>
    </row>
    <row r="39" spans="1:8" s="27" customFormat="1" ht="15">
      <c r="A39" s="28"/>
      <c r="B39" s="28"/>
    </row>
    <row r="40" spans="1:8">
      <c r="C40" s="11"/>
      <c r="F40" s="11"/>
    </row>
    <row r="41" spans="1:8">
      <c r="C41" s="11"/>
      <c r="F41" s="11"/>
    </row>
    <row r="42" spans="1:8">
      <c r="C42" s="11"/>
      <c r="F42" s="11"/>
    </row>
    <row r="43" spans="1:8">
      <c r="C43" s="11"/>
      <c r="F43" s="11"/>
    </row>
    <row r="44" spans="1:8">
      <c r="C44" s="11"/>
      <c r="F44" s="11"/>
    </row>
    <row r="45" spans="1:8">
      <c r="C45" s="11"/>
      <c r="F45" s="11"/>
    </row>
  </sheetData>
  <mergeCells count="44">
    <mergeCell ref="E30:E31"/>
    <mergeCell ref="F30:F31"/>
    <mergeCell ref="A32:A34"/>
    <mergeCell ref="B32:B34"/>
    <mergeCell ref="E32:E34"/>
    <mergeCell ref="F32:F34"/>
    <mergeCell ref="A29:C29"/>
    <mergeCell ref="A30:A31"/>
    <mergeCell ref="B30:B31"/>
    <mergeCell ref="C30:C31"/>
    <mergeCell ref="D30:D31"/>
    <mergeCell ref="E22:E23"/>
    <mergeCell ref="F22:F23"/>
    <mergeCell ref="A24:A26"/>
    <mergeCell ref="B24:B26"/>
    <mergeCell ref="E24:E26"/>
    <mergeCell ref="F24:F26"/>
    <mergeCell ref="A21:C21"/>
    <mergeCell ref="A22:A23"/>
    <mergeCell ref="B22:B23"/>
    <mergeCell ref="C22:C23"/>
    <mergeCell ref="D22:D23"/>
    <mergeCell ref="A14:A15"/>
    <mergeCell ref="A16:A18"/>
    <mergeCell ref="B14:B15"/>
    <mergeCell ref="C14:C15"/>
    <mergeCell ref="A2:C2"/>
    <mergeCell ref="A13:C13"/>
    <mergeCell ref="A6:A7"/>
    <mergeCell ref="A8:A10"/>
    <mergeCell ref="B6:B7"/>
    <mergeCell ref="C6:C7"/>
    <mergeCell ref="D6:D7"/>
    <mergeCell ref="E6:E7"/>
    <mergeCell ref="F6:F7"/>
    <mergeCell ref="B8:B10"/>
    <mergeCell ref="E16:E18"/>
    <mergeCell ref="E8:E10"/>
    <mergeCell ref="D14:D15"/>
    <mergeCell ref="E14:E15"/>
    <mergeCell ref="F14:F15"/>
    <mergeCell ref="B16:B18"/>
    <mergeCell ref="F8:F10"/>
    <mergeCell ref="F16:F18"/>
  </mergeCells>
  <phoneticPr fontId="6" type="noConversion"/>
  <printOptions headings="1" gridLines="1"/>
  <pageMargins left="0.70866141732283472" right="0.70866141732283472" top="0.74803149606299213" bottom="0.74803149606299213" header="0.31496062992125984" footer="0.31496062992125984"/>
  <pageSetup scale="67" orientation="portrait" r:id="rId1"/>
  <headerFooter>
    <oddHeader>&amp;C 1632MV7生物分析方法学验证数据</oddHeader>
    <oddFooter>&amp;C第&amp;P页，共&amp;N页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2:P122"/>
  <sheetViews>
    <sheetView view="pageBreakPreview" topLeftCell="A16" zoomScaleSheetLayoutView="100" workbookViewId="0">
      <selection activeCell="E12" sqref="E12:E17"/>
    </sheetView>
  </sheetViews>
  <sheetFormatPr defaultColWidth="9" defaultRowHeight="15.75" customHeight="1"/>
  <cols>
    <col min="1" max="1" width="34.875" style="17" bestFit="1" customWidth="1"/>
    <col min="2" max="5" width="16.625" style="17" customWidth="1"/>
    <col min="6" max="222" width="13.5" style="17" customWidth="1"/>
    <col min="223" max="16384" width="9" style="17"/>
  </cols>
  <sheetData>
    <row r="2" spans="1:16" ht="15.75" customHeight="1">
      <c r="A2" s="107" t="s">
        <v>192</v>
      </c>
    </row>
    <row r="3" spans="1:16" ht="15.75" customHeight="1">
      <c r="A3" s="107"/>
    </row>
    <row r="4" spans="1:16" ht="15.75" customHeight="1">
      <c r="A4" s="4" t="s">
        <v>96</v>
      </c>
    </row>
    <row r="5" spans="1:16" ht="15.75" customHeight="1">
      <c r="A5" s="128" t="s">
        <v>193</v>
      </c>
      <c r="B5" s="129"/>
      <c r="C5" s="130"/>
      <c r="D5" s="128" t="s">
        <v>159</v>
      </c>
      <c r="E5" s="130"/>
    </row>
    <row r="6" spans="1:16" ht="15.75" customHeight="1">
      <c r="A6" s="127" t="s">
        <v>63</v>
      </c>
      <c r="B6" s="29" t="s">
        <v>7</v>
      </c>
      <c r="C6" s="134" t="s">
        <v>64</v>
      </c>
      <c r="D6" s="65" t="s">
        <v>1</v>
      </c>
      <c r="E6" s="134" t="s">
        <v>64</v>
      </c>
    </row>
    <row r="7" spans="1:16" ht="15.75" customHeight="1">
      <c r="A7" s="127"/>
      <c r="B7" s="52">
        <v>30</v>
      </c>
      <c r="C7" s="135"/>
      <c r="D7" s="52">
        <v>7500</v>
      </c>
      <c r="E7" s="135"/>
    </row>
    <row r="8" spans="1:16" ht="15.75" customHeight="1">
      <c r="A8" s="127"/>
      <c r="B8" s="46" t="s">
        <v>67</v>
      </c>
      <c r="C8" s="136"/>
      <c r="D8" s="46" t="s">
        <v>67</v>
      </c>
      <c r="E8" s="136"/>
    </row>
    <row r="9" spans="1:16" ht="15.75" customHeight="1">
      <c r="A9" s="149" t="s">
        <v>167</v>
      </c>
      <c r="B9" s="24">
        <v>33.904000000000003</v>
      </c>
      <c r="C9" s="36">
        <f>ROUND((B9-B7)/B7*100,1)</f>
        <v>13</v>
      </c>
      <c r="D9" s="24">
        <v>7695.1019999999999</v>
      </c>
      <c r="E9" s="36">
        <f>ROUND((D9-D7)/D7*100,1)</f>
        <v>2.6</v>
      </c>
      <c r="F9" s="2"/>
      <c r="I9" s="6"/>
      <c r="J9" s="104">
        <f>ROUND((B9-B$7)/B$7*100,1)</f>
        <v>13</v>
      </c>
      <c r="K9" s="6"/>
      <c r="L9" s="104">
        <f>ROUND((D9-D$7)/D$7*100,1)</f>
        <v>2.6</v>
      </c>
      <c r="M9" s="4"/>
      <c r="N9" s="109">
        <f>C9-J9</f>
        <v>0</v>
      </c>
      <c r="O9" s="4"/>
      <c r="P9" s="109">
        <f>E9-L9</f>
        <v>0</v>
      </c>
    </row>
    <row r="10" spans="1:16" ht="15.75" customHeight="1">
      <c r="A10" s="149"/>
      <c r="B10" s="24">
        <v>30.8</v>
      </c>
      <c r="C10" s="36">
        <f>ROUND((B10-B7)/B7*100,1)</f>
        <v>2.7</v>
      </c>
      <c r="D10" s="24">
        <v>7949.0290000000005</v>
      </c>
      <c r="E10" s="36">
        <f>ROUND((D10-D7)/D7*100,1)</f>
        <v>6</v>
      </c>
      <c r="F10" s="2"/>
      <c r="I10" s="6"/>
      <c r="J10" s="104">
        <f t="shared" ref="J10:L11" si="0">ROUND((B10-B$7)/B$7*100,1)</f>
        <v>2.7</v>
      </c>
      <c r="K10" s="6"/>
      <c r="L10" s="104">
        <f t="shared" si="0"/>
        <v>6</v>
      </c>
      <c r="M10" s="4"/>
      <c r="N10" s="109">
        <f t="shared" ref="N10:P11" si="1">C10-J10</f>
        <v>0</v>
      </c>
      <c r="O10" s="4"/>
      <c r="P10" s="109">
        <f t="shared" si="1"/>
        <v>0</v>
      </c>
    </row>
    <row r="11" spans="1:16" ht="15.75" customHeight="1">
      <c r="A11" s="149"/>
      <c r="B11" s="24">
        <v>30.916</v>
      </c>
      <c r="C11" s="36">
        <f>ROUND((B11-B7)/B7*100,1)</f>
        <v>3.1</v>
      </c>
      <c r="D11" s="24">
        <v>7366.567</v>
      </c>
      <c r="E11" s="36">
        <f>ROUND((D11-D7)/D7*100,1)</f>
        <v>-1.8</v>
      </c>
      <c r="F11" s="2"/>
      <c r="I11" s="6"/>
      <c r="J11" s="104">
        <f t="shared" si="0"/>
        <v>3.1</v>
      </c>
      <c r="K11" s="6"/>
      <c r="L11" s="104">
        <f t="shared" si="0"/>
        <v>-1.8</v>
      </c>
      <c r="M11" s="4"/>
      <c r="N11" s="109">
        <f t="shared" si="1"/>
        <v>0</v>
      </c>
      <c r="O11" s="4"/>
      <c r="P11" s="109">
        <f t="shared" si="1"/>
        <v>0</v>
      </c>
    </row>
    <row r="12" spans="1:16" ht="15.75" customHeight="1">
      <c r="A12" s="29" t="s">
        <v>16</v>
      </c>
      <c r="B12" s="24">
        <f>ROUND(AVERAGE(B9:B11),3)</f>
        <v>31.873000000000001</v>
      </c>
      <c r="C12" s="146"/>
      <c r="D12" s="24">
        <f>ROUND(AVERAGE(D9:D11),3)</f>
        <v>7670.2330000000002</v>
      </c>
      <c r="E12" s="146"/>
      <c r="F12" s="2"/>
      <c r="I12" s="6">
        <f>ROUND(AVERAGEA(B9:B11),3)</f>
        <v>31.873000000000001</v>
      </c>
      <c r="J12" s="104"/>
      <c r="K12" s="6">
        <f>ROUND(AVERAGEA(D9:D11),3)</f>
        <v>7670.2330000000002</v>
      </c>
      <c r="L12" s="104"/>
      <c r="M12" s="110">
        <f>B12-I12</f>
        <v>0</v>
      </c>
      <c r="N12" s="4"/>
      <c r="O12" s="110">
        <f>D12-K12</f>
        <v>0</v>
      </c>
      <c r="P12" s="4"/>
    </row>
    <row r="13" spans="1:16" ht="15.75" customHeight="1">
      <c r="A13" s="29" t="s">
        <v>4</v>
      </c>
      <c r="B13" s="24">
        <f>ROUND(STDEV(B9:B11),3)</f>
        <v>1.76</v>
      </c>
      <c r="C13" s="147"/>
      <c r="D13" s="24">
        <f>ROUND(STDEV(D9:D11),3)</f>
        <v>292.02600000000001</v>
      </c>
      <c r="E13" s="147"/>
      <c r="F13" s="2"/>
      <c r="I13" s="6">
        <f>ROUND(STDEVA(B9:B11),3)</f>
        <v>1.76</v>
      </c>
      <c r="J13" s="104"/>
      <c r="K13" s="6">
        <f>ROUND(STDEVA(D9:D11),3)</f>
        <v>292.02600000000001</v>
      </c>
      <c r="L13" s="104"/>
      <c r="M13" s="110">
        <f t="shared" ref="M13:O16" si="2">B13-I13</f>
        <v>0</v>
      </c>
      <c r="N13" s="4"/>
      <c r="O13" s="110">
        <f t="shared" si="2"/>
        <v>0</v>
      </c>
      <c r="P13" s="4"/>
    </row>
    <row r="14" spans="1:16" ht="15.75" customHeight="1">
      <c r="A14" s="29" t="s">
        <v>65</v>
      </c>
      <c r="B14" s="36">
        <f>ROUND(B13/B12*100,1)</f>
        <v>5.5</v>
      </c>
      <c r="C14" s="147"/>
      <c r="D14" s="36">
        <f>ROUND(D13/D12*100,1)</f>
        <v>3.8</v>
      </c>
      <c r="E14" s="147"/>
      <c r="I14" s="97">
        <f>ROUND(I13/I12*100,1)</f>
        <v>5.5</v>
      </c>
      <c r="J14" s="104"/>
      <c r="K14" s="97">
        <f>ROUND(K13/K12*100,1)</f>
        <v>3.8</v>
      </c>
      <c r="L14" s="104"/>
      <c r="M14" s="110">
        <f t="shared" si="2"/>
        <v>0</v>
      </c>
      <c r="N14" s="4"/>
      <c r="O14" s="110">
        <f t="shared" si="2"/>
        <v>0</v>
      </c>
      <c r="P14" s="4"/>
    </row>
    <row r="15" spans="1:16" ht="15.75" customHeight="1">
      <c r="A15" s="29" t="s">
        <v>66</v>
      </c>
      <c r="B15" s="36">
        <f>ROUND(B12/B7*100,1)</f>
        <v>106.2</v>
      </c>
      <c r="C15" s="147"/>
      <c r="D15" s="36">
        <f>ROUND(D12/D7*100,1)</f>
        <v>102.3</v>
      </c>
      <c r="E15" s="147"/>
      <c r="I15" s="97">
        <f>ROUND(B12/B$7*100,1)</f>
        <v>106.2</v>
      </c>
      <c r="J15" s="6"/>
      <c r="K15" s="97">
        <f>ROUND(D12/D$7*100,1)</f>
        <v>102.3</v>
      </c>
      <c r="L15" s="6"/>
      <c r="M15" s="110">
        <f t="shared" si="2"/>
        <v>0</v>
      </c>
      <c r="N15" s="4"/>
      <c r="O15" s="110">
        <f t="shared" si="2"/>
        <v>0</v>
      </c>
      <c r="P15" s="4"/>
    </row>
    <row r="16" spans="1:16" ht="15.75" customHeight="1">
      <c r="A16" s="29" t="s">
        <v>64</v>
      </c>
      <c r="B16" s="36">
        <f>ROUND((B12-B7)/B7*100,1)</f>
        <v>6.2</v>
      </c>
      <c r="C16" s="147"/>
      <c r="D16" s="36">
        <f>ROUND((D12-D7)/D7*100,1)</f>
        <v>2.2999999999999998</v>
      </c>
      <c r="E16" s="147"/>
      <c r="I16" s="104">
        <f>ROUND((B12-B$7)/B$7*100,1)</f>
        <v>6.2</v>
      </c>
      <c r="J16" s="4"/>
      <c r="K16" s="104">
        <f>ROUND((D12-D$7)/D$7*100,1)</f>
        <v>2.2999999999999998</v>
      </c>
      <c r="L16" s="4"/>
      <c r="M16" s="110">
        <f t="shared" si="2"/>
        <v>0</v>
      </c>
      <c r="N16" s="4"/>
      <c r="O16" s="110">
        <f t="shared" si="2"/>
        <v>0</v>
      </c>
      <c r="P16" s="4"/>
    </row>
    <row r="17" spans="1:16" ht="15.75" customHeight="1">
      <c r="A17" s="29" t="s">
        <v>5</v>
      </c>
      <c r="B17" s="38">
        <v>3</v>
      </c>
      <c r="C17" s="148"/>
      <c r="D17" s="38">
        <v>3</v>
      </c>
      <c r="E17" s="148"/>
      <c r="I17" s="4"/>
      <c r="J17" s="4"/>
      <c r="K17" s="4"/>
      <c r="L17" s="4"/>
      <c r="M17" s="4"/>
      <c r="N17" s="4"/>
      <c r="O17" s="4"/>
      <c r="P17" s="4"/>
    </row>
    <row r="18" spans="1:16" ht="15.75" customHeight="1">
      <c r="A18" s="149" t="s">
        <v>169</v>
      </c>
      <c r="B18" s="24">
        <v>35.857999999999997</v>
      </c>
      <c r="C18" s="36">
        <f>ROUND((B18-B7)/B7*100,1)</f>
        <v>19.5</v>
      </c>
      <c r="D18" s="24">
        <v>7710.6170000000002</v>
      </c>
      <c r="E18" s="36">
        <f>ROUND((D18-D7)/D7*100,1)</f>
        <v>2.8</v>
      </c>
      <c r="I18" s="6"/>
      <c r="J18" s="104">
        <f>ROUND((B18-B$7)/B$7*100,1)</f>
        <v>19.5</v>
      </c>
      <c r="K18" s="6"/>
      <c r="L18" s="104">
        <f>ROUND((D18-D$7)/D$7*100,1)</f>
        <v>2.8</v>
      </c>
      <c r="M18" s="4"/>
      <c r="N18" s="109">
        <f>C18-J18</f>
        <v>0</v>
      </c>
      <c r="O18" s="4"/>
      <c r="P18" s="109">
        <f>E18-L18</f>
        <v>0</v>
      </c>
    </row>
    <row r="19" spans="1:16" ht="15.75" customHeight="1">
      <c r="A19" s="149"/>
      <c r="B19" s="24">
        <v>30.204999999999998</v>
      </c>
      <c r="C19" s="36">
        <f>ROUND((B19-B7)/B7*100,1)</f>
        <v>0.7</v>
      </c>
      <c r="D19" s="24">
        <v>7593.2060000000001</v>
      </c>
      <c r="E19" s="36">
        <f>ROUND((D19-D7)/D7*100,1)</f>
        <v>1.2</v>
      </c>
      <c r="I19" s="6"/>
      <c r="J19" s="104">
        <f t="shared" ref="J19:L20" si="3">ROUND((B19-B$7)/B$7*100,1)</f>
        <v>0.7</v>
      </c>
      <c r="K19" s="6"/>
      <c r="L19" s="104">
        <f t="shared" si="3"/>
        <v>1.2</v>
      </c>
      <c r="M19" s="4"/>
      <c r="N19" s="109">
        <f t="shared" ref="N19:N20" si="4">C19-J19</f>
        <v>0</v>
      </c>
      <c r="O19" s="4"/>
      <c r="P19" s="109">
        <f t="shared" ref="P19:P20" si="5">E19-L19</f>
        <v>0</v>
      </c>
    </row>
    <row r="20" spans="1:16" ht="14.25">
      <c r="A20" s="149"/>
      <c r="B20" s="24">
        <v>31.116</v>
      </c>
      <c r="C20" s="36">
        <f>ROUND((B20-B7)/B7*100,1)</f>
        <v>3.7</v>
      </c>
      <c r="D20" s="24">
        <v>7666.4979999999996</v>
      </c>
      <c r="E20" s="36">
        <f>ROUND((D20-D7)/D7*100,1)</f>
        <v>2.2000000000000002</v>
      </c>
      <c r="I20" s="6"/>
      <c r="J20" s="104">
        <f t="shared" si="3"/>
        <v>3.7</v>
      </c>
      <c r="K20" s="6"/>
      <c r="L20" s="104">
        <f t="shared" si="3"/>
        <v>2.2000000000000002</v>
      </c>
      <c r="M20" s="4"/>
      <c r="N20" s="109">
        <f t="shared" si="4"/>
        <v>0</v>
      </c>
      <c r="O20" s="4"/>
      <c r="P20" s="109">
        <f t="shared" si="5"/>
        <v>0</v>
      </c>
    </row>
    <row r="21" spans="1:16" ht="15.75" customHeight="1">
      <c r="A21" s="29" t="s">
        <v>16</v>
      </c>
      <c r="B21" s="24">
        <f>ROUND(AVERAGE(B18:B20),3)</f>
        <v>32.393000000000001</v>
      </c>
      <c r="C21" s="146"/>
      <c r="D21" s="24">
        <f>ROUND(AVERAGE(D18:D20),3)</f>
        <v>7656.7740000000003</v>
      </c>
      <c r="E21" s="146"/>
      <c r="I21" s="6">
        <f>ROUND(AVERAGEA(B18:B20),3)</f>
        <v>32.393000000000001</v>
      </c>
      <c r="J21" s="104"/>
      <c r="K21" s="6">
        <f>ROUND(AVERAGEA(D18:D20),3)</f>
        <v>7656.7740000000003</v>
      </c>
      <c r="L21" s="104"/>
      <c r="M21" s="110">
        <f>B21-I21</f>
        <v>0</v>
      </c>
      <c r="N21" s="4"/>
      <c r="O21" s="110">
        <f>D21-K21</f>
        <v>0</v>
      </c>
      <c r="P21" s="4"/>
    </row>
    <row r="22" spans="1:16" ht="15.75" customHeight="1">
      <c r="A22" s="29" t="s">
        <v>4</v>
      </c>
      <c r="B22" s="24">
        <f>ROUND(STDEV(B18:B20),3)</f>
        <v>3.0350000000000001</v>
      </c>
      <c r="C22" s="147"/>
      <c r="D22" s="24">
        <f>ROUND(STDEV(D18:D20),3)</f>
        <v>59.305999999999997</v>
      </c>
      <c r="E22" s="147"/>
      <c r="I22" s="6">
        <f>ROUND(STDEVA(B18:B20),3)</f>
        <v>3.0350000000000001</v>
      </c>
      <c r="J22" s="104"/>
      <c r="K22" s="6">
        <f>ROUND(STDEVA(D18:D20),3)</f>
        <v>59.305999999999997</v>
      </c>
      <c r="L22" s="104"/>
      <c r="M22" s="110">
        <f t="shared" ref="M22:M25" si="6">B22-I22</f>
        <v>0</v>
      </c>
      <c r="N22" s="4"/>
      <c r="O22" s="110">
        <f t="shared" ref="O22:O25" si="7">D22-K22</f>
        <v>0</v>
      </c>
      <c r="P22" s="4"/>
    </row>
    <row r="23" spans="1:16" ht="15.75" customHeight="1">
      <c r="A23" s="29" t="s">
        <v>65</v>
      </c>
      <c r="B23" s="36">
        <f>ROUND(B22/B21*100,1)</f>
        <v>9.4</v>
      </c>
      <c r="C23" s="147"/>
      <c r="D23" s="36">
        <f>ROUND(D22/D21*100,1)</f>
        <v>0.8</v>
      </c>
      <c r="E23" s="147"/>
      <c r="I23" s="97">
        <f>ROUND(I22/I21*100,1)</f>
        <v>9.4</v>
      </c>
      <c r="J23" s="104"/>
      <c r="K23" s="97">
        <f>ROUND(K22/K21*100,1)</f>
        <v>0.8</v>
      </c>
      <c r="L23" s="104"/>
      <c r="M23" s="110">
        <f t="shared" si="6"/>
        <v>0</v>
      </c>
      <c r="N23" s="4"/>
      <c r="O23" s="110">
        <f t="shared" si="7"/>
        <v>0</v>
      </c>
      <c r="P23" s="4"/>
    </row>
    <row r="24" spans="1:16" ht="15.75" customHeight="1">
      <c r="A24" s="29" t="s">
        <v>66</v>
      </c>
      <c r="B24" s="36">
        <f>ROUND(B21/B7*100,1)</f>
        <v>108</v>
      </c>
      <c r="C24" s="147"/>
      <c r="D24" s="36">
        <f>ROUND(D21/D7*100,1)</f>
        <v>102.1</v>
      </c>
      <c r="E24" s="147"/>
      <c r="I24" s="97">
        <f>ROUND(B21/B$7*100,1)</f>
        <v>108</v>
      </c>
      <c r="J24" s="6"/>
      <c r="K24" s="97">
        <f>ROUND(D21/D$7*100,1)</f>
        <v>102.1</v>
      </c>
      <c r="L24" s="6"/>
      <c r="M24" s="110">
        <f t="shared" si="6"/>
        <v>0</v>
      </c>
      <c r="N24" s="4"/>
      <c r="O24" s="110">
        <f t="shared" si="7"/>
        <v>0</v>
      </c>
      <c r="P24" s="4"/>
    </row>
    <row r="25" spans="1:16" ht="15.75" customHeight="1">
      <c r="A25" s="29" t="s">
        <v>64</v>
      </c>
      <c r="B25" s="36">
        <f>ROUND((B21-B7)/B7*100,1)</f>
        <v>8</v>
      </c>
      <c r="C25" s="147"/>
      <c r="D25" s="36">
        <f>ROUND((D21-D7)/D7*100,1)</f>
        <v>2.1</v>
      </c>
      <c r="E25" s="147"/>
      <c r="I25" s="104">
        <f>ROUND((B21-B$7)/B$7*100,1)</f>
        <v>8</v>
      </c>
      <c r="J25" s="4"/>
      <c r="K25" s="104">
        <f>ROUND((D21-D$7)/D$7*100,1)</f>
        <v>2.1</v>
      </c>
      <c r="L25" s="4"/>
      <c r="M25" s="110">
        <f t="shared" si="6"/>
        <v>0</v>
      </c>
      <c r="N25" s="4"/>
      <c r="O25" s="110">
        <f t="shared" si="7"/>
        <v>0</v>
      </c>
      <c r="P25" s="4"/>
    </row>
    <row r="26" spans="1:16" ht="15.75" customHeight="1">
      <c r="A26" s="29" t="s">
        <v>5</v>
      </c>
      <c r="B26" s="38">
        <v>3</v>
      </c>
      <c r="C26" s="148"/>
      <c r="D26" s="38">
        <v>3</v>
      </c>
      <c r="E26" s="148"/>
      <c r="F26" s="2"/>
      <c r="I26" s="4"/>
      <c r="J26" s="4"/>
      <c r="K26" s="4"/>
      <c r="L26" s="4"/>
      <c r="M26" s="4"/>
      <c r="N26" s="4"/>
      <c r="O26" s="4"/>
      <c r="P26" s="4"/>
    </row>
    <row r="27" spans="1:16" ht="15.75" customHeight="1">
      <c r="A27" s="137" t="s">
        <v>171</v>
      </c>
      <c r="B27" s="24">
        <v>31.004000000000001</v>
      </c>
      <c r="C27" s="36">
        <f>ROUND((B27-B7)/B7*100,1)</f>
        <v>3.3</v>
      </c>
      <c r="D27" s="24">
        <v>7723.8419999999996</v>
      </c>
      <c r="E27" s="36">
        <f>ROUND((D27-D7)/D7*100,1)</f>
        <v>3</v>
      </c>
      <c r="I27" s="6"/>
      <c r="J27" s="104">
        <f>ROUND((B27-B$7)/B$7*100,1)</f>
        <v>3.3</v>
      </c>
      <c r="K27" s="6"/>
      <c r="L27" s="104">
        <f>ROUND((D27-D$7)/D$7*100,1)</f>
        <v>3</v>
      </c>
      <c r="M27" s="4"/>
      <c r="N27" s="109">
        <f>C27-J27</f>
        <v>0</v>
      </c>
      <c r="O27" s="4"/>
      <c r="P27" s="109">
        <f>E27-L27</f>
        <v>0</v>
      </c>
    </row>
    <row r="28" spans="1:16" ht="15.75" customHeight="1">
      <c r="A28" s="137"/>
      <c r="B28" s="24">
        <v>32.194000000000003</v>
      </c>
      <c r="C28" s="36">
        <f>ROUND((B28-B7)/B7*100,1)</f>
        <v>7.3</v>
      </c>
      <c r="D28" s="24">
        <v>7810.3280000000004</v>
      </c>
      <c r="E28" s="36">
        <f>ROUND((D28-D7)/D7*100,1)</f>
        <v>4.0999999999999996</v>
      </c>
      <c r="I28" s="6"/>
      <c r="J28" s="104">
        <f t="shared" ref="J28:L29" si="8">ROUND((B28-B$7)/B$7*100,1)</f>
        <v>7.3</v>
      </c>
      <c r="K28" s="6"/>
      <c r="L28" s="104">
        <f t="shared" si="8"/>
        <v>4.0999999999999996</v>
      </c>
      <c r="M28" s="4"/>
      <c r="N28" s="109">
        <f t="shared" ref="N28:N29" si="9">C28-J28</f>
        <v>0</v>
      </c>
      <c r="O28" s="4"/>
      <c r="P28" s="109">
        <f t="shared" ref="P28:P29" si="10">E28-L28</f>
        <v>0</v>
      </c>
    </row>
    <row r="29" spans="1:16" ht="15.75" customHeight="1">
      <c r="A29" s="137"/>
      <c r="B29" s="24">
        <v>32.424999999999997</v>
      </c>
      <c r="C29" s="36">
        <f>ROUND((B29-B7)/B7*100,1)</f>
        <v>8.1</v>
      </c>
      <c r="D29" s="24">
        <v>7632.87</v>
      </c>
      <c r="E29" s="36">
        <f>ROUND((D29-D7)/D7*100,1)</f>
        <v>1.8</v>
      </c>
      <c r="I29" s="6"/>
      <c r="J29" s="104">
        <f t="shared" si="8"/>
        <v>8.1</v>
      </c>
      <c r="K29" s="6"/>
      <c r="L29" s="104">
        <f t="shared" si="8"/>
        <v>1.8</v>
      </c>
      <c r="M29" s="4"/>
      <c r="N29" s="109">
        <f t="shared" si="9"/>
        <v>0</v>
      </c>
      <c r="O29" s="4"/>
      <c r="P29" s="109">
        <f t="shared" si="10"/>
        <v>0</v>
      </c>
    </row>
    <row r="30" spans="1:16" ht="15.75" customHeight="1">
      <c r="A30" s="29" t="s">
        <v>16</v>
      </c>
      <c r="B30" s="24">
        <f>ROUND(AVERAGE(B27:B29),3)</f>
        <v>31.873999999999999</v>
      </c>
      <c r="C30" s="146"/>
      <c r="D30" s="24">
        <f>ROUND(AVERAGE(D27:D29),3)</f>
        <v>7722.3469999999998</v>
      </c>
      <c r="E30" s="146"/>
      <c r="I30" s="6">
        <f>ROUND(AVERAGEA(B27:B29),3)</f>
        <v>31.873999999999999</v>
      </c>
      <c r="J30" s="104"/>
      <c r="K30" s="6">
        <f>ROUND(AVERAGEA(D27:D29),3)</f>
        <v>7722.3469999999998</v>
      </c>
      <c r="L30" s="104"/>
      <c r="M30" s="110">
        <f>B30-I30</f>
        <v>0</v>
      </c>
      <c r="N30" s="4"/>
      <c r="O30" s="110">
        <f>D30-K30</f>
        <v>0</v>
      </c>
      <c r="P30" s="4"/>
    </row>
    <row r="31" spans="1:16" ht="15.75" customHeight="1">
      <c r="A31" s="29" t="s">
        <v>4</v>
      </c>
      <c r="B31" s="24">
        <f>ROUND(STDEV(B27:B29),3)</f>
        <v>0.76300000000000001</v>
      </c>
      <c r="C31" s="147"/>
      <c r="D31" s="24">
        <f>ROUND(STDEV(D27:D29),3)</f>
        <v>88.738</v>
      </c>
      <c r="E31" s="147"/>
      <c r="I31" s="6">
        <f>ROUND(STDEVA(B27:B29),3)</f>
        <v>0.76300000000000001</v>
      </c>
      <c r="J31" s="104"/>
      <c r="K31" s="6">
        <f>ROUND(STDEVA(D27:D29),3)</f>
        <v>88.738</v>
      </c>
      <c r="L31" s="104"/>
      <c r="M31" s="110">
        <f t="shared" ref="M31:M34" si="11">B31-I31</f>
        <v>0</v>
      </c>
      <c r="N31" s="4"/>
      <c r="O31" s="110">
        <f t="shared" ref="O31:O34" si="12">D31-K31</f>
        <v>0</v>
      </c>
      <c r="P31" s="4"/>
    </row>
    <row r="32" spans="1:16" ht="15.75" customHeight="1">
      <c r="A32" s="29" t="s">
        <v>65</v>
      </c>
      <c r="B32" s="36">
        <f>ROUND(B31/B30*100,1)</f>
        <v>2.4</v>
      </c>
      <c r="C32" s="147"/>
      <c r="D32" s="36">
        <f>ROUND(D31/D30*100,1)</f>
        <v>1.1000000000000001</v>
      </c>
      <c r="E32" s="147"/>
      <c r="I32" s="97">
        <f>ROUND(I31/I30*100,1)</f>
        <v>2.4</v>
      </c>
      <c r="J32" s="104"/>
      <c r="K32" s="97">
        <f>ROUND(K31/K30*100,1)</f>
        <v>1.1000000000000001</v>
      </c>
      <c r="L32" s="104"/>
      <c r="M32" s="110">
        <f t="shared" si="11"/>
        <v>0</v>
      </c>
      <c r="N32" s="4"/>
      <c r="O32" s="110">
        <f t="shared" si="12"/>
        <v>0</v>
      </c>
      <c r="P32" s="4"/>
    </row>
    <row r="33" spans="1:16" ht="15.75" customHeight="1">
      <c r="A33" s="29" t="s">
        <v>66</v>
      </c>
      <c r="B33" s="36">
        <f>ROUND(B30/B7*100,1)</f>
        <v>106.2</v>
      </c>
      <c r="C33" s="147"/>
      <c r="D33" s="36">
        <f>ROUND(D30/D7*100,1)</f>
        <v>103</v>
      </c>
      <c r="E33" s="147"/>
      <c r="I33" s="97">
        <f>ROUND(B30/B$7*100,1)</f>
        <v>106.2</v>
      </c>
      <c r="J33" s="6"/>
      <c r="K33" s="97">
        <f>ROUND(D30/D$7*100,1)</f>
        <v>103</v>
      </c>
      <c r="L33" s="6"/>
      <c r="M33" s="110">
        <f t="shared" si="11"/>
        <v>0</v>
      </c>
      <c r="N33" s="4"/>
      <c r="O33" s="110">
        <f t="shared" si="12"/>
        <v>0</v>
      </c>
      <c r="P33" s="4"/>
    </row>
    <row r="34" spans="1:16" ht="15.75" customHeight="1">
      <c r="A34" s="29" t="s">
        <v>64</v>
      </c>
      <c r="B34" s="36">
        <f>ROUND((B30-B7)/B7*100,1)</f>
        <v>6.2</v>
      </c>
      <c r="C34" s="147"/>
      <c r="D34" s="36">
        <f>ROUND((D30-D7)/D7*100,1)</f>
        <v>3</v>
      </c>
      <c r="E34" s="147"/>
      <c r="I34" s="104">
        <f>ROUND((B30-B$7)/B$7*100,1)</f>
        <v>6.2</v>
      </c>
      <c r="J34" s="4"/>
      <c r="K34" s="104">
        <f>ROUND((D30-D$7)/D$7*100,1)</f>
        <v>3</v>
      </c>
      <c r="L34" s="4"/>
      <c r="M34" s="110">
        <f t="shared" si="11"/>
        <v>0</v>
      </c>
      <c r="N34" s="4"/>
      <c r="O34" s="110">
        <f t="shared" si="12"/>
        <v>0</v>
      </c>
      <c r="P34" s="4"/>
    </row>
    <row r="35" spans="1:16" ht="15.75" customHeight="1">
      <c r="A35" s="29" t="s">
        <v>5</v>
      </c>
      <c r="B35" s="38">
        <v>3</v>
      </c>
      <c r="C35" s="148"/>
      <c r="D35" s="38">
        <v>3</v>
      </c>
      <c r="E35" s="148"/>
      <c r="I35" s="4"/>
      <c r="J35" s="4"/>
      <c r="K35" s="4"/>
      <c r="L35" s="4"/>
      <c r="M35" s="4"/>
      <c r="N35" s="4"/>
      <c r="O35" s="4"/>
      <c r="P35" s="4"/>
    </row>
    <row r="36" spans="1:16" ht="15.75" customHeight="1">
      <c r="A36" s="137" t="s">
        <v>173</v>
      </c>
      <c r="B36" s="24">
        <v>31.352</v>
      </c>
      <c r="C36" s="36">
        <f>ROUND((B36-B7)/B7*100,1)</f>
        <v>4.5</v>
      </c>
      <c r="D36" s="24">
        <v>7870.3980000000001</v>
      </c>
      <c r="E36" s="36">
        <f>ROUND((D36-D7)/D7*100,1)</f>
        <v>4.9000000000000004</v>
      </c>
      <c r="I36" s="6"/>
      <c r="J36" s="104">
        <f>ROUND((B36-B$7)/B$7*100,1)</f>
        <v>4.5</v>
      </c>
      <c r="K36" s="6"/>
      <c r="L36" s="104">
        <f>ROUND((D36-D$7)/D$7*100,1)</f>
        <v>4.9000000000000004</v>
      </c>
      <c r="M36" s="4"/>
      <c r="N36" s="109">
        <f>C36-J36</f>
        <v>0</v>
      </c>
      <c r="O36" s="4"/>
      <c r="P36" s="109">
        <f>E36-L36</f>
        <v>0</v>
      </c>
    </row>
    <row r="37" spans="1:16" ht="15.75" customHeight="1">
      <c r="A37" s="137"/>
      <c r="B37" s="24">
        <v>32.603000000000002</v>
      </c>
      <c r="C37" s="36">
        <f>ROUND((B37-B7)/B7*100,1)</f>
        <v>8.6999999999999993</v>
      </c>
      <c r="D37" s="24">
        <v>7762.4009999999998</v>
      </c>
      <c r="E37" s="36">
        <f>ROUND((D37-D7)/D7*100,1)</f>
        <v>3.5</v>
      </c>
      <c r="I37" s="6"/>
      <c r="J37" s="104">
        <f t="shared" ref="J37:L38" si="13">ROUND((B37-B$7)/B$7*100,1)</f>
        <v>8.6999999999999993</v>
      </c>
      <c r="K37" s="6"/>
      <c r="L37" s="104">
        <f t="shared" si="13"/>
        <v>3.5</v>
      </c>
      <c r="M37" s="4"/>
      <c r="N37" s="109">
        <f t="shared" ref="N37:N38" si="14">C37-J37</f>
        <v>0</v>
      </c>
      <c r="O37" s="4"/>
      <c r="P37" s="109">
        <f t="shared" ref="P37:P38" si="15">E37-L37</f>
        <v>0</v>
      </c>
    </row>
    <row r="38" spans="1:16" ht="15.75" customHeight="1">
      <c r="A38" s="137"/>
      <c r="B38" s="24">
        <v>29.657</v>
      </c>
      <c r="C38" s="36">
        <f>ROUND((B38-B7)/B7*100,1)</f>
        <v>-1.1000000000000001</v>
      </c>
      <c r="D38" s="24">
        <v>7057.0370000000003</v>
      </c>
      <c r="E38" s="36">
        <f>ROUND((D38-D7)/D7*100,1)</f>
        <v>-5.9</v>
      </c>
      <c r="I38" s="6"/>
      <c r="J38" s="104">
        <f t="shared" si="13"/>
        <v>-1.1000000000000001</v>
      </c>
      <c r="K38" s="6"/>
      <c r="L38" s="104">
        <f t="shared" si="13"/>
        <v>-5.9</v>
      </c>
      <c r="M38" s="4"/>
      <c r="N38" s="109">
        <f t="shared" si="14"/>
        <v>0</v>
      </c>
      <c r="O38" s="4"/>
      <c r="P38" s="109">
        <f t="shared" si="15"/>
        <v>0</v>
      </c>
    </row>
    <row r="39" spans="1:16" ht="15.75" customHeight="1">
      <c r="A39" s="29" t="s">
        <v>16</v>
      </c>
      <c r="B39" s="24">
        <f>ROUND(AVERAGE(B36:B38),3)</f>
        <v>31.204000000000001</v>
      </c>
      <c r="C39" s="146"/>
      <c r="D39" s="24">
        <f>ROUND(AVERAGE(D36:D38),3)</f>
        <v>7563.2790000000005</v>
      </c>
      <c r="E39" s="146"/>
      <c r="I39" s="6">
        <f>ROUND(AVERAGEA(B36:B38),3)</f>
        <v>31.204000000000001</v>
      </c>
      <c r="J39" s="104"/>
      <c r="K39" s="6">
        <f>ROUND(AVERAGEA(D36:D38),3)</f>
        <v>7563.2790000000005</v>
      </c>
      <c r="L39" s="104"/>
      <c r="M39" s="110">
        <f>B39-I39</f>
        <v>0</v>
      </c>
      <c r="N39" s="4"/>
      <c r="O39" s="110">
        <f>D39-K39</f>
        <v>0</v>
      </c>
      <c r="P39" s="4"/>
    </row>
    <row r="40" spans="1:16" ht="15.75" customHeight="1">
      <c r="A40" s="29" t="s">
        <v>4</v>
      </c>
      <c r="B40" s="24">
        <f>ROUND(STDEV(B36:B38),3)</f>
        <v>1.4790000000000001</v>
      </c>
      <c r="C40" s="147"/>
      <c r="D40" s="24">
        <f>ROUND(STDEV(D36:D38),3)</f>
        <v>441.73099999999999</v>
      </c>
      <c r="E40" s="147"/>
      <c r="I40" s="6">
        <f>ROUND(STDEVA(B36:B38),3)</f>
        <v>1.4790000000000001</v>
      </c>
      <c r="J40" s="104"/>
      <c r="K40" s="6">
        <f>ROUND(STDEVA(D36:D38),3)</f>
        <v>441.73099999999999</v>
      </c>
      <c r="L40" s="104"/>
      <c r="M40" s="110">
        <f t="shared" ref="M40:M43" si="16">B40-I40</f>
        <v>0</v>
      </c>
      <c r="N40" s="4"/>
      <c r="O40" s="110">
        <f t="shared" ref="O40:O43" si="17">D40-K40</f>
        <v>0</v>
      </c>
      <c r="P40" s="4"/>
    </row>
    <row r="41" spans="1:16" ht="15.75" customHeight="1">
      <c r="A41" s="29" t="s">
        <v>65</v>
      </c>
      <c r="B41" s="36">
        <f>ROUND(B40/B39*100,1)</f>
        <v>4.7</v>
      </c>
      <c r="C41" s="147"/>
      <c r="D41" s="36">
        <f>ROUND(D40/D39*100,1)</f>
        <v>5.8</v>
      </c>
      <c r="E41" s="147"/>
      <c r="I41" s="97">
        <f>ROUND(I40/I39*100,1)</f>
        <v>4.7</v>
      </c>
      <c r="J41" s="104"/>
      <c r="K41" s="97">
        <f>ROUND(K40/K39*100,1)</f>
        <v>5.8</v>
      </c>
      <c r="L41" s="104"/>
      <c r="M41" s="110">
        <f t="shared" si="16"/>
        <v>0</v>
      </c>
      <c r="N41" s="4"/>
      <c r="O41" s="110">
        <f t="shared" si="17"/>
        <v>0</v>
      </c>
      <c r="P41" s="4"/>
    </row>
    <row r="42" spans="1:16" ht="15.75" customHeight="1">
      <c r="A42" s="29" t="s">
        <v>66</v>
      </c>
      <c r="B42" s="36">
        <f>ROUND(B39/B7*100,1)</f>
        <v>104</v>
      </c>
      <c r="C42" s="147"/>
      <c r="D42" s="36">
        <f>ROUND(D39/D7*100,1)</f>
        <v>100.8</v>
      </c>
      <c r="E42" s="147"/>
      <c r="I42" s="97">
        <f>ROUND(B39/B$7*100,1)</f>
        <v>104</v>
      </c>
      <c r="J42" s="6"/>
      <c r="K42" s="97">
        <f>ROUND(D39/D$7*100,1)</f>
        <v>100.8</v>
      </c>
      <c r="L42" s="6"/>
      <c r="M42" s="110">
        <f t="shared" si="16"/>
        <v>0</v>
      </c>
      <c r="N42" s="4"/>
      <c r="O42" s="110">
        <f t="shared" si="17"/>
        <v>0</v>
      </c>
      <c r="P42" s="4"/>
    </row>
    <row r="43" spans="1:16" ht="15.75" customHeight="1">
      <c r="A43" s="29" t="s">
        <v>64</v>
      </c>
      <c r="B43" s="36">
        <f>ROUND((B39-B7)/B7*100,1)</f>
        <v>4</v>
      </c>
      <c r="C43" s="147"/>
      <c r="D43" s="36">
        <f>ROUND((D39-D7)/D7*100,1)</f>
        <v>0.8</v>
      </c>
      <c r="E43" s="147"/>
      <c r="I43" s="104">
        <f>ROUND((B39-B$7)/B$7*100,1)</f>
        <v>4</v>
      </c>
      <c r="J43" s="4"/>
      <c r="K43" s="104">
        <f>ROUND((D39-D$7)/D$7*100,1)</f>
        <v>0.8</v>
      </c>
      <c r="L43" s="4"/>
      <c r="M43" s="110">
        <f t="shared" si="16"/>
        <v>0</v>
      </c>
      <c r="N43" s="4"/>
      <c r="O43" s="110">
        <f t="shared" si="17"/>
        <v>0</v>
      </c>
      <c r="P43" s="4"/>
    </row>
    <row r="44" spans="1:16" ht="15.75" customHeight="1">
      <c r="A44" s="29" t="s">
        <v>5</v>
      </c>
      <c r="B44" s="38">
        <v>3</v>
      </c>
      <c r="C44" s="148"/>
      <c r="D44" s="38">
        <v>3</v>
      </c>
      <c r="E44" s="148"/>
      <c r="I44" s="4"/>
      <c r="J44" s="4"/>
      <c r="K44" s="4"/>
      <c r="L44" s="4"/>
      <c r="M44" s="4"/>
      <c r="N44" s="4"/>
      <c r="O44" s="4"/>
      <c r="P44" s="4"/>
    </row>
    <row r="45" spans="1:16" ht="15.75" customHeight="1">
      <c r="A45" s="145" t="s">
        <v>175</v>
      </c>
      <c r="B45" s="24">
        <v>32.097000000000001</v>
      </c>
      <c r="C45" s="36">
        <f>ROUND((B45-B7)/B7*100,1)</f>
        <v>7</v>
      </c>
      <c r="D45" s="24">
        <v>7662.7950000000001</v>
      </c>
      <c r="E45" s="36">
        <f>ROUND((D45-D7)/D7*100,1)</f>
        <v>2.2000000000000002</v>
      </c>
      <c r="I45" s="6"/>
      <c r="J45" s="104">
        <f>ROUND((B45-B$7)/B$7*100,1)</f>
        <v>7</v>
      </c>
      <c r="K45" s="6"/>
      <c r="L45" s="104">
        <f>ROUND((D45-D$7)/D$7*100,1)</f>
        <v>2.2000000000000002</v>
      </c>
      <c r="M45" s="4"/>
      <c r="N45" s="109">
        <f>C45-J45</f>
        <v>0</v>
      </c>
      <c r="O45" s="4"/>
      <c r="P45" s="109">
        <f>E45-L45</f>
        <v>0</v>
      </c>
    </row>
    <row r="46" spans="1:16" ht="15.75" customHeight="1">
      <c r="A46" s="145"/>
      <c r="B46" s="24">
        <v>33.293999999999997</v>
      </c>
      <c r="C46" s="36">
        <f>ROUND((B46-B7)/B7*100,1)</f>
        <v>11</v>
      </c>
      <c r="D46" s="24">
        <v>7863.78</v>
      </c>
      <c r="E46" s="36">
        <f>ROUND((D46-D7)/D7*100,1)</f>
        <v>4.9000000000000004</v>
      </c>
      <c r="I46" s="6"/>
      <c r="J46" s="104">
        <f t="shared" ref="J46:L47" si="18">ROUND((B46-B$7)/B$7*100,1)</f>
        <v>11</v>
      </c>
      <c r="K46" s="6"/>
      <c r="L46" s="104">
        <f t="shared" si="18"/>
        <v>4.9000000000000004</v>
      </c>
      <c r="M46" s="4"/>
      <c r="N46" s="109">
        <f t="shared" ref="N46:N47" si="19">C46-J46</f>
        <v>0</v>
      </c>
      <c r="O46" s="4"/>
      <c r="P46" s="109">
        <f t="shared" ref="P46:P47" si="20">E46-L46</f>
        <v>0</v>
      </c>
    </row>
    <row r="47" spans="1:16" ht="15.75" customHeight="1">
      <c r="A47" s="145"/>
      <c r="B47" s="24">
        <v>29.977</v>
      </c>
      <c r="C47" s="36">
        <f>ROUND((B47-B7)/B7*100,1)</f>
        <v>-0.1</v>
      </c>
      <c r="D47" s="24">
        <v>7775.9120000000003</v>
      </c>
      <c r="E47" s="36">
        <f>ROUND((D47-D7)/D7*100,1)</f>
        <v>3.7</v>
      </c>
      <c r="I47" s="6"/>
      <c r="J47" s="104">
        <f t="shared" si="18"/>
        <v>-0.1</v>
      </c>
      <c r="K47" s="6"/>
      <c r="L47" s="104">
        <f t="shared" si="18"/>
        <v>3.7</v>
      </c>
      <c r="M47" s="4"/>
      <c r="N47" s="109">
        <f t="shared" si="19"/>
        <v>0</v>
      </c>
      <c r="O47" s="4"/>
      <c r="P47" s="109">
        <f t="shared" si="20"/>
        <v>0</v>
      </c>
    </row>
    <row r="48" spans="1:16" ht="15.75" customHeight="1">
      <c r="A48" s="29" t="s">
        <v>16</v>
      </c>
      <c r="B48" s="24">
        <f>ROUND(AVERAGE(B45:B47),3)</f>
        <v>31.789000000000001</v>
      </c>
      <c r="C48" s="146"/>
      <c r="D48" s="24">
        <f>ROUND(AVERAGE(D45:D47),3)</f>
        <v>7767.4960000000001</v>
      </c>
      <c r="E48" s="146"/>
      <c r="I48" s="6">
        <f>ROUND(AVERAGEA(B45:B47),3)</f>
        <v>31.789000000000001</v>
      </c>
      <c r="J48" s="104"/>
      <c r="K48" s="6">
        <f>ROUND(AVERAGEA(D45:D47),3)</f>
        <v>7767.4960000000001</v>
      </c>
      <c r="L48" s="104"/>
      <c r="M48" s="110">
        <f>B48-I48</f>
        <v>0</v>
      </c>
      <c r="N48" s="4"/>
      <c r="O48" s="110">
        <f>D48-K48</f>
        <v>0</v>
      </c>
      <c r="P48" s="4"/>
    </row>
    <row r="49" spans="1:16" ht="15.75" customHeight="1">
      <c r="A49" s="29" t="s">
        <v>4</v>
      </c>
      <c r="B49" s="24">
        <f>ROUND(STDEV(B45:B47),3)</f>
        <v>1.68</v>
      </c>
      <c r="C49" s="147"/>
      <c r="D49" s="24">
        <f>ROUND(STDEV(D45:D47),3)</f>
        <v>100.756</v>
      </c>
      <c r="E49" s="147"/>
      <c r="I49" s="6">
        <f>ROUND(STDEVA(B45:B47),3)</f>
        <v>1.68</v>
      </c>
      <c r="J49" s="104"/>
      <c r="K49" s="6">
        <f>ROUND(STDEVA(D45:D47),3)</f>
        <v>100.756</v>
      </c>
      <c r="L49" s="104"/>
      <c r="M49" s="110">
        <f t="shared" ref="M49:M52" si="21">B49-I49</f>
        <v>0</v>
      </c>
      <c r="N49" s="4"/>
      <c r="O49" s="110">
        <f t="shared" ref="O49:O52" si="22">D49-K49</f>
        <v>0</v>
      </c>
      <c r="P49" s="4"/>
    </row>
    <row r="50" spans="1:16" ht="15.75" customHeight="1">
      <c r="A50" s="29" t="s">
        <v>65</v>
      </c>
      <c r="B50" s="36">
        <f>ROUND(B49/B48*100,1)</f>
        <v>5.3</v>
      </c>
      <c r="C50" s="147"/>
      <c r="D50" s="36">
        <f>ROUND(D49/D48*100,1)</f>
        <v>1.3</v>
      </c>
      <c r="E50" s="147"/>
      <c r="I50" s="97">
        <f>ROUND(I49/I48*100,1)</f>
        <v>5.3</v>
      </c>
      <c r="J50" s="104"/>
      <c r="K50" s="97">
        <f>ROUND(K49/K48*100,1)</f>
        <v>1.3</v>
      </c>
      <c r="L50" s="104"/>
      <c r="M50" s="110">
        <f t="shared" si="21"/>
        <v>0</v>
      </c>
      <c r="N50" s="4"/>
      <c r="O50" s="110">
        <f t="shared" si="22"/>
        <v>0</v>
      </c>
      <c r="P50" s="4"/>
    </row>
    <row r="51" spans="1:16" ht="15.75" customHeight="1">
      <c r="A51" s="29" t="s">
        <v>66</v>
      </c>
      <c r="B51" s="36">
        <f>ROUND(B48/B7*100,1)</f>
        <v>106</v>
      </c>
      <c r="C51" s="147"/>
      <c r="D51" s="36">
        <f>ROUND(D48/D7*100,1)</f>
        <v>103.6</v>
      </c>
      <c r="E51" s="147"/>
      <c r="I51" s="97">
        <f>ROUND(B48/B$7*100,1)</f>
        <v>106</v>
      </c>
      <c r="J51" s="6"/>
      <c r="K51" s="97">
        <f>ROUND(D48/D$7*100,1)</f>
        <v>103.6</v>
      </c>
      <c r="L51" s="6"/>
      <c r="M51" s="110">
        <f t="shared" si="21"/>
        <v>0</v>
      </c>
      <c r="N51" s="4"/>
      <c r="O51" s="110">
        <f t="shared" si="22"/>
        <v>0</v>
      </c>
      <c r="P51" s="4"/>
    </row>
    <row r="52" spans="1:16" ht="15.75" customHeight="1">
      <c r="A52" s="29" t="s">
        <v>64</v>
      </c>
      <c r="B52" s="36">
        <f>ROUND((B48-B7)/B7*100,1)</f>
        <v>6</v>
      </c>
      <c r="C52" s="147"/>
      <c r="D52" s="36">
        <f>ROUND((D48-D7)/D7*100,1)</f>
        <v>3.6</v>
      </c>
      <c r="E52" s="147"/>
      <c r="I52" s="104">
        <f>ROUND((B48-B$7)/B$7*100,1)</f>
        <v>6</v>
      </c>
      <c r="J52" s="4"/>
      <c r="K52" s="104">
        <f>ROUND((D48-D$7)/D$7*100,1)</f>
        <v>3.6</v>
      </c>
      <c r="L52" s="4"/>
      <c r="M52" s="110">
        <f t="shared" si="21"/>
        <v>0</v>
      </c>
      <c r="N52" s="4"/>
      <c r="O52" s="110">
        <f t="shared" si="22"/>
        <v>0</v>
      </c>
      <c r="P52" s="4"/>
    </row>
    <row r="53" spans="1:16" ht="15.75" customHeight="1">
      <c r="A53" s="29" t="s">
        <v>5</v>
      </c>
      <c r="B53" s="38">
        <v>3</v>
      </c>
      <c r="C53" s="148"/>
      <c r="D53" s="38">
        <v>3</v>
      </c>
      <c r="E53" s="148"/>
      <c r="I53" s="4"/>
      <c r="J53" s="4"/>
      <c r="K53" s="4"/>
      <c r="L53" s="4"/>
      <c r="M53" s="4"/>
      <c r="N53" s="4"/>
      <c r="O53" s="4"/>
      <c r="P53" s="4"/>
    </row>
    <row r="54" spans="1:16" ht="15.75" customHeight="1">
      <c r="A54" s="145" t="s">
        <v>180</v>
      </c>
      <c r="B54" s="24">
        <v>33.429000000000002</v>
      </c>
      <c r="C54" s="36">
        <f>ROUND((B54-B7)/B7*100,1)</f>
        <v>11.4</v>
      </c>
      <c r="D54" s="24">
        <v>7626.259</v>
      </c>
      <c r="E54" s="36">
        <f>ROUND((D54-D7)/D7*100,1)</f>
        <v>1.7</v>
      </c>
      <c r="I54" s="6"/>
      <c r="J54" s="104">
        <f>ROUND((B54-B$7)/B$7*100,1)</f>
        <v>11.4</v>
      </c>
      <c r="K54" s="6"/>
      <c r="L54" s="104">
        <f>ROUND((D54-D$7)/D$7*100,1)</f>
        <v>1.7</v>
      </c>
      <c r="M54" s="4"/>
      <c r="N54" s="109">
        <f>C54-J54</f>
        <v>0</v>
      </c>
      <c r="O54" s="4"/>
      <c r="P54" s="109">
        <f>E54-L54</f>
        <v>0</v>
      </c>
    </row>
    <row r="55" spans="1:16" ht="15.75" customHeight="1">
      <c r="A55" s="145"/>
      <c r="B55" s="24">
        <v>31.286000000000001</v>
      </c>
      <c r="C55" s="36">
        <f>ROUND((B55-B7)/B7*100,1)</f>
        <v>4.3</v>
      </c>
      <c r="D55" s="24">
        <v>7444.5619999999999</v>
      </c>
      <c r="E55" s="36">
        <f>ROUND((D55-D7)/D7*100,1)</f>
        <v>-0.7</v>
      </c>
      <c r="I55" s="6"/>
      <c r="J55" s="104">
        <f t="shared" ref="J55:L56" si="23">ROUND((B55-B$7)/B$7*100,1)</f>
        <v>4.3</v>
      </c>
      <c r="K55" s="6"/>
      <c r="L55" s="104">
        <f t="shared" si="23"/>
        <v>-0.7</v>
      </c>
      <c r="M55" s="4"/>
      <c r="N55" s="109">
        <f t="shared" ref="N55:N56" si="24">C55-J55</f>
        <v>0</v>
      </c>
      <c r="O55" s="4"/>
      <c r="P55" s="109">
        <f t="shared" ref="P55:P56" si="25">E55-L55</f>
        <v>0</v>
      </c>
    </row>
    <row r="56" spans="1:16" ht="15.75" customHeight="1">
      <c r="A56" s="145"/>
      <c r="B56" s="24">
        <v>34.695999999999998</v>
      </c>
      <c r="C56" s="36">
        <f>ROUND((B56-B7)/B7*100,1)</f>
        <v>15.7</v>
      </c>
      <c r="D56" s="24">
        <v>7522.7569999999996</v>
      </c>
      <c r="E56" s="36">
        <f>ROUND((D56-D7)/D7*100,1)</f>
        <v>0.3</v>
      </c>
      <c r="I56" s="6"/>
      <c r="J56" s="104">
        <f t="shared" si="23"/>
        <v>15.7</v>
      </c>
      <c r="K56" s="6"/>
      <c r="L56" s="104">
        <f t="shared" si="23"/>
        <v>0.3</v>
      </c>
      <c r="M56" s="4"/>
      <c r="N56" s="109">
        <f t="shared" si="24"/>
        <v>0</v>
      </c>
      <c r="O56" s="4"/>
      <c r="P56" s="109">
        <f t="shared" si="25"/>
        <v>0</v>
      </c>
    </row>
    <row r="57" spans="1:16" ht="15.75" customHeight="1">
      <c r="A57" s="29" t="s">
        <v>16</v>
      </c>
      <c r="B57" s="24">
        <f>ROUND(AVERAGE(B54:B56),3)</f>
        <v>33.137</v>
      </c>
      <c r="C57" s="146"/>
      <c r="D57" s="24">
        <f>ROUND(AVERAGE(D54:D56),3)</f>
        <v>7531.1930000000002</v>
      </c>
      <c r="E57" s="146"/>
      <c r="I57" s="6">
        <f>ROUND(AVERAGEA(B54:B56),3)</f>
        <v>33.137</v>
      </c>
      <c r="J57" s="104"/>
      <c r="K57" s="6">
        <f>ROUND(AVERAGEA(D54:D56),3)</f>
        <v>7531.1930000000002</v>
      </c>
      <c r="L57" s="104"/>
      <c r="M57" s="110">
        <f>B57-I57</f>
        <v>0</v>
      </c>
      <c r="N57" s="4"/>
      <c r="O57" s="110">
        <f>D57-K57</f>
        <v>0</v>
      </c>
      <c r="P57" s="4"/>
    </row>
    <row r="58" spans="1:16" ht="15.75" customHeight="1">
      <c r="A58" s="29" t="s">
        <v>4</v>
      </c>
      <c r="B58" s="24">
        <f>ROUND(STDEV(B54:B56),3)</f>
        <v>1.724</v>
      </c>
      <c r="C58" s="147"/>
      <c r="D58" s="24">
        <f>ROUND(STDEV(D54:D56),3)</f>
        <v>91.141999999999996</v>
      </c>
      <c r="E58" s="147"/>
      <c r="I58" s="6">
        <f>ROUND(STDEVA(B54:B56),3)</f>
        <v>1.724</v>
      </c>
      <c r="J58" s="104"/>
      <c r="K58" s="6">
        <f>ROUND(STDEVA(D54:D56),3)</f>
        <v>91.141999999999996</v>
      </c>
      <c r="L58" s="104"/>
      <c r="M58" s="110">
        <f t="shared" ref="M58:M61" si="26">B58-I58</f>
        <v>0</v>
      </c>
      <c r="N58" s="4"/>
      <c r="O58" s="110">
        <f t="shared" ref="O58:O61" si="27">D58-K58</f>
        <v>0</v>
      </c>
      <c r="P58" s="4"/>
    </row>
    <row r="59" spans="1:16" ht="15.75" customHeight="1">
      <c r="A59" s="29" t="s">
        <v>65</v>
      </c>
      <c r="B59" s="36">
        <f>ROUND(B58/B57*100,1)</f>
        <v>5.2</v>
      </c>
      <c r="C59" s="147"/>
      <c r="D59" s="36">
        <f>ROUND(D58/D57*100,1)</f>
        <v>1.2</v>
      </c>
      <c r="E59" s="147"/>
      <c r="I59" s="97">
        <f>ROUND(I58/I57*100,1)</f>
        <v>5.2</v>
      </c>
      <c r="J59" s="104"/>
      <c r="K59" s="97">
        <f>ROUND(K58/K57*100,1)</f>
        <v>1.2</v>
      </c>
      <c r="L59" s="104"/>
      <c r="M59" s="110">
        <f t="shared" si="26"/>
        <v>0</v>
      </c>
      <c r="N59" s="4"/>
      <c r="O59" s="110">
        <f t="shared" si="27"/>
        <v>0</v>
      </c>
      <c r="P59" s="4"/>
    </row>
    <row r="60" spans="1:16" ht="15.75" customHeight="1">
      <c r="A60" s="29" t="s">
        <v>66</v>
      </c>
      <c r="B60" s="36">
        <f>ROUND(B57/B7*100,1)</f>
        <v>110.5</v>
      </c>
      <c r="C60" s="147"/>
      <c r="D60" s="36">
        <f>ROUND(D57/D7*100,1)</f>
        <v>100.4</v>
      </c>
      <c r="E60" s="147"/>
      <c r="I60" s="97">
        <f>ROUND(B57/B$7*100,1)</f>
        <v>110.5</v>
      </c>
      <c r="J60" s="6"/>
      <c r="K60" s="97">
        <f>ROUND(D57/D$7*100,1)</f>
        <v>100.4</v>
      </c>
      <c r="L60" s="6"/>
      <c r="M60" s="110">
        <f t="shared" si="26"/>
        <v>0</v>
      </c>
      <c r="N60" s="4"/>
      <c r="O60" s="110">
        <f t="shared" si="27"/>
        <v>0</v>
      </c>
      <c r="P60" s="4"/>
    </row>
    <row r="61" spans="1:16" ht="15.75" customHeight="1">
      <c r="A61" s="29" t="s">
        <v>64</v>
      </c>
      <c r="B61" s="36">
        <f>ROUND((B57-B7)/B7*100,1)</f>
        <v>10.5</v>
      </c>
      <c r="C61" s="147"/>
      <c r="D61" s="36">
        <f>ROUND((D57-D7)/D7*100,1)</f>
        <v>0.4</v>
      </c>
      <c r="E61" s="147"/>
      <c r="I61" s="104">
        <f>ROUND((B57-B$7)/B$7*100,1)</f>
        <v>10.5</v>
      </c>
      <c r="J61" s="4"/>
      <c r="K61" s="104">
        <f>ROUND((D57-D$7)/D$7*100,1)</f>
        <v>0.4</v>
      </c>
      <c r="L61" s="4"/>
      <c r="M61" s="110">
        <f t="shared" si="26"/>
        <v>0</v>
      </c>
      <c r="N61" s="4"/>
      <c r="O61" s="110">
        <f t="shared" si="27"/>
        <v>0</v>
      </c>
      <c r="P61" s="4"/>
    </row>
    <row r="62" spans="1:16" ht="15.75" customHeight="1">
      <c r="A62" s="29" t="s">
        <v>5</v>
      </c>
      <c r="B62" s="38">
        <v>3</v>
      </c>
      <c r="C62" s="148"/>
      <c r="D62" s="38">
        <v>3</v>
      </c>
      <c r="E62" s="148"/>
    </row>
    <row r="64" spans="1:16" ht="15.75" customHeight="1">
      <c r="A64" s="2" t="s">
        <v>98</v>
      </c>
    </row>
    <row r="65" spans="1:16" ht="15.75" customHeight="1">
      <c r="A65" s="128" t="s">
        <v>193</v>
      </c>
      <c r="B65" s="129"/>
      <c r="C65" s="130"/>
      <c r="D65" s="128" t="s">
        <v>159</v>
      </c>
      <c r="E65" s="130"/>
    </row>
    <row r="66" spans="1:16" ht="15.75" customHeight="1">
      <c r="A66" s="127" t="s">
        <v>63</v>
      </c>
      <c r="B66" s="29" t="s">
        <v>7</v>
      </c>
      <c r="C66" s="134" t="s">
        <v>64</v>
      </c>
      <c r="D66" s="65" t="s">
        <v>1</v>
      </c>
      <c r="E66" s="134" t="s">
        <v>64</v>
      </c>
    </row>
    <row r="67" spans="1:16" ht="15.75" customHeight="1">
      <c r="A67" s="127"/>
      <c r="B67" s="52">
        <v>30</v>
      </c>
      <c r="C67" s="135"/>
      <c r="D67" s="52">
        <v>7500</v>
      </c>
      <c r="E67" s="135"/>
    </row>
    <row r="68" spans="1:16" ht="15.75" customHeight="1">
      <c r="A68" s="127"/>
      <c r="B68" s="46" t="s">
        <v>67</v>
      </c>
      <c r="C68" s="136"/>
      <c r="D68" s="46" t="s">
        <v>67</v>
      </c>
      <c r="E68" s="136"/>
    </row>
    <row r="69" spans="1:16" ht="15.75" customHeight="1">
      <c r="A69" s="149" t="s">
        <v>167</v>
      </c>
      <c r="B69" s="24">
        <v>30.88</v>
      </c>
      <c r="C69" s="36">
        <f>ROUND((B69-B67)/B67*100,1)</f>
        <v>2.9</v>
      </c>
      <c r="D69" s="24">
        <v>7963.875</v>
      </c>
      <c r="E69" s="36">
        <f>ROUND((D69-D67)/D67*100,1)</f>
        <v>6.2</v>
      </c>
      <c r="F69" s="2"/>
      <c r="I69" s="6"/>
      <c r="J69" s="104">
        <f>ROUND((B69-B$7)/B$7*100,1)</f>
        <v>2.9</v>
      </c>
      <c r="K69" s="6"/>
      <c r="L69" s="104">
        <f>ROUND((D69-D$7)/D$7*100,1)</f>
        <v>6.2</v>
      </c>
      <c r="M69" s="4"/>
      <c r="N69" s="109">
        <f>C69-J69</f>
        <v>0</v>
      </c>
      <c r="O69" s="4"/>
      <c r="P69" s="109">
        <f>E69-L69</f>
        <v>0</v>
      </c>
    </row>
    <row r="70" spans="1:16" ht="15.75" customHeight="1">
      <c r="A70" s="149"/>
      <c r="B70" s="24">
        <v>31.445</v>
      </c>
      <c r="C70" s="36">
        <f>ROUND((B70-B67)/B67*100,1)</f>
        <v>4.8</v>
      </c>
      <c r="D70" s="24">
        <v>8256.02</v>
      </c>
      <c r="E70" s="36">
        <f>ROUND((D70-D67)/D67*100,1)</f>
        <v>10.1</v>
      </c>
      <c r="F70" s="2"/>
      <c r="I70" s="6"/>
      <c r="J70" s="104">
        <f t="shared" ref="J70:J71" si="28">ROUND((B70-B$7)/B$7*100,1)</f>
        <v>4.8</v>
      </c>
      <c r="K70" s="6"/>
      <c r="L70" s="104">
        <f t="shared" ref="L70:L71" si="29">ROUND((D70-D$7)/D$7*100,1)</f>
        <v>10.1</v>
      </c>
      <c r="M70" s="4"/>
      <c r="N70" s="109">
        <f t="shared" ref="N70:N71" si="30">C70-J70</f>
        <v>0</v>
      </c>
      <c r="O70" s="4"/>
      <c r="P70" s="109">
        <f t="shared" ref="P70:P71" si="31">E70-L70</f>
        <v>0</v>
      </c>
    </row>
    <row r="71" spans="1:16" ht="15.75" customHeight="1">
      <c r="A71" s="149"/>
      <c r="B71" s="24">
        <v>34.075000000000003</v>
      </c>
      <c r="C71" s="36">
        <f>ROUND((B71-B67)/B67*100,1)</f>
        <v>13.6</v>
      </c>
      <c r="D71" s="24">
        <v>7592.84</v>
      </c>
      <c r="E71" s="36">
        <f>ROUND((D71-D67)/D67*100,1)</f>
        <v>1.2</v>
      </c>
      <c r="F71" s="2"/>
      <c r="I71" s="6"/>
      <c r="J71" s="104">
        <f t="shared" si="28"/>
        <v>13.6</v>
      </c>
      <c r="K71" s="6"/>
      <c r="L71" s="104">
        <f t="shared" si="29"/>
        <v>1.2</v>
      </c>
      <c r="M71" s="4"/>
      <c r="N71" s="109">
        <f t="shared" si="30"/>
        <v>0</v>
      </c>
      <c r="O71" s="4"/>
      <c r="P71" s="109">
        <f t="shared" si="31"/>
        <v>0</v>
      </c>
    </row>
    <row r="72" spans="1:16" ht="15.75" customHeight="1">
      <c r="A72" s="29" t="s">
        <v>16</v>
      </c>
      <c r="B72" s="24">
        <f>ROUND(AVERAGE(B69:B71),3)</f>
        <v>32.133000000000003</v>
      </c>
      <c r="C72" s="146"/>
      <c r="D72" s="24">
        <f>ROUND(AVERAGE(D69:D71),3)</f>
        <v>7937.5780000000004</v>
      </c>
      <c r="E72" s="146"/>
      <c r="F72" s="2"/>
      <c r="I72" s="6">
        <f>ROUND(AVERAGEA(B69:B71),3)</f>
        <v>32.133000000000003</v>
      </c>
      <c r="J72" s="104"/>
      <c r="K72" s="6">
        <f>ROUND(AVERAGEA(D69:D71),3)</f>
        <v>7937.5780000000004</v>
      </c>
      <c r="L72" s="104"/>
      <c r="M72" s="110">
        <f>B72-I72</f>
        <v>0</v>
      </c>
      <c r="N72" s="4"/>
      <c r="O72" s="110">
        <f>D72-K72</f>
        <v>0</v>
      </c>
      <c r="P72" s="4"/>
    </row>
    <row r="73" spans="1:16" ht="15.75" customHeight="1">
      <c r="A73" s="29" t="s">
        <v>4</v>
      </c>
      <c r="B73" s="24">
        <f>ROUND(STDEV(B69:B71),3)</f>
        <v>1.7050000000000001</v>
      </c>
      <c r="C73" s="147"/>
      <c r="D73" s="24">
        <f>ROUND(STDEV(D69:D71),3)</f>
        <v>332.37099999999998</v>
      </c>
      <c r="E73" s="147"/>
      <c r="F73" s="2"/>
      <c r="I73" s="6">
        <f>ROUND(STDEVA(B69:B71),3)</f>
        <v>1.7050000000000001</v>
      </c>
      <c r="J73" s="104"/>
      <c r="K73" s="6">
        <f>ROUND(STDEVA(D69:D71),3)</f>
        <v>332.37099999999998</v>
      </c>
      <c r="L73" s="104"/>
      <c r="M73" s="110">
        <f t="shared" ref="M73:M76" si="32">B73-I73</f>
        <v>0</v>
      </c>
      <c r="N73" s="4"/>
      <c r="O73" s="110">
        <f t="shared" ref="O73:O76" si="33">D73-K73</f>
        <v>0</v>
      </c>
      <c r="P73" s="4"/>
    </row>
    <row r="74" spans="1:16" ht="15.75" customHeight="1">
      <c r="A74" s="29" t="s">
        <v>65</v>
      </c>
      <c r="B74" s="36">
        <f>ROUND(B73/B72*100,1)</f>
        <v>5.3</v>
      </c>
      <c r="C74" s="147"/>
      <c r="D74" s="36">
        <f>ROUND(D73/D72*100,1)</f>
        <v>4.2</v>
      </c>
      <c r="E74" s="147"/>
      <c r="F74" s="2"/>
      <c r="I74" s="97">
        <f>ROUND(I73/I72*100,1)</f>
        <v>5.3</v>
      </c>
      <c r="J74" s="104"/>
      <c r="K74" s="97">
        <f>ROUND(K73/K72*100,1)</f>
        <v>4.2</v>
      </c>
      <c r="L74" s="104"/>
      <c r="M74" s="110">
        <f t="shared" si="32"/>
        <v>0</v>
      </c>
      <c r="N74" s="4"/>
      <c r="O74" s="110">
        <f t="shared" si="33"/>
        <v>0</v>
      </c>
      <c r="P74" s="4"/>
    </row>
    <row r="75" spans="1:16" ht="15.75" customHeight="1">
      <c r="A75" s="29" t="s">
        <v>66</v>
      </c>
      <c r="B75" s="36">
        <f>ROUND(B72/B67*100,1)</f>
        <v>107.1</v>
      </c>
      <c r="C75" s="147"/>
      <c r="D75" s="36">
        <f>ROUND(D72/D67*100,1)</f>
        <v>105.8</v>
      </c>
      <c r="E75" s="147"/>
      <c r="F75" s="2"/>
      <c r="I75" s="97">
        <f>ROUND(B72/B$7*100,1)</f>
        <v>107.1</v>
      </c>
      <c r="J75" s="6"/>
      <c r="K75" s="97">
        <f>ROUND(D72/D$7*100,1)</f>
        <v>105.8</v>
      </c>
      <c r="L75" s="6"/>
      <c r="M75" s="110">
        <f t="shared" si="32"/>
        <v>0</v>
      </c>
      <c r="N75" s="4"/>
      <c r="O75" s="110">
        <f t="shared" si="33"/>
        <v>0</v>
      </c>
      <c r="P75" s="4"/>
    </row>
    <row r="76" spans="1:16" ht="15.75" customHeight="1">
      <c r="A76" s="29" t="s">
        <v>64</v>
      </c>
      <c r="B76" s="36">
        <f>ROUND((B72-B67)/B67*100,1)</f>
        <v>7.1</v>
      </c>
      <c r="C76" s="147"/>
      <c r="D76" s="36">
        <f>ROUND((D72-D67)/D67*100,1)</f>
        <v>5.8</v>
      </c>
      <c r="E76" s="147"/>
      <c r="F76" s="2"/>
      <c r="I76" s="104">
        <f>ROUND((B72-B$7)/B$7*100,1)</f>
        <v>7.1</v>
      </c>
      <c r="J76" s="4"/>
      <c r="K76" s="104">
        <f>ROUND((D72-D$7)/D$7*100,1)</f>
        <v>5.8</v>
      </c>
      <c r="L76" s="4"/>
      <c r="M76" s="110">
        <f t="shared" si="32"/>
        <v>0</v>
      </c>
      <c r="N76" s="4"/>
      <c r="O76" s="110">
        <f t="shared" si="33"/>
        <v>0</v>
      </c>
      <c r="P76" s="4"/>
    </row>
    <row r="77" spans="1:16" ht="15.75" customHeight="1">
      <c r="A77" s="29" t="s">
        <v>5</v>
      </c>
      <c r="B77" s="38">
        <v>3</v>
      </c>
      <c r="C77" s="148"/>
      <c r="D77" s="38">
        <v>3</v>
      </c>
      <c r="E77" s="148"/>
      <c r="F77" s="2"/>
      <c r="I77" s="4"/>
      <c r="J77" s="4"/>
      <c r="K77" s="4"/>
      <c r="L77" s="4"/>
      <c r="M77" s="4"/>
      <c r="N77" s="4"/>
      <c r="O77" s="4"/>
      <c r="P77" s="4"/>
    </row>
    <row r="78" spans="1:16" ht="15.75" customHeight="1">
      <c r="A78" s="149" t="s">
        <v>169</v>
      </c>
      <c r="B78" s="24">
        <v>36.726999999999997</v>
      </c>
      <c r="C78" s="36">
        <f>ROUND((B78-B67)/B67*100,1)</f>
        <v>22.4</v>
      </c>
      <c r="D78" s="24">
        <v>8003.4970000000003</v>
      </c>
      <c r="E78" s="36">
        <f>ROUND((D78-D67)/D67*100,1)</f>
        <v>6.7</v>
      </c>
      <c r="F78" s="2"/>
      <c r="I78" s="6"/>
      <c r="J78" s="104">
        <f>ROUND((B78-B$7)/B$7*100,1)</f>
        <v>22.4</v>
      </c>
      <c r="K78" s="6"/>
      <c r="L78" s="104">
        <f>ROUND((D78-D$7)/D$7*100,1)</f>
        <v>6.7</v>
      </c>
      <c r="M78" s="4"/>
      <c r="N78" s="109">
        <f>C78-J78</f>
        <v>0</v>
      </c>
      <c r="O78" s="4"/>
      <c r="P78" s="109">
        <f>E78-L78</f>
        <v>0</v>
      </c>
    </row>
    <row r="79" spans="1:16" ht="15.75" customHeight="1">
      <c r="A79" s="149"/>
      <c r="B79" s="24">
        <v>32.606000000000002</v>
      </c>
      <c r="C79" s="36">
        <f>ROUND((B79-B67)/B67*100,1)</f>
        <v>8.6999999999999993</v>
      </c>
      <c r="D79" s="24">
        <v>7838.8940000000002</v>
      </c>
      <c r="E79" s="36">
        <f>ROUND((D79-D67)/D67*100,1)</f>
        <v>4.5</v>
      </c>
      <c r="F79" s="2"/>
      <c r="I79" s="6"/>
      <c r="J79" s="104">
        <f t="shared" ref="J79:J80" si="34">ROUND((B79-B$7)/B$7*100,1)</f>
        <v>8.6999999999999993</v>
      </c>
      <c r="K79" s="6"/>
      <c r="L79" s="104">
        <f t="shared" ref="L79:L80" si="35">ROUND((D79-D$7)/D$7*100,1)</f>
        <v>4.5</v>
      </c>
      <c r="M79" s="4"/>
      <c r="N79" s="109">
        <f t="shared" ref="N79:N80" si="36">C79-J79</f>
        <v>0</v>
      </c>
      <c r="O79" s="4"/>
      <c r="P79" s="109">
        <f t="shared" ref="P79:P80" si="37">E79-L79</f>
        <v>0</v>
      </c>
    </row>
    <row r="80" spans="1:16" ht="15.75" customHeight="1">
      <c r="A80" s="149"/>
      <c r="B80" s="24">
        <v>33.018999999999998</v>
      </c>
      <c r="C80" s="36">
        <f>ROUND((B80-B67)/B67*100,1)</f>
        <v>10.1</v>
      </c>
      <c r="D80" s="24">
        <v>7619.9750000000004</v>
      </c>
      <c r="E80" s="36">
        <f>ROUND((D80-D67)/D67*100,1)</f>
        <v>1.6</v>
      </c>
      <c r="F80" s="2"/>
      <c r="I80" s="6"/>
      <c r="J80" s="104">
        <f t="shared" si="34"/>
        <v>10.1</v>
      </c>
      <c r="K80" s="6"/>
      <c r="L80" s="104">
        <f t="shared" si="35"/>
        <v>1.6</v>
      </c>
      <c r="M80" s="4"/>
      <c r="N80" s="109">
        <f t="shared" si="36"/>
        <v>0</v>
      </c>
      <c r="O80" s="4"/>
      <c r="P80" s="109">
        <f t="shared" si="37"/>
        <v>0</v>
      </c>
    </row>
    <row r="81" spans="1:16" ht="15.75" customHeight="1">
      <c r="A81" s="29" t="s">
        <v>16</v>
      </c>
      <c r="B81" s="24">
        <f>ROUND(AVERAGE(B78:B80),3)</f>
        <v>34.116999999999997</v>
      </c>
      <c r="C81" s="146"/>
      <c r="D81" s="24">
        <f>ROUND(AVERAGE(D78:D80),3)</f>
        <v>7820.7889999999998</v>
      </c>
      <c r="E81" s="146"/>
      <c r="F81" s="2"/>
      <c r="I81" s="6">
        <f>ROUND(AVERAGEA(B78:B80),3)</f>
        <v>34.116999999999997</v>
      </c>
      <c r="J81" s="104"/>
      <c r="K81" s="6">
        <f>ROUND(AVERAGEA(D78:D80),3)</f>
        <v>7820.7889999999998</v>
      </c>
      <c r="L81" s="104"/>
      <c r="M81" s="110">
        <f>B81-I81</f>
        <v>0</v>
      </c>
      <c r="N81" s="4"/>
      <c r="O81" s="110">
        <f>D81-K81</f>
        <v>0</v>
      </c>
      <c r="P81" s="4"/>
    </row>
    <row r="82" spans="1:16" ht="15.75" customHeight="1">
      <c r="A82" s="29" t="s">
        <v>4</v>
      </c>
      <c r="B82" s="24">
        <f>ROUND(STDEV(B78:B80),3)</f>
        <v>2.2690000000000001</v>
      </c>
      <c r="C82" s="147"/>
      <c r="D82" s="24">
        <f>ROUND(STDEV(D78:D80),3)</f>
        <v>192.40100000000001</v>
      </c>
      <c r="E82" s="147"/>
      <c r="F82" s="2"/>
      <c r="I82" s="6">
        <f>ROUND(STDEVA(B78:B80),3)</f>
        <v>2.2690000000000001</v>
      </c>
      <c r="J82" s="104"/>
      <c r="K82" s="6">
        <f>ROUND(STDEVA(D78:D80),3)</f>
        <v>192.40100000000001</v>
      </c>
      <c r="L82" s="104"/>
      <c r="M82" s="110">
        <f t="shared" ref="M82:M85" si="38">B82-I82</f>
        <v>0</v>
      </c>
      <c r="N82" s="4"/>
      <c r="O82" s="110">
        <f t="shared" ref="O82:O85" si="39">D82-K82</f>
        <v>0</v>
      </c>
      <c r="P82" s="4"/>
    </row>
    <row r="83" spans="1:16" ht="15.75" customHeight="1">
      <c r="A83" s="29" t="s">
        <v>65</v>
      </c>
      <c r="B83" s="36">
        <f>ROUND(B82/B81*100,1)</f>
        <v>6.7</v>
      </c>
      <c r="C83" s="147"/>
      <c r="D83" s="36">
        <f>ROUND(D82/D81*100,1)</f>
        <v>2.5</v>
      </c>
      <c r="E83" s="147"/>
      <c r="F83" s="2"/>
      <c r="I83" s="97">
        <f>ROUND(I82/I81*100,1)</f>
        <v>6.7</v>
      </c>
      <c r="J83" s="104"/>
      <c r="K83" s="97">
        <f>ROUND(K82/K81*100,1)</f>
        <v>2.5</v>
      </c>
      <c r="L83" s="104"/>
      <c r="M83" s="110">
        <f t="shared" si="38"/>
        <v>0</v>
      </c>
      <c r="N83" s="4"/>
      <c r="O83" s="110">
        <f t="shared" si="39"/>
        <v>0</v>
      </c>
      <c r="P83" s="4"/>
    </row>
    <row r="84" spans="1:16" ht="15.75" customHeight="1">
      <c r="A84" s="29" t="s">
        <v>66</v>
      </c>
      <c r="B84" s="36">
        <f>ROUND(B81/B67*100,1)</f>
        <v>113.7</v>
      </c>
      <c r="C84" s="147"/>
      <c r="D84" s="36">
        <f>ROUND(D81/D67*100,1)</f>
        <v>104.3</v>
      </c>
      <c r="E84" s="147"/>
      <c r="F84" s="2"/>
      <c r="I84" s="97">
        <f>ROUND(B81/B$7*100,1)</f>
        <v>113.7</v>
      </c>
      <c r="J84" s="6"/>
      <c r="K84" s="97">
        <f>ROUND(D81/D$7*100,1)</f>
        <v>104.3</v>
      </c>
      <c r="L84" s="6"/>
      <c r="M84" s="110">
        <f t="shared" si="38"/>
        <v>0</v>
      </c>
      <c r="N84" s="4"/>
      <c r="O84" s="110">
        <f t="shared" si="39"/>
        <v>0</v>
      </c>
      <c r="P84" s="4"/>
    </row>
    <row r="85" spans="1:16" ht="15.75" customHeight="1">
      <c r="A85" s="29" t="s">
        <v>64</v>
      </c>
      <c r="B85" s="36">
        <f>ROUND((B81-B67)/B67*100,1)</f>
        <v>13.7</v>
      </c>
      <c r="C85" s="147"/>
      <c r="D85" s="36">
        <f>ROUND((D81-D67)/D67*100,1)</f>
        <v>4.3</v>
      </c>
      <c r="E85" s="147"/>
      <c r="F85" s="2"/>
      <c r="I85" s="104">
        <f>ROUND((B81-B$7)/B$7*100,1)</f>
        <v>13.7</v>
      </c>
      <c r="J85" s="4"/>
      <c r="K85" s="104">
        <f>ROUND((D81-D$7)/D$7*100,1)</f>
        <v>4.3</v>
      </c>
      <c r="L85" s="4"/>
      <c r="M85" s="110">
        <f t="shared" si="38"/>
        <v>0</v>
      </c>
      <c r="N85" s="4"/>
      <c r="O85" s="110">
        <f t="shared" si="39"/>
        <v>0</v>
      </c>
      <c r="P85" s="4"/>
    </row>
    <row r="86" spans="1:16" ht="15.75" customHeight="1">
      <c r="A86" s="29" t="s">
        <v>5</v>
      </c>
      <c r="B86" s="38">
        <v>3</v>
      </c>
      <c r="C86" s="148"/>
      <c r="D86" s="38">
        <v>3</v>
      </c>
      <c r="E86" s="148"/>
      <c r="F86" s="2"/>
      <c r="I86" s="4"/>
      <c r="J86" s="4"/>
      <c r="K86" s="4"/>
      <c r="L86" s="4"/>
      <c r="M86" s="4"/>
      <c r="N86" s="4"/>
      <c r="O86" s="4"/>
      <c r="P86" s="4"/>
    </row>
    <row r="87" spans="1:16" ht="15.75" customHeight="1">
      <c r="A87" s="137" t="s">
        <v>171</v>
      </c>
      <c r="B87" s="24">
        <v>29.254000000000001</v>
      </c>
      <c r="C87" s="36">
        <f>ROUND((B87-B67)/B67*100,1)</f>
        <v>-2.5</v>
      </c>
      <c r="D87" s="24">
        <v>7634.3919999999998</v>
      </c>
      <c r="E87" s="36">
        <f>ROUND((D87-D67)/D67*100,1)</f>
        <v>1.8</v>
      </c>
      <c r="I87" s="6"/>
      <c r="J87" s="104">
        <f>ROUND((B87-B$7)/B$7*100,1)</f>
        <v>-2.5</v>
      </c>
      <c r="K87" s="6"/>
      <c r="L87" s="104">
        <f>ROUND((D87-D$7)/D$7*100,1)</f>
        <v>1.8</v>
      </c>
      <c r="M87" s="4"/>
      <c r="N87" s="109">
        <f>C87-J87</f>
        <v>0</v>
      </c>
      <c r="O87" s="4"/>
      <c r="P87" s="109">
        <f>E87-L87</f>
        <v>0</v>
      </c>
    </row>
    <row r="88" spans="1:16" ht="15.75" customHeight="1">
      <c r="A88" s="137"/>
      <c r="B88" s="24">
        <v>30.483000000000001</v>
      </c>
      <c r="C88" s="36">
        <f>ROUND((B88-B67)/B67*100,1)</f>
        <v>1.6</v>
      </c>
      <c r="D88" s="24">
        <v>7677.9470000000001</v>
      </c>
      <c r="E88" s="36">
        <f>ROUND((D88-D67)/D67*100,1)</f>
        <v>2.4</v>
      </c>
      <c r="I88" s="6"/>
      <c r="J88" s="104">
        <f t="shared" ref="J88:J89" si="40">ROUND((B88-B$7)/B$7*100,1)</f>
        <v>1.6</v>
      </c>
      <c r="K88" s="6"/>
      <c r="L88" s="104">
        <f t="shared" ref="L88:L89" si="41">ROUND((D88-D$7)/D$7*100,1)</f>
        <v>2.4</v>
      </c>
      <c r="M88" s="4"/>
      <c r="N88" s="109">
        <f t="shared" ref="N88:N89" si="42">C88-J88</f>
        <v>0</v>
      </c>
      <c r="O88" s="4"/>
      <c r="P88" s="109">
        <f t="shared" ref="P88:P89" si="43">E88-L88</f>
        <v>0</v>
      </c>
    </row>
    <row r="89" spans="1:16" ht="15.75" customHeight="1">
      <c r="A89" s="137"/>
      <c r="B89" s="24">
        <v>31.058</v>
      </c>
      <c r="C89" s="36">
        <f>ROUND((B89-B67)/B67*100,1)</f>
        <v>3.5</v>
      </c>
      <c r="D89" s="24">
        <v>7914.5469999999996</v>
      </c>
      <c r="E89" s="36">
        <f>ROUND((D89-D67)/D67*100,1)</f>
        <v>5.5</v>
      </c>
      <c r="I89" s="6"/>
      <c r="J89" s="104">
        <f t="shared" si="40"/>
        <v>3.5</v>
      </c>
      <c r="K89" s="6"/>
      <c r="L89" s="104">
        <f t="shared" si="41"/>
        <v>5.5</v>
      </c>
      <c r="M89" s="4"/>
      <c r="N89" s="109">
        <f t="shared" si="42"/>
        <v>0</v>
      </c>
      <c r="O89" s="4"/>
      <c r="P89" s="109">
        <f t="shared" si="43"/>
        <v>0</v>
      </c>
    </row>
    <row r="90" spans="1:16" ht="15.75" customHeight="1">
      <c r="A90" s="29" t="s">
        <v>16</v>
      </c>
      <c r="B90" s="24">
        <f>ROUND(AVERAGE(B87:B89),3)</f>
        <v>30.265000000000001</v>
      </c>
      <c r="C90" s="146"/>
      <c r="D90" s="24">
        <f>ROUND(AVERAGE(D87:D89),3)</f>
        <v>7742.2950000000001</v>
      </c>
      <c r="E90" s="146"/>
      <c r="I90" s="6">
        <f>ROUND(AVERAGEA(B87:B89),3)</f>
        <v>30.265000000000001</v>
      </c>
      <c r="J90" s="104"/>
      <c r="K90" s="6">
        <f>ROUND(AVERAGEA(D87:D89),3)</f>
        <v>7742.2950000000001</v>
      </c>
      <c r="L90" s="104"/>
      <c r="M90" s="110">
        <f>B90-I90</f>
        <v>0</v>
      </c>
      <c r="N90" s="4"/>
      <c r="O90" s="110">
        <f>D90-K90</f>
        <v>0</v>
      </c>
      <c r="P90" s="4"/>
    </row>
    <row r="91" spans="1:16" ht="15.75" customHeight="1">
      <c r="A91" s="29" t="s">
        <v>4</v>
      </c>
      <c r="B91" s="24">
        <f>ROUND(STDEV(B87:B89),3)</f>
        <v>0.92200000000000004</v>
      </c>
      <c r="C91" s="147"/>
      <c r="D91" s="24">
        <f>ROUND(STDEV(D87:D89),3)</f>
        <v>150.756</v>
      </c>
      <c r="E91" s="147"/>
      <c r="I91" s="6">
        <f>ROUND(STDEVA(B87:B89),3)</f>
        <v>0.92200000000000004</v>
      </c>
      <c r="J91" s="104"/>
      <c r="K91" s="6">
        <f>ROUND(STDEVA(D87:D89),3)</f>
        <v>150.756</v>
      </c>
      <c r="L91" s="104"/>
      <c r="M91" s="110">
        <f t="shared" ref="M91:M94" si="44">B91-I91</f>
        <v>0</v>
      </c>
      <c r="N91" s="4"/>
      <c r="O91" s="110">
        <f t="shared" ref="O91:O94" si="45">D91-K91</f>
        <v>0</v>
      </c>
      <c r="P91" s="4"/>
    </row>
    <row r="92" spans="1:16" ht="15.75" customHeight="1">
      <c r="A92" s="29" t="s">
        <v>65</v>
      </c>
      <c r="B92" s="36">
        <f>ROUND(B91/B90*100,1)</f>
        <v>3</v>
      </c>
      <c r="C92" s="147"/>
      <c r="D92" s="36">
        <f>ROUND(D91/D90*100,1)</f>
        <v>1.9</v>
      </c>
      <c r="E92" s="147"/>
      <c r="I92" s="97">
        <f>ROUND(I91/I90*100,1)</f>
        <v>3</v>
      </c>
      <c r="J92" s="104"/>
      <c r="K92" s="97">
        <f>ROUND(K91/K90*100,1)</f>
        <v>1.9</v>
      </c>
      <c r="L92" s="104"/>
      <c r="M92" s="110">
        <f t="shared" si="44"/>
        <v>0</v>
      </c>
      <c r="N92" s="4"/>
      <c r="O92" s="110">
        <f t="shared" si="45"/>
        <v>0</v>
      </c>
      <c r="P92" s="4"/>
    </row>
    <row r="93" spans="1:16" ht="15.75" customHeight="1">
      <c r="A93" s="29" t="s">
        <v>66</v>
      </c>
      <c r="B93" s="36">
        <f>ROUND(B90/B67*100,1)</f>
        <v>100.9</v>
      </c>
      <c r="C93" s="147"/>
      <c r="D93" s="36">
        <f>ROUND(D90/D67*100,1)</f>
        <v>103.2</v>
      </c>
      <c r="E93" s="147"/>
      <c r="I93" s="97">
        <f>ROUND(B90/B$7*100,1)</f>
        <v>100.9</v>
      </c>
      <c r="J93" s="6"/>
      <c r="K93" s="97">
        <f>ROUND(D90/D$7*100,1)</f>
        <v>103.2</v>
      </c>
      <c r="L93" s="6"/>
      <c r="M93" s="110">
        <f t="shared" si="44"/>
        <v>0</v>
      </c>
      <c r="N93" s="4"/>
      <c r="O93" s="110">
        <f t="shared" si="45"/>
        <v>0</v>
      </c>
      <c r="P93" s="4"/>
    </row>
    <row r="94" spans="1:16" ht="15.75" customHeight="1">
      <c r="A94" s="29" t="s">
        <v>64</v>
      </c>
      <c r="B94" s="36">
        <f>ROUND((B90-B67)/B67*100,1)</f>
        <v>0.9</v>
      </c>
      <c r="C94" s="147"/>
      <c r="D94" s="36">
        <f>ROUND((D90-D67)/D67*100,1)</f>
        <v>3.2</v>
      </c>
      <c r="E94" s="147"/>
      <c r="I94" s="104">
        <f>ROUND((B90-B$7)/B$7*100,1)</f>
        <v>0.9</v>
      </c>
      <c r="J94" s="4"/>
      <c r="K94" s="104">
        <f>ROUND((D90-D$7)/D$7*100,1)</f>
        <v>3.2</v>
      </c>
      <c r="L94" s="4"/>
      <c r="M94" s="110">
        <f t="shared" si="44"/>
        <v>0</v>
      </c>
      <c r="N94" s="4"/>
      <c r="O94" s="110">
        <f t="shared" si="45"/>
        <v>0</v>
      </c>
      <c r="P94" s="4"/>
    </row>
    <row r="95" spans="1:16" ht="15.75" customHeight="1">
      <c r="A95" s="29" t="s">
        <v>5</v>
      </c>
      <c r="B95" s="38">
        <v>3</v>
      </c>
      <c r="C95" s="148"/>
      <c r="D95" s="38">
        <v>3</v>
      </c>
      <c r="E95" s="148"/>
      <c r="I95" s="4"/>
      <c r="J95" s="4"/>
      <c r="K95" s="4"/>
      <c r="L95" s="4"/>
      <c r="M95" s="4"/>
      <c r="N95" s="4"/>
      <c r="O95" s="4"/>
      <c r="P95" s="4"/>
    </row>
    <row r="96" spans="1:16" ht="15.75" customHeight="1">
      <c r="A96" s="137" t="s">
        <v>173</v>
      </c>
      <c r="B96" s="24">
        <v>30.890999999999998</v>
      </c>
      <c r="C96" s="36">
        <f>ROUND((B96-B67)/B67*100,1)</f>
        <v>3</v>
      </c>
      <c r="D96" s="24">
        <v>7734.1989999999996</v>
      </c>
      <c r="E96" s="36">
        <f>ROUND((D96-D67)/D67*100,1)</f>
        <v>3.1</v>
      </c>
      <c r="I96" s="6"/>
      <c r="J96" s="104">
        <f>ROUND((B96-B$7)/B$7*100,1)</f>
        <v>3</v>
      </c>
      <c r="K96" s="6"/>
      <c r="L96" s="104">
        <f>ROUND((D96-D$7)/D$7*100,1)</f>
        <v>3.1</v>
      </c>
      <c r="M96" s="4"/>
      <c r="N96" s="109">
        <f>C96-J96</f>
        <v>0</v>
      </c>
      <c r="O96" s="4"/>
      <c r="P96" s="109">
        <f>E96-L96</f>
        <v>0</v>
      </c>
    </row>
    <row r="97" spans="1:16" ht="15.75" customHeight="1">
      <c r="A97" s="137"/>
      <c r="B97" s="24">
        <v>30.713000000000001</v>
      </c>
      <c r="C97" s="36">
        <f>ROUND((B97-B67)/B67*100,1)</f>
        <v>2.4</v>
      </c>
      <c r="D97" s="24">
        <v>7767.0959999999995</v>
      </c>
      <c r="E97" s="36">
        <f>ROUND((D97-D67)/D67*100,1)</f>
        <v>3.6</v>
      </c>
      <c r="I97" s="6"/>
      <c r="J97" s="104">
        <f t="shared" ref="J97:J98" si="46">ROUND((B97-B$7)/B$7*100,1)</f>
        <v>2.4</v>
      </c>
      <c r="K97" s="6"/>
      <c r="L97" s="104">
        <f t="shared" ref="L97:L98" si="47">ROUND((D97-D$7)/D$7*100,1)</f>
        <v>3.6</v>
      </c>
      <c r="M97" s="4"/>
      <c r="N97" s="109">
        <f t="shared" ref="N97:N98" si="48">C97-J97</f>
        <v>0</v>
      </c>
      <c r="O97" s="4"/>
      <c r="P97" s="109">
        <f t="shared" ref="P97:P98" si="49">E97-L97</f>
        <v>0</v>
      </c>
    </row>
    <row r="98" spans="1:16" ht="15.75" customHeight="1">
      <c r="A98" s="137"/>
      <c r="B98" s="24">
        <v>32.92</v>
      </c>
      <c r="C98" s="36">
        <f>ROUND((B98-B67)/B67*100,1)</f>
        <v>9.6999999999999993</v>
      </c>
      <c r="D98" s="24">
        <v>7301.2749999999996</v>
      </c>
      <c r="E98" s="36">
        <f>ROUND((D98-D67)/D67*100,1)</f>
        <v>-2.6</v>
      </c>
      <c r="I98" s="6"/>
      <c r="J98" s="104">
        <f t="shared" si="46"/>
        <v>9.6999999999999993</v>
      </c>
      <c r="K98" s="6"/>
      <c r="L98" s="104">
        <f t="shared" si="47"/>
        <v>-2.6</v>
      </c>
      <c r="M98" s="4"/>
      <c r="N98" s="109">
        <f t="shared" si="48"/>
        <v>0</v>
      </c>
      <c r="O98" s="4"/>
      <c r="P98" s="109">
        <f t="shared" si="49"/>
        <v>0</v>
      </c>
    </row>
    <row r="99" spans="1:16" ht="15.75" customHeight="1">
      <c r="A99" s="29" t="s">
        <v>16</v>
      </c>
      <c r="B99" s="24">
        <f>ROUND(AVERAGE(B96:B98),3)</f>
        <v>31.507999999999999</v>
      </c>
      <c r="C99" s="146"/>
      <c r="D99" s="24">
        <f>ROUND(AVERAGE(D96:D98),3)</f>
        <v>7600.857</v>
      </c>
      <c r="E99" s="146"/>
      <c r="I99" s="6">
        <f>ROUND(AVERAGEA(B96:B98),3)</f>
        <v>31.507999999999999</v>
      </c>
      <c r="J99" s="104"/>
      <c r="K99" s="6">
        <f>ROUND(AVERAGEA(D96:D98),3)</f>
        <v>7600.857</v>
      </c>
      <c r="L99" s="104"/>
      <c r="M99" s="110">
        <f>B99-I99</f>
        <v>0</v>
      </c>
      <c r="N99" s="4"/>
      <c r="O99" s="110">
        <f>D99-K99</f>
        <v>0</v>
      </c>
      <c r="P99" s="4"/>
    </row>
    <row r="100" spans="1:16" ht="15.75" customHeight="1">
      <c r="A100" s="29" t="s">
        <v>4</v>
      </c>
      <c r="B100" s="24">
        <f>ROUND(STDEV(B96:B98),3)</f>
        <v>1.226</v>
      </c>
      <c r="C100" s="147"/>
      <c r="D100" s="24">
        <f>ROUND(STDEV(D96:D98),3)</f>
        <v>259.96600000000001</v>
      </c>
      <c r="E100" s="147"/>
      <c r="I100" s="6">
        <f>ROUND(STDEVA(B96:B98),3)</f>
        <v>1.226</v>
      </c>
      <c r="J100" s="104"/>
      <c r="K100" s="6">
        <f>ROUND(STDEVA(D96:D98),3)</f>
        <v>259.96600000000001</v>
      </c>
      <c r="L100" s="104"/>
      <c r="M100" s="110">
        <f t="shared" ref="M100:M103" si="50">B100-I100</f>
        <v>0</v>
      </c>
      <c r="N100" s="4"/>
      <c r="O100" s="110">
        <f t="shared" ref="O100:O103" si="51">D100-K100</f>
        <v>0</v>
      </c>
      <c r="P100" s="4"/>
    </row>
    <row r="101" spans="1:16" ht="15.75" customHeight="1">
      <c r="A101" s="29" t="s">
        <v>65</v>
      </c>
      <c r="B101" s="36">
        <f>ROUND(B100/B99*100,1)</f>
        <v>3.9</v>
      </c>
      <c r="C101" s="147"/>
      <c r="D101" s="36">
        <f>ROUND(D100/D99*100,1)</f>
        <v>3.4</v>
      </c>
      <c r="E101" s="147"/>
      <c r="I101" s="97">
        <f>ROUND(I100/I99*100,1)</f>
        <v>3.9</v>
      </c>
      <c r="J101" s="104"/>
      <c r="K101" s="97">
        <f>ROUND(K100/K99*100,1)</f>
        <v>3.4</v>
      </c>
      <c r="L101" s="104"/>
      <c r="M101" s="110">
        <f t="shared" si="50"/>
        <v>0</v>
      </c>
      <c r="N101" s="4"/>
      <c r="O101" s="110">
        <f t="shared" si="51"/>
        <v>0</v>
      </c>
      <c r="P101" s="4"/>
    </row>
    <row r="102" spans="1:16" ht="15.75" customHeight="1">
      <c r="A102" s="29" t="s">
        <v>66</v>
      </c>
      <c r="B102" s="36">
        <f>ROUND(B99/B67*100,1)</f>
        <v>105</v>
      </c>
      <c r="C102" s="147"/>
      <c r="D102" s="36">
        <f>ROUND(D99/D67*100,1)</f>
        <v>101.3</v>
      </c>
      <c r="E102" s="147"/>
      <c r="I102" s="97">
        <f>ROUND(B99/B$7*100,1)</f>
        <v>105</v>
      </c>
      <c r="J102" s="6"/>
      <c r="K102" s="97">
        <f>ROUND(D99/D$7*100,1)</f>
        <v>101.3</v>
      </c>
      <c r="L102" s="6"/>
      <c r="M102" s="110">
        <f t="shared" si="50"/>
        <v>0</v>
      </c>
      <c r="N102" s="4"/>
      <c r="O102" s="110">
        <f t="shared" si="51"/>
        <v>0</v>
      </c>
      <c r="P102" s="4"/>
    </row>
    <row r="103" spans="1:16" ht="15.75" customHeight="1">
      <c r="A103" s="29" t="s">
        <v>64</v>
      </c>
      <c r="B103" s="36">
        <f>ROUND((B99-B67)/B67*100,1)</f>
        <v>5</v>
      </c>
      <c r="C103" s="147"/>
      <c r="D103" s="36">
        <f>ROUND((D99-D67)/D67*100,1)</f>
        <v>1.3</v>
      </c>
      <c r="E103" s="147"/>
      <c r="I103" s="104">
        <f>ROUND((B99-B$7)/B$7*100,1)</f>
        <v>5</v>
      </c>
      <c r="J103" s="4"/>
      <c r="K103" s="104">
        <f>ROUND((D99-D$7)/D$7*100,1)</f>
        <v>1.3</v>
      </c>
      <c r="L103" s="4"/>
      <c r="M103" s="110">
        <f t="shared" si="50"/>
        <v>0</v>
      </c>
      <c r="N103" s="4"/>
      <c r="O103" s="110">
        <f t="shared" si="51"/>
        <v>0</v>
      </c>
      <c r="P103" s="4"/>
    </row>
    <row r="104" spans="1:16" ht="15.75" customHeight="1">
      <c r="A104" s="29" t="s">
        <v>5</v>
      </c>
      <c r="B104" s="38">
        <v>3</v>
      </c>
      <c r="C104" s="148"/>
      <c r="D104" s="38">
        <v>3</v>
      </c>
      <c r="E104" s="148"/>
      <c r="I104" s="4"/>
      <c r="J104" s="4"/>
      <c r="K104" s="4"/>
      <c r="L104" s="4"/>
      <c r="M104" s="4"/>
      <c r="N104" s="4"/>
      <c r="O104" s="4"/>
      <c r="P104" s="4"/>
    </row>
    <row r="105" spans="1:16" ht="15.75" customHeight="1">
      <c r="A105" s="145" t="s">
        <v>175</v>
      </c>
      <c r="B105" s="24">
        <v>30.42</v>
      </c>
      <c r="C105" s="36">
        <f>ROUND((B105-B67)/B67*100,1)</f>
        <v>1.4</v>
      </c>
      <c r="D105" s="24">
        <v>8039.1660000000002</v>
      </c>
      <c r="E105" s="36">
        <f>ROUND((D105-D67)/D67*100,1)</f>
        <v>7.2</v>
      </c>
      <c r="I105" s="6"/>
      <c r="J105" s="104">
        <f>ROUND((B105-B$7)/B$7*100,1)</f>
        <v>1.4</v>
      </c>
      <c r="K105" s="6"/>
      <c r="L105" s="104">
        <f>ROUND((D105-D$7)/D$7*100,1)</f>
        <v>7.2</v>
      </c>
      <c r="M105" s="4"/>
      <c r="N105" s="109">
        <f>C105-J105</f>
        <v>0</v>
      </c>
      <c r="O105" s="4"/>
      <c r="P105" s="109">
        <f>E105-L105</f>
        <v>0</v>
      </c>
    </row>
    <row r="106" spans="1:16" ht="15.75" customHeight="1">
      <c r="A106" s="145"/>
      <c r="B106" s="24">
        <v>33.902999999999999</v>
      </c>
      <c r="C106" s="36">
        <f>ROUND((B106-B67)/B67*100,1)</f>
        <v>13</v>
      </c>
      <c r="D106" s="24">
        <v>7591.9459999999999</v>
      </c>
      <c r="E106" s="36">
        <f>ROUND((D106-D67)/D67*100,1)</f>
        <v>1.2</v>
      </c>
      <c r="I106" s="6"/>
      <c r="J106" s="104">
        <f t="shared" ref="J106:J107" si="52">ROUND((B106-B$7)/B$7*100,1)</f>
        <v>13</v>
      </c>
      <c r="K106" s="6"/>
      <c r="L106" s="104">
        <f t="shared" ref="L106:L107" si="53">ROUND((D106-D$7)/D$7*100,1)</f>
        <v>1.2</v>
      </c>
      <c r="M106" s="4"/>
      <c r="N106" s="109">
        <f t="shared" ref="N106:N107" si="54">C106-J106</f>
        <v>0</v>
      </c>
      <c r="O106" s="4"/>
      <c r="P106" s="109">
        <f t="shared" ref="P106:P107" si="55">E106-L106</f>
        <v>0</v>
      </c>
    </row>
    <row r="107" spans="1:16" ht="15.75" customHeight="1">
      <c r="A107" s="145"/>
      <c r="B107" s="24">
        <v>31.879000000000001</v>
      </c>
      <c r="C107" s="36">
        <f>ROUND((B107-B67)/B67*100,1)</f>
        <v>6.3</v>
      </c>
      <c r="D107" s="24">
        <v>7684.9589999999998</v>
      </c>
      <c r="E107" s="36">
        <f>ROUND((D107-D67)/D67*100,1)</f>
        <v>2.5</v>
      </c>
      <c r="I107" s="6"/>
      <c r="J107" s="104">
        <f t="shared" si="52"/>
        <v>6.3</v>
      </c>
      <c r="K107" s="6"/>
      <c r="L107" s="104">
        <f t="shared" si="53"/>
        <v>2.5</v>
      </c>
      <c r="M107" s="4"/>
      <c r="N107" s="109">
        <f t="shared" si="54"/>
        <v>0</v>
      </c>
      <c r="O107" s="4"/>
      <c r="P107" s="109">
        <f t="shared" si="55"/>
        <v>0</v>
      </c>
    </row>
    <row r="108" spans="1:16" ht="15.75" customHeight="1">
      <c r="A108" s="29" t="s">
        <v>16</v>
      </c>
      <c r="B108" s="24">
        <f>ROUND(AVERAGE(B105:B107),3)</f>
        <v>32.067</v>
      </c>
      <c r="C108" s="146"/>
      <c r="D108" s="24">
        <f>ROUND(AVERAGE(D105:D107),3)</f>
        <v>7772.0240000000003</v>
      </c>
      <c r="E108" s="146"/>
      <c r="I108" s="6">
        <f>ROUND(AVERAGEA(B105:B107),3)</f>
        <v>32.067</v>
      </c>
      <c r="J108" s="104"/>
      <c r="K108" s="6">
        <f>ROUND(AVERAGEA(D105:D107),3)</f>
        <v>7772.0240000000003</v>
      </c>
      <c r="L108" s="104"/>
      <c r="M108" s="110">
        <f>B108-I108</f>
        <v>0</v>
      </c>
      <c r="N108" s="4"/>
      <c r="O108" s="110">
        <f>D108-K108</f>
        <v>0</v>
      </c>
      <c r="P108" s="4"/>
    </row>
    <row r="109" spans="1:16" ht="15.75" customHeight="1">
      <c r="A109" s="29" t="s">
        <v>4</v>
      </c>
      <c r="B109" s="24">
        <f>ROUND(STDEV(B105:B107),3)</f>
        <v>1.7490000000000001</v>
      </c>
      <c r="C109" s="147"/>
      <c r="D109" s="24">
        <f>ROUND(STDEV(D105:D107),3)</f>
        <v>235.98</v>
      </c>
      <c r="E109" s="147"/>
      <c r="I109" s="6">
        <f>ROUND(STDEVA(B105:B107),3)</f>
        <v>1.7490000000000001</v>
      </c>
      <c r="J109" s="104"/>
      <c r="K109" s="6">
        <f>ROUND(STDEVA(D105:D107),3)</f>
        <v>235.98</v>
      </c>
      <c r="L109" s="104"/>
      <c r="M109" s="110">
        <f t="shared" ref="M109:M112" si="56">B109-I109</f>
        <v>0</v>
      </c>
      <c r="N109" s="4"/>
      <c r="O109" s="110">
        <f t="shared" ref="O109:O112" si="57">D109-K109</f>
        <v>0</v>
      </c>
      <c r="P109" s="4"/>
    </row>
    <row r="110" spans="1:16" ht="15.75" customHeight="1">
      <c r="A110" s="29" t="s">
        <v>65</v>
      </c>
      <c r="B110" s="36">
        <f>ROUND(B109/B108*100,1)</f>
        <v>5.5</v>
      </c>
      <c r="C110" s="147"/>
      <c r="D110" s="36">
        <f>ROUND(D109/D108*100,1)</f>
        <v>3</v>
      </c>
      <c r="E110" s="147"/>
      <c r="I110" s="97">
        <f>ROUND(I109/I108*100,1)</f>
        <v>5.5</v>
      </c>
      <c r="J110" s="104"/>
      <c r="K110" s="97">
        <f>ROUND(K109/K108*100,1)</f>
        <v>3</v>
      </c>
      <c r="L110" s="104"/>
      <c r="M110" s="110">
        <f t="shared" si="56"/>
        <v>0</v>
      </c>
      <c r="N110" s="4"/>
      <c r="O110" s="110">
        <f t="shared" si="57"/>
        <v>0</v>
      </c>
      <c r="P110" s="4"/>
    </row>
    <row r="111" spans="1:16" ht="15.75" customHeight="1">
      <c r="A111" s="29" t="s">
        <v>66</v>
      </c>
      <c r="B111" s="36">
        <f>ROUND(B108/B67*100,1)</f>
        <v>106.9</v>
      </c>
      <c r="C111" s="147"/>
      <c r="D111" s="36">
        <f>ROUND(D108/D67*100,1)</f>
        <v>103.6</v>
      </c>
      <c r="E111" s="147"/>
      <c r="I111" s="97">
        <f>ROUND(B108/B$7*100,1)</f>
        <v>106.9</v>
      </c>
      <c r="J111" s="6"/>
      <c r="K111" s="97">
        <f>ROUND(D108/D$7*100,1)</f>
        <v>103.6</v>
      </c>
      <c r="L111" s="6"/>
      <c r="M111" s="110">
        <f t="shared" si="56"/>
        <v>0</v>
      </c>
      <c r="N111" s="4"/>
      <c r="O111" s="110">
        <f t="shared" si="57"/>
        <v>0</v>
      </c>
      <c r="P111" s="4"/>
    </row>
    <row r="112" spans="1:16" ht="15.75" customHeight="1">
      <c r="A112" s="29" t="s">
        <v>64</v>
      </c>
      <c r="B112" s="36">
        <f>ROUND((B108-B67)/B67*100,1)</f>
        <v>6.9</v>
      </c>
      <c r="C112" s="147"/>
      <c r="D112" s="36">
        <f>ROUND((D108-D67)/D67*100,1)</f>
        <v>3.6</v>
      </c>
      <c r="E112" s="147"/>
      <c r="I112" s="104">
        <f>ROUND((B108-B$7)/B$7*100,1)</f>
        <v>6.9</v>
      </c>
      <c r="J112" s="4"/>
      <c r="K112" s="104">
        <f>ROUND((D108-D$7)/D$7*100,1)</f>
        <v>3.6</v>
      </c>
      <c r="L112" s="4"/>
      <c r="M112" s="110">
        <f t="shared" si="56"/>
        <v>0</v>
      </c>
      <c r="N112" s="4"/>
      <c r="O112" s="110">
        <f t="shared" si="57"/>
        <v>0</v>
      </c>
      <c r="P112" s="4"/>
    </row>
    <row r="113" spans="1:16" ht="15.75" customHeight="1">
      <c r="A113" s="29" t="s">
        <v>5</v>
      </c>
      <c r="B113" s="38">
        <v>3</v>
      </c>
      <c r="C113" s="148"/>
      <c r="D113" s="38">
        <v>3</v>
      </c>
      <c r="E113" s="148"/>
      <c r="I113" s="4"/>
      <c r="J113" s="4"/>
      <c r="K113" s="4"/>
      <c r="L113" s="4"/>
      <c r="M113" s="4"/>
      <c r="N113" s="4"/>
      <c r="O113" s="4"/>
      <c r="P113" s="4"/>
    </row>
    <row r="114" spans="1:16" ht="15.75" customHeight="1">
      <c r="A114" s="145" t="s">
        <v>180</v>
      </c>
      <c r="B114" s="24">
        <v>33.83</v>
      </c>
      <c r="C114" s="36">
        <f>ROUND((B114-B67)/B67*100,1)</f>
        <v>12.8</v>
      </c>
      <c r="D114" s="24">
        <v>7741.5140000000001</v>
      </c>
      <c r="E114" s="36">
        <f>ROUND((D114-D67)/D67*100,1)</f>
        <v>3.2</v>
      </c>
      <c r="I114" s="6"/>
      <c r="J114" s="104">
        <f>ROUND((B114-B$7)/B$7*100,1)</f>
        <v>12.8</v>
      </c>
      <c r="K114" s="6"/>
      <c r="L114" s="104">
        <f>ROUND((D114-D$7)/D$7*100,1)</f>
        <v>3.2</v>
      </c>
      <c r="M114" s="4"/>
      <c r="N114" s="109">
        <f>C114-J114</f>
        <v>0</v>
      </c>
      <c r="O114" s="4"/>
      <c r="P114" s="109">
        <f>E114-L114</f>
        <v>0</v>
      </c>
    </row>
    <row r="115" spans="1:16" ht="15.75" customHeight="1">
      <c r="A115" s="145"/>
      <c r="B115" s="24">
        <v>32.203000000000003</v>
      </c>
      <c r="C115" s="36">
        <f>ROUND((B115-B67)/B67*100,1)</f>
        <v>7.3</v>
      </c>
      <c r="D115" s="24">
        <v>7296.0410000000002</v>
      </c>
      <c r="E115" s="36">
        <f>ROUND((D115-D67)/D67*100,1)</f>
        <v>-2.7</v>
      </c>
      <c r="I115" s="6"/>
      <c r="J115" s="104">
        <f t="shared" ref="J115:J116" si="58">ROUND((B115-B$7)/B$7*100,1)</f>
        <v>7.3</v>
      </c>
      <c r="K115" s="6"/>
      <c r="L115" s="104">
        <f t="shared" ref="L115:L116" si="59">ROUND((D115-D$7)/D$7*100,1)</f>
        <v>-2.7</v>
      </c>
      <c r="M115" s="4"/>
      <c r="N115" s="109">
        <f t="shared" ref="N115:N116" si="60">C115-J115</f>
        <v>0</v>
      </c>
      <c r="O115" s="4"/>
      <c r="P115" s="109">
        <f t="shared" ref="P115:P116" si="61">E115-L115</f>
        <v>0</v>
      </c>
    </row>
    <row r="116" spans="1:16" ht="15.75" customHeight="1">
      <c r="A116" s="145"/>
      <c r="B116" s="24">
        <v>33.521000000000001</v>
      </c>
      <c r="C116" s="36">
        <f>ROUND((B116-B67)/B67*100,1)</f>
        <v>11.7</v>
      </c>
      <c r="D116" s="24">
        <v>7780.2479999999996</v>
      </c>
      <c r="E116" s="36">
        <f>ROUND((D116-D67)/D67*100,1)</f>
        <v>3.7</v>
      </c>
      <c r="I116" s="6"/>
      <c r="J116" s="104">
        <f t="shared" si="58"/>
        <v>11.7</v>
      </c>
      <c r="K116" s="6"/>
      <c r="L116" s="104">
        <f t="shared" si="59"/>
        <v>3.7</v>
      </c>
      <c r="M116" s="4"/>
      <c r="N116" s="109">
        <f t="shared" si="60"/>
        <v>0</v>
      </c>
      <c r="O116" s="4"/>
      <c r="P116" s="109">
        <f t="shared" si="61"/>
        <v>0</v>
      </c>
    </row>
    <row r="117" spans="1:16" ht="15.75" customHeight="1">
      <c r="A117" s="29" t="s">
        <v>16</v>
      </c>
      <c r="B117" s="24">
        <f>ROUND(AVERAGE(B114:B116),3)</f>
        <v>33.185000000000002</v>
      </c>
      <c r="C117" s="146"/>
      <c r="D117" s="24">
        <f>ROUND(AVERAGE(D114:D116),3)</f>
        <v>7605.9340000000002</v>
      </c>
      <c r="E117" s="146"/>
      <c r="I117" s="6">
        <f>ROUND(AVERAGEA(B114:B116),3)</f>
        <v>33.185000000000002</v>
      </c>
      <c r="J117" s="104"/>
      <c r="K117" s="6">
        <f>ROUND(AVERAGEA(D114:D116),3)</f>
        <v>7605.9340000000002</v>
      </c>
      <c r="L117" s="104"/>
      <c r="M117" s="110">
        <f>B117-I117</f>
        <v>0</v>
      </c>
      <c r="N117" s="4"/>
      <c r="O117" s="110">
        <f>D117-K117</f>
        <v>0</v>
      </c>
      <c r="P117" s="4"/>
    </row>
    <row r="118" spans="1:16" ht="15.75" customHeight="1">
      <c r="A118" s="29" t="s">
        <v>4</v>
      </c>
      <c r="B118" s="24">
        <f>ROUND(STDEV(B114:B116),3)</f>
        <v>0.86399999999999999</v>
      </c>
      <c r="C118" s="147"/>
      <c r="D118" s="24">
        <f>ROUND(STDEV(D114:D116),3)</f>
        <v>269.07299999999998</v>
      </c>
      <c r="E118" s="147"/>
      <c r="I118" s="6">
        <f>ROUND(STDEVA(B114:B116),3)</f>
        <v>0.86399999999999999</v>
      </c>
      <c r="J118" s="104"/>
      <c r="K118" s="6">
        <f>ROUND(STDEVA(D114:D116),3)</f>
        <v>269.07299999999998</v>
      </c>
      <c r="L118" s="104"/>
      <c r="M118" s="110">
        <f t="shared" ref="M118:M121" si="62">B118-I118</f>
        <v>0</v>
      </c>
      <c r="N118" s="4"/>
      <c r="O118" s="110">
        <f t="shared" ref="O118:O121" si="63">D118-K118</f>
        <v>0</v>
      </c>
      <c r="P118" s="4"/>
    </row>
    <row r="119" spans="1:16" ht="15.75" customHeight="1">
      <c r="A119" s="29" t="s">
        <v>65</v>
      </c>
      <c r="B119" s="36">
        <f>ROUND(B118/B117*100,1)</f>
        <v>2.6</v>
      </c>
      <c r="C119" s="147"/>
      <c r="D119" s="36">
        <f>ROUND(D118/D117*100,1)</f>
        <v>3.5</v>
      </c>
      <c r="E119" s="147"/>
      <c r="I119" s="97">
        <f>ROUND(I118/I117*100,1)</f>
        <v>2.6</v>
      </c>
      <c r="J119" s="104"/>
      <c r="K119" s="97">
        <f>ROUND(K118/K117*100,1)</f>
        <v>3.5</v>
      </c>
      <c r="L119" s="104"/>
      <c r="M119" s="110">
        <f t="shared" si="62"/>
        <v>0</v>
      </c>
      <c r="N119" s="4"/>
      <c r="O119" s="110">
        <f t="shared" si="63"/>
        <v>0</v>
      </c>
      <c r="P119" s="4"/>
    </row>
    <row r="120" spans="1:16" ht="15.75" customHeight="1">
      <c r="A120" s="29" t="s">
        <v>66</v>
      </c>
      <c r="B120" s="36">
        <f>ROUND(B117/B67*100,1)</f>
        <v>110.6</v>
      </c>
      <c r="C120" s="147"/>
      <c r="D120" s="36">
        <f>ROUND(D117/D67*100,1)</f>
        <v>101.4</v>
      </c>
      <c r="E120" s="147"/>
      <c r="I120" s="97">
        <f>ROUND(B117/B$7*100,1)</f>
        <v>110.6</v>
      </c>
      <c r="J120" s="6"/>
      <c r="K120" s="97">
        <f>ROUND(D117/D$7*100,1)</f>
        <v>101.4</v>
      </c>
      <c r="L120" s="6"/>
      <c r="M120" s="110">
        <f t="shared" si="62"/>
        <v>0</v>
      </c>
      <c r="N120" s="4"/>
      <c r="O120" s="110">
        <f t="shared" si="63"/>
        <v>0</v>
      </c>
      <c r="P120" s="4"/>
    </row>
    <row r="121" spans="1:16" ht="15.75" customHeight="1">
      <c r="A121" s="29" t="s">
        <v>64</v>
      </c>
      <c r="B121" s="36">
        <f>ROUND((B117-B67)/B67*100,1)</f>
        <v>10.6</v>
      </c>
      <c r="C121" s="147"/>
      <c r="D121" s="36">
        <f>ROUND((D117-D67)/D67*100,1)</f>
        <v>1.4</v>
      </c>
      <c r="E121" s="147"/>
      <c r="I121" s="104">
        <f>ROUND((B117-B$7)/B$7*100,1)</f>
        <v>10.6</v>
      </c>
      <c r="J121" s="4"/>
      <c r="K121" s="104">
        <f>ROUND((D117-D$7)/D$7*100,1)</f>
        <v>1.4</v>
      </c>
      <c r="L121" s="4"/>
      <c r="M121" s="110">
        <f t="shared" si="62"/>
        <v>0</v>
      </c>
      <c r="N121" s="4"/>
      <c r="O121" s="110">
        <f t="shared" si="63"/>
        <v>0</v>
      </c>
      <c r="P121" s="4"/>
    </row>
    <row r="122" spans="1:16" ht="15.75" customHeight="1">
      <c r="A122" s="29" t="s">
        <v>5</v>
      </c>
      <c r="B122" s="38">
        <v>3</v>
      </c>
      <c r="C122" s="148"/>
      <c r="D122" s="38">
        <v>3</v>
      </c>
      <c r="E122" s="148"/>
    </row>
  </sheetData>
  <mergeCells count="46">
    <mergeCell ref="C48:C53"/>
    <mergeCell ref="E48:E53"/>
    <mergeCell ref="A54:A56"/>
    <mergeCell ref="C57:C62"/>
    <mergeCell ref="E57:E62"/>
    <mergeCell ref="A45:A47"/>
    <mergeCell ref="C12:C17"/>
    <mergeCell ref="E12:E17"/>
    <mergeCell ref="A18:A20"/>
    <mergeCell ref="C21:C26"/>
    <mergeCell ref="E21:E26"/>
    <mergeCell ref="A27:A29"/>
    <mergeCell ref="C30:C35"/>
    <mergeCell ref="E30:E35"/>
    <mergeCell ref="A36:A38"/>
    <mergeCell ref="C39:C44"/>
    <mergeCell ref="E39:E44"/>
    <mergeCell ref="A9:A11"/>
    <mergeCell ref="A5:C5"/>
    <mergeCell ref="D5:E5"/>
    <mergeCell ref="A6:A8"/>
    <mergeCell ref="C6:C8"/>
    <mergeCell ref="E6:E8"/>
    <mergeCell ref="A65:C65"/>
    <mergeCell ref="D65:E65"/>
    <mergeCell ref="A66:A68"/>
    <mergeCell ref="C66:C68"/>
    <mergeCell ref="E66:E68"/>
    <mergeCell ref="A69:A71"/>
    <mergeCell ref="C72:C77"/>
    <mergeCell ref="E72:E77"/>
    <mergeCell ref="A78:A80"/>
    <mergeCell ref="C81:C86"/>
    <mergeCell ref="E81:E86"/>
    <mergeCell ref="A87:A89"/>
    <mergeCell ref="C90:C95"/>
    <mergeCell ref="E90:E95"/>
    <mergeCell ref="A96:A98"/>
    <mergeCell ref="C99:C104"/>
    <mergeCell ref="E99:E104"/>
    <mergeCell ref="A105:A107"/>
    <mergeCell ref="C108:C113"/>
    <mergeCell ref="E108:E113"/>
    <mergeCell ref="A114:A116"/>
    <mergeCell ref="C117:C122"/>
    <mergeCell ref="E117:E122"/>
  </mergeCells>
  <phoneticPr fontId="20" type="noConversion"/>
  <printOptions headings="1" gridLines="1"/>
  <pageMargins left="0.70866141732283472" right="0.70866141732283472" top="0.74803149606299213" bottom="0.74803149606299213" header="0.31496062992125984" footer="0.31496062992125984"/>
  <pageSetup scale="29" orientation="landscape" r:id="rId1"/>
  <headerFooter>
    <oddHeader>&amp;CSSC23009MV01验证数据汇总</oddHeader>
    <oddFooter>&amp;C第&amp;P页，共&amp;N页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2:P119"/>
  <sheetViews>
    <sheetView view="pageBreakPreview" topLeftCell="A85" zoomScaleNormal="100" zoomScaleSheetLayoutView="100" workbookViewId="0">
      <selection activeCell="F116" sqref="F116"/>
    </sheetView>
  </sheetViews>
  <sheetFormatPr defaultColWidth="8.875" defaultRowHeight="13.5"/>
  <cols>
    <col min="1" max="1" width="24.75" style="6" customWidth="1"/>
    <col min="2" max="2" width="9.875" style="6" customWidth="1"/>
    <col min="3" max="10" width="10.875" style="6" customWidth="1"/>
    <col min="11" max="11" width="12.375" style="6" customWidth="1"/>
    <col min="12" max="12" width="12" style="6" customWidth="1"/>
    <col min="13" max="16384" width="8.875" style="6"/>
  </cols>
  <sheetData>
    <row r="2" spans="1:16">
      <c r="A2" s="117" t="s">
        <v>35</v>
      </c>
      <c r="B2" s="117"/>
      <c r="C2" s="117"/>
      <c r="D2" s="117"/>
      <c r="E2" s="117"/>
    </row>
    <row r="3" spans="1:16">
      <c r="A3" s="8"/>
      <c r="B3" s="8"/>
      <c r="C3" s="8"/>
      <c r="D3" s="8"/>
      <c r="E3" s="8"/>
    </row>
    <row r="4" spans="1:16">
      <c r="A4" s="164" t="s">
        <v>82</v>
      </c>
      <c r="B4" s="165"/>
      <c r="C4" s="165"/>
      <c r="D4" s="165"/>
      <c r="E4" s="165"/>
    </row>
    <row r="5" spans="1:16">
      <c r="A5" s="8" t="s">
        <v>97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</row>
    <row r="6" spans="1:16" ht="14.1" customHeight="1">
      <c r="A6" s="157" t="s">
        <v>11</v>
      </c>
      <c r="B6" s="157" t="s">
        <v>9</v>
      </c>
      <c r="C6" s="78" t="s">
        <v>0</v>
      </c>
      <c r="D6" s="157" t="s">
        <v>42</v>
      </c>
      <c r="E6" s="81" t="s">
        <v>3</v>
      </c>
      <c r="F6" s="157" t="s">
        <v>42</v>
      </c>
      <c r="G6" s="81" t="s">
        <v>61</v>
      </c>
      <c r="H6" s="157" t="s">
        <v>42</v>
      </c>
      <c r="I6" s="81" t="s">
        <v>62</v>
      </c>
      <c r="J6" s="157" t="s">
        <v>42</v>
      </c>
      <c r="K6" s="81" t="s">
        <v>1</v>
      </c>
      <c r="L6" s="157" t="s">
        <v>42</v>
      </c>
      <c r="M6" s="80"/>
      <c r="N6" s="80"/>
      <c r="O6" s="80"/>
      <c r="P6" s="80"/>
    </row>
    <row r="7" spans="1:16" ht="14.1" customHeight="1">
      <c r="A7" s="157"/>
      <c r="B7" s="157"/>
      <c r="C7" s="82">
        <v>10</v>
      </c>
      <c r="D7" s="157"/>
      <c r="E7" s="82">
        <v>30</v>
      </c>
      <c r="F7" s="157"/>
      <c r="G7" s="82">
        <v>300</v>
      </c>
      <c r="H7" s="157"/>
      <c r="I7" s="82">
        <v>3000</v>
      </c>
      <c r="J7" s="157"/>
      <c r="K7" s="82">
        <v>7500</v>
      </c>
      <c r="L7" s="157"/>
      <c r="M7" s="80"/>
      <c r="N7" s="80"/>
      <c r="O7" s="80"/>
      <c r="P7" s="80"/>
    </row>
    <row r="8" spans="1:16" ht="14.1" customHeight="1">
      <c r="A8" s="157"/>
      <c r="B8" s="157"/>
      <c r="C8" s="79" t="s">
        <v>6</v>
      </c>
      <c r="D8" s="157"/>
      <c r="E8" s="79" t="s">
        <v>6</v>
      </c>
      <c r="F8" s="157"/>
      <c r="G8" s="79" t="s">
        <v>6</v>
      </c>
      <c r="H8" s="157"/>
      <c r="I8" s="79" t="s">
        <v>6</v>
      </c>
      <c r="J8" s="157"/>
      <c r="K8" s="79" t="s">
        <v>6</v>
      </c>
      <c r="L8" s="157"/>
      <c r="M8" s="80"/>
      <c r="N8" s="80"/>
      <c r="O8" s="80"/>
      <c r="P8" s="80"/>
    </row>
    <row r="9" spans="1:16">
      <c r="A9" s="153">
        <v>45800</v>
      </c>
      <c r="B9" s="161">
        <v>2</v>
      </c>
      <c r="C9" s="83">
        <v>9.2850000000000001</v>
      </c>
      <c r="D9" s="84">
        <v>-7.2</v>
      </c>
      <c r="E9" s="83">
        <v>31.645</v>
      </c>
      <c r="F9" s="84">
        <v>5.5</v>
      </c>
      <c r="G9" s="83">
        <v>297.78199999999998</v>
      </c>
      <c r="H9" s="84">
        <v>-0.7</v>
      </c>
      <c r="I9" s="83">
        <v>3102.471</v>
      </c>
      <c r="J9" s="84">
        <v>3.4</v>
      </c>
      <c r="K9" s="83">
        <v>7056.5739999999996</v>
      </c>
      <c r="L9" s="84">
        <v>-5.9</v>
      </c>
      <c r="M9" s="80"/>
      <c r="N9" s="80"/>
      <c r="O9" s="80"/>
      <c r="P9" s="80"/>
    </row>
    <row r="10" spans="1:16">
      <c r="A10" s="153"/>
      <c r="B10" s="162"/>
      <c r="C10" s="83">
        <v>9.7560000000000002</v>
      </c>
      <c r="D10" s="84">
        <v>-2.4</v>
      </c>
      <c r="E10" s="83">
        <v>31.727</v>
      </c>
      <c r="F10" s="84">
        <v>5.8</v>
      </c>
      <c r="G10" s="83" t="s">
        <v>132</v>
      </c>
      <c r="H10" s="84">
        <v>16.2</v>
      </c>
      <c r="I10" s="83">
        <v>3027.8939999999998</v>
      </c>
      <c r="J10" s="84">
        <v>0.9</v>
      </c>
      <c r="K10" s="83">
        <v>7588.6189999999997</v>
      </c>
      <c r="L10" s="84">
        <v>1.2</v>
      </c>
      <c r="M10" s="80"/>
      <c r="N10" s="80"/>
      <c r="O10" s="80"/>
      <c r="P10" s="80"/>
    </row>
    <row r="11" spans="1:16">
      <c r="A11" s="153"/>
      <c r="B11" s="162"/>
      <c r="C11" s="83">
        <v>10.257999999999999</v>
      </c>
      <c r="D11" s="84">
        <v>2.6</v>
      </c>
      <c r="E11" s="83">
        <v>29.78</v>
      </c>
      <c r="F11" s="84">
        <v>-0.7</v>
      </c>
      <c r="G11" s="83">
        <v>310.10000000000002</v>
      </c>
      <c r="H11" s="84">
        <v>3.4</v>
      </c>
      <c r="I11" s="83">
        <v>3001.857</v>
      </c>
      <c r="J11" s="84">
        <v>0.1</v>
      </c>
      <c r="K11" s="83">
        <v>7256.2730000000001</v>
      </c>
      <c r="L11" s="84">
        <v>-3.2</v>
      </c>
      <c r="M11" s="80"/>
      <c r="N11" s="80"/>
      <c r="O11" s="80"/>
      <c r="P11" s="80"/>
    </row>
    <row r="12" spans="1:16">
      <c r="A12" s="153"/>
      <c r="B12" s="162"/>
      <c r="C12" s="83">
        <v>10.238</v>
      </c>
      <c r="D12" s="84">
        <v>2.4</v>
      </c>
      <c r="E12" s="83">
        <v>32.012</v>
      </c>
      <c r="F12" s="84">
        <v>6.7</v>
      </c>
      <c r="G12" s="83">
        <v>301.36900000000003</v>
      </c>
      <c r="H12" s="84">
        <v>0.5</v>
      </c>
      <c r="I12" s="83">
        <v>3180.3919999999998</v>
      </c>
      <c r="J12" s="84">
        <v>6</v>
      </c>
      <c r="K12" s="83">
        <v>8078.3329999999996</v>
      </c>
      <c r="L12" s="84">
        <v>7.7</v>
      </c>
      <c r="M12" s="80"/>
      <c r="N12" s="80"/>
      <c r="O12" s="80"/>
      <c r="P12" s="80"/>
    </row>
    <row r="13" spans="1:16">
      <c r="A13" s="153"/>
      <c r="B13" s="162"/>
      <c r="C13" s="83">
        <v>8.4</v>
      </c>
      <c r="D13" s="84">
        <v>-16</v>
      </c>
      <c r="E13" s="83">
        <v>32.738</v>
      </c>
      <c r="F13" s="84">
        <v>9.1</v>
      </c>
      <c r="G13" s="83">
        <v>309.55099999999999</v>
      </c>
      <c r="H13" s="84">
        <v>3.2</v>
      </c>
      <c r="I13" s="83">
        <v>3061.0239999999999</v>
      </c>
      <c r="J13" s="84">
        <v>2</v>
      </c>
      <c r="K13" s="83">
        <v>7754.223</v>
      </c>
      <c r="L13" s="84">
        <v>3.4</v>
      </c>
      <c r="M13" s="80"/>
      <c r="N13" s="80"/>
      <c r="O13" s="80"/>
      <c r="P13" s="80"/>
    </row>
    <row r="14" spans="1:16">
      <c r="A14" s="153"/>
      <c r="B14" s="163"/>
      <c r="C14" s="83">
        <v>10.053000000000001</v>
      </c>
      <c r="D14" s="84">
        <v>0.5</v>
      </c>
      <c r="E14" s="83">
        <v>33.100999999999999</v>
      </c>
      <c r="F14" s="84">
        <v>10.3</v>
      </c>
      <c r="G14" s="83">
        <v>310.76799999999997</v>
      </c>
      <c r="H14" s="84">
        <v>3.6</v>
      </c>
      <c r="I14" s="83">
        <v>3138.8330000000001</v>
      </c>
      <c r="J14" s="84">
        <v>4.5999999999999996</v>
      </c>
      <c r="K14" s="83">
        <v>7788.2489999999998</v>
      </c>
      <c r="L14" s="84">
        <v>3.8</v>
      </c>
      <c r="M14" s="80"/>
      <c r="N14" s="80"/>
      <c r="O14" s="80"/>
      <c r="P14" s="80"/>
    </row>
    <row r="15" spans="1:16" ht="13.5" customHeight="1">
      <c r="A15" s="81" t="s">
        <v>133</v>
      </c>
      <c r="B15" s="150"/>
      <c r="C15" s="83">
        <v>9.6649999999999991</v>
      </c>
      <c r="D15" s="150"/>
      <c r="E15" s="83">
        <v>31.834</v>
      </c>
      <c r="F15" s="150"/>
      <c r="G15" s="83">
        <v>313.01</v>
      </c>
      <c r="H15" s="150"/>
      <c r="I15" s="83">
        <v>3085.4119999999998</v>
      </c>
      <c r="J15" s="150"/>
      <c r="K15" s="83">
        <v>7587.0450000000001</v>
      </c>
      <c r="L15" s="150"/>
      <c r="M15" s="80"/>
      <c r="N15" s="80"/>
      <c r="O15" s="80"/>
      <c r="P15" s="80"/>
    </row>
    <row r="16" spans="1:16" ht="13.5" customHeight="1">
      <c r="A16" s="81" t="s">
        <v>134</v>
      </c>
      <c r="B16" s="151"/>
      <c r="C16" s="83">
        <v>0.71899999999999997</v>
      </c>
      <c r="D16" s="151"/>
      <c r="E16" s="83">
        <v>1.159</v>
      </c>
      <c r="F16" s="151"/>
      <c r="G16" s="83">
        <v>18.175000000000001</v>
      </c>
      <c r="H16" s="151"/>
      <c r="I16" s="83">
        <v>67.897999999999996</v>
      </c>
      <c r="J16" s="151"/>
      <c r="K16" s="83">
        <v>374.32799999999997</v>
      </c>
      <c r="L16" s="151"/>
      <c r="M16" s="80"/>
      <c r="N16" s="80"/>
      <c r="O16" s="80"/>
      <c r="P16" s="80"/>
    </row>
    <row r="17" spans="1:16" ht="13.5" customHeight="1">
      <c r="A17" s="81" t="s">
        <v>44</v>
      </c>
      <c r="B17" s="151"/>
      <c r="C17" s="84">
        <v>7.4</v>
      </c>
      <c r="D17" s="151"/>
      <c r="E17" s="84">
        <v>3.6</v>
      </c>
      <c r="F17" s="151"/>
      <c r="G17" s="84">
        <v>5.8</v>
      </c>
      <c r="H17" s="151"/>
      <c r="I17" s="84">
        <v>2.2000000000000002</v>
      </c>
      <c r="J17" s="151"/>
      <c r="K17" s="84">
        <v>4.9000000000000004</v>
      </c>
      <c r="L17" s="151"/>
      <c r="M17" s="80"/>
      <c r="N17" s="80"/>
      <c r="O17" s="80"/>
      <c r="P17" s="80"/>
    </row>
    <row r="18" spans="1:16" ht="13.5" customHeight="1">
      <c r="A18" s="81" t="s">
        <v>45</v>
      </c>
      <c r="B18" s="151"/>
      <c r="C18" s="84">
        <v>-3.4</v>
      </c>
      <c r="D18" s="151"/>
      <c r="E18" s="84">
        <v>6.1</v>
      </c>
      <c r="F18" s="151"/>
      <c r="G18" s="84">
        <v>4.3</v>
      </c>
      <c r="H18" s="151"/>
      <c r="I18" s="84">
        <v>2.8</v>
      </c>
      <c r="J18" s="151"/>
      <c r="K18" s="84">
        <v>1.2</v>
      </c>
      <c r="L18" s="151"/>
      <c r="M18" s="80"/>
      <c r="N18" s="80"/>
      <c r="O18" s="80"/>
      <c r="P18" s="80"/>
    </row>
    <row r="19" spans="1:16" ht="13.5" customHeight="1">
      <c r="A19" s="81" t="s">
        <v>5</v>
      </c>
      <c r="B19" s="152"/>
      <c r="C19" s="85">
        <v>6</v>
      </c>
      <c r="D19" s="152"/>
      <c r="E19" s="85">
        <v>6</v>
      </c>
      <c r="F19" s="152"/>
      <c r="G19" s="85">
        <v>6</v>
      </c>
      <c r="H19" s="152"/>
      <c r="I19" s="85">
        <v>6</v>
      </c>
      <c r="J19" s="152"/>
      <c r="K19" s="85">
        <v>6</v>
      </c>
      <c r="L19" s="152"/>
      <c r="M19" s="80"/>
      <c r="N19" s="80"/>
      <c r="O19" s="80"/>
      <c r="P19" s="80"/>
    </row>
    <row r="20" spans="1:16">
      <c r="A20" s="153">
        <v>45804</v>
      </c>
      <c r="B20" s="154">
        <v>3</v>
      </c>
      <c r="C20" s="83">
        <v>10.09</v>
      </c>
      <c r="D20" s="84">
        <v>0.9</v>
      </c>
      <c r="E20" s="83">
        <v>31.623999999999999</v>
      </c>
      <c r="F20" s="84">
        <v>5.4</v>
      </c>
      <c r="G20" s="83">
        <v>309.39999999999998</v>
      </c>
      <c r="H20" s="84">
        <v>3.1</v>
      </c>
      <c r="I20" s="83">
        <v>2973.0160000000001</v>
      </c>
      <c r="J20" s="84">
        <v>-0.9</v>
      </c>
      <c r="K20" s="83">
        <v>7294.9840000000004</v>
      </c>
      <c r="L20" s="84">
        <v>-2.7</v>
      </c>
      <c r="M20" s="80"/>
      <c r="N20" s="6" t="s">
        <v>135</v>
      </c>
    </row>
    <row r="21" spans="1:16">
      <c r="A21" s="153"/>
      <c r="B21" s="155"/>
      <c r="C21" s="83">
        <v>10.279</v>
      </c>
      <c r="D21" s="84">
        <v>2.8</v>
      </c>
      <c r="E21" s="83">
        <v>29.465</v>
      </c>
      <c r="F21" s="84">
        <v>-1.8</v>
      </c>
      <c r="G21" s="83">
        <v>308.90300000000002</v>
      </c>
      <c r="H21" s="84">
        <v>3</v>
      </c>
      <c r="I21" s="83">
        <v>3118.8670000000002</v>
      </c>
      <c r="J21" s="84">
        <v>4</v>
      </c>
      <c r="K21" s="83">
        <v>7527.0379999999996</v>
      </c>
      <c r="L21" s="84">
        <v>0.4</v>
      </c>
      <c r="M21" s="80"/>
      <c r="N21" s="86" t="s">
        <v>56</v>
      </c>
      <c r="O21" s="6" t="s">
        <v>54</v>
      </c>
      <c r="P21" s="6" t="s">
        <v>55</v>
      </c>
    </row>
    <row r="22" spans="1:16">
      <c r="A22" s="153"/>
      <c r="B22" s="155"/>
      <c r="C22" s="83">
        <v>9.7089999999999996</v>
      </c>
      <c r="D22" s="84">
        <v>-2.9</v>
      </c>
      <c r="E22" s="83">
        <v>30.864999999999998</v>
      </c>
      <c r="F22" s="84">
        <v>2.9</v>
      </c>
      <c r="G22" s="83">
        <v>314.005</v>
      </c>
      <c r="H22" s="84">
        <v>4.7</v>
      </c>
      <c r="I22" s="83">
        <v>2992.5360000000001</v>
      </c>
      <c r="J22" s="84">
        <v>-0.2</v>
      </c>
      <c r="K22" s="83">
        <v>7421.1989999999996</v>
      </c>
      <c r="L22" s="84">
        <v>-1.1000000000000001</v>
      </c>
      <c r="M22" s="80"/>
      <c r="N22" s="86" t="s">
        <v>58</v>
      </c>
      <c r="O22" s="87">
        <f>MAX(E18,G18,I18,K18,E29,G29,I29,K29,E40,G40,I40,K40)</f>
        <v>6.1</v>
      </c>
      <c r="P22" s="87">
        <f>MIN(E18,G18,I18,K18,E29,G29,I29,K29,E40,G40,I40,K40)</f>
        <v>-4.7</v>
      </c>
    </row>
    <row r="23" spans="1:16">
      <c r="A23" s="153"/>
      <c r="B23" s="155"/>
      <c r="C23" s="83">
        <v>10.943</v>
      </c>
      <c r="D23" s="84">
        <v>9.4</v>
      </c>
      <c r="E23" s="83">
        <v>29.43</v>
      </c>
      <c r="F23" s="84">
        <v>-1.9</v>
      </c>
      <c r="G23" s="83">
        <v>292.02199999999999</v>
      </c>
      <c r="H23" s="84">
        <v>-2.7</v>
      </c>
      <c r="I23" s="83">
        <v>3071.6489999999999</v>
      </c>
      <c r="J23" s="84">
        <v>2.4</v>
      </c>
      <c r="K23" s="83">
        <v>7002.4589999999998</v>
      </c>
      <c r="L23" s="84">
        <v>-6.6</v>
      </c>
      <c r="M23" s="80"/>
      <c r="N23" s="6" t="s">
        <v>59</v>
      </c>
      <c r="O23" s="87">
        <f>MAX(E17,G17,I17,K17,E28,G28,I28,K28,E39,G39,I39,K39)</f>
        <v>5.8</v>
      </c>
      <c r="P23" s="87">
        <f>MIN(E17,G17,I17,K17,E28,G28,I28,K28,E39,G39,I39,K39)</f>
        <v>1</v>
      </c>
    </row>
    <row r="24" spans="1:16">
      <c r="A24" s="153"/>
      <c r="B24" s="155"/>
      <c r="C24" s="83">
        <v>8.5950000000000006</v>
      </c>
      <c r="D24" s="84">
        <v>-14.1</v>
      </c>
      <c r="E24" s="83">
        <v>30.831</v>
      </c>
      <c r="F24" s="84">
        <v>2.8</v>
      </c>
      <c r="G24" s="83">
        <v>309.11700000000002</v>
      </c>
      <c r="H24" s="84">
        <v>3</v>
      </c>
      <c r="I24" s="83">
        <v>2992.66</v>
      </c>
      <c r="J24" s="84">
        <v>-0.2</v>
      </c>
      <c r="K24" s="83">
        <v>7116.424</v>
      </c>
      <c r="L24" s="84">
        <v>-5.0999999999999996</v>
      </c>
      <c r="M24" s="80"/>
    </row>
    <row r="25" spans="1:16">
      <c r="A25" s="153"/>
      <c r="B25" s="156"/>
      <c r="C25" s="83">
        <v>8.2870000000000008</v>
      </c>
      <c r="D25" s="84">
        <v>-17.100000000000001</v>
      </c>
      <c r="E25" s="83">
        <v>29.186</v>
      </c>
      <c r="F25" s="84">
        <v>-2.7</v>
      </c>
      <c r="G25" s="83">
        <v>315.02</v>
      </c>
      <c r="H25" s="84">
        <v>5</v>
      </c>
      <c r="I25" s="83">
        <v>2990.8739999999998</v>
      </c>
      <c r="J25" s="84">
        <v>-0.3</v>
      </c>
      <c r="K25" s="83">
        <v>7044.8370000000004</v>
      </c>
      <c r="L25" s="84">
        <v>-6.1</v>
      </c>
      <c r="M25" s="80"/>
      <c r="N25" s="86" t="s">
        <v>57</v>
      </c>
      <c r="O25" s="6" t="s">
        <v>54</v>
      </c>
      <c r="P25" s="6" t="s">
        <v>55</v>
      </c>
    </row>
    <row r="26" spans="1:16" ht="13.5" customHeight="1">
      <c r="A26" s="81" t="s">
        <v>136</v>
      </c>
      <c r="B26" s="150"/>
      <c r="C26" s="83">
        <v>9.6509999999999998</v>
      </c>
      <c r="D26" s="150"/>
      <c r="E26" s="83">
        <v>30.234000000000002</v>
      </c>
      <c r="F26" s="150"/>
      <c r="G26" s="83">
        <v>308.07799999999997</v>
      </c>
      <c r="H26" s="150"/>
      <c r="I26" s="83">
        <v>3023.2669999999998</v>
      </c>
      <c r="J26" s="150"/>
      <c r="K26" s="83">
        <v>7234.49</v>
      </c>
      <c r="L26" s="150"/>
      <c r="M26" s="80"/>
      <c r="N26" s="86" t="s">
        <v>58</v>
      </c>
      <c r="O26" s="87">
        <f>MAX(E45,G45,I45,K45)</f>
        <v>3.3</v>
      </c>
      <c r="P26" s="87">
        <f>MIN(E45,G45,I45,K45)</f>
        <v>-2.2000000000000002</v>
      </c>
    </row>
    <row r="27" spans="1:16" ht="13.5" customHeight="1">
      <c r="A27" s="81" t="s">
        <v>134</v>
      </c>
      <c r="B27" s="151"/>
      <c r="C27" s="83">
        <v>1.0229999999999999</v>
      </c>
      <c r="D27" s="151"/>
      <c r="E27" s="83">
        <v>1.002</v>
      </c>
      <c r="F27" s="151"/>
      <c r="G27" s="83">
        <v>8.3019999999999996</v>
      </c>
      <c r="H27" s="151"/>
      <c r="I27" s="83">
        <v>58.198999999999998</v>
      </c>
      <c r="J27" s="151"/>
      <c r="K27" s="83">
        <v>213.471</v>
      </c>
      <c r="L27" s="151"/>
      <c r="M27" s="80"/>
      <c r="N27" s="6" t="s">
        <v>59</v>
      </c>
      <c r="O27" s="87">
        <f>MAX(E44,G44,I44,K44)</f>
        <v>5.9</v>
      </c>
      <c r="P27" s="87">
        <f>MIN(E44,G44,I44,K44)</f>
        <v>2.5</v>
      </c>
    </row>
    <row r="28" spans="1:16" ht="13.5" customHeight="1">
      <c r="A28" s="81" t="s">
        <v>87</v>
      </c>
      <c r="B28" s="151"/>
      <c r="C28" s="84">
        <v>10.6</v>
      </c>
      <c r="D28" s="151"/>
      <c r="E28" s="84">
        <v>3.3</v>
      </c>
      <c r="F28" s="151"/>
      <c r="G28" s="84">
        <v>2.7</v>
      </c>
      <c r="H28" s="151"/>
      <c r="I28" s="84">
        <v>1.9</v>
      </c>
      <c r="J28" s="151"/>
      <c r="K28" s="84">
        <v>3</v>
      </c>
      <c r="L28" s="151"/>
      <c r="M28" s="80"/>
    </row>
    <row r="29" spans="1:16" ht="13.5" customHeight="1">
      <c r="A29" s="81" t="s">
        <v>88</v>
      </c>
      <c r="B29" s="151"/>
      <c r="C29" s="84">
        <v>-3.5</v>
      </c>
      <c r="D29" s="151"/>
      <c r="E29" s="84">
        <v>0.8</v>
      </c>
      <c r="F29" s="151"/>
      <c r="G29" s="84">
        <v>2.7</v>
      </c>
      <c r="H29" s="151"/>
      <c r="I29" s="84">
        <v>0.8</v>
      </c>
      <c r="J29" s="151"/>
      <c r="K29" s="84">
        <v>-3.5</v>
      </c>
      <c r="L29" s="151"/>
      <c r="M29" s="80"/>
      <c r="N29" s="6" t="s">
        <v>60</v>
      </c>
    </row>
    <row r="30" spans="1:16" ht="13.5" customHeight="1">
      <c r="A30" s="81" t="s">
        <v>5</v>
      </c>
      <c r="B30" s="152"/>
      <c r="C30" s="85">
        <v>6</v>
      </c>
      <c r="D30" s="152"/>
      <c r="E30" s="85">
        <v>6</v>
      </c>
      <c r="F30" s="152"/>
      <c r="G30" s="85">
        <v>6</v>
      </c>
      <c r="H30" s="152"/>
      <c r="I30" s="85">
        <v>6</v>
      </c>
      <c r="J30" s="152"/>
      <c r="K30" s="85">
        <v>6</v>
      </c>
      <c r="L30" s="152"/>
      <c r="M30" s="80"/>
      <c r="N30" s="86" t="s">
        <v>56</v>
      </c>
      <c r="O30" s="6" t="s">
        <v>54</v>
      </c>
      <c r="P30" s="6" t="s">
        <v>55</v>
      </c>
    </row>
    <row r="31" spans="1:16">
      <c r="A31" s="153">
        <v>45807</v>
      </c>
      <c r="B31" s="154">
        <v>5</v>
      </c>
      <c r="C31" s="83">
        <v>9.8249999999999993</v>
      </c>
      <c r="D31" s="84">
        <v>-1.8</v>
      </c>
      <c r="E31" s="83">
        <v>27.1</v>
      </c>
      <c r="F31" s="84">
        <v>-9.6999999999999993</v>
      </c>
      <c r="G31" s="83">
        <v>314.75400000000002</v>
      </c>
      <c r="H31" s="84">
        <v>4.9000000000000004</v>
      </c>
      <c r="I31" s="83">
        <v>3183.5790000000002</v>
      </c>
      <c r="J31" s="84">
        <v>6.1</v>
      </c>
      <c r="K31" s="83">
        <v>7080.8109999999997</v>
      </c>
      <c r="L31" s="84">
        <v>-5.6</v>
      </c>
      <c r="M31" s="80"/>
      <c r="N31" s="86" t="s">
        <v>58</v>
      </c>
      <c r="O31" s="87">
        <f>MAX(C18,C29,C40)</f>
        <v>-3.4</v>
      </c>
      <c r="P31" s="87">
        <f>MIN(C18,C29,C40)</f>
        <v>-5.5</v>
      </c>
    </row>
    <row r="32" spans="1:16">
      <c r="A32" s="153"/>
      <c r="B32" s="155"/>
      <c r="C32" s="83">
        <v>9.4130000000000003</v>
      </c>
      <c r="D32" s="84">
        <v>-5.9</v>
      </c>
      <c r="E32" s="83">
        <v>30.001999999999999</v>
      </c>
      <c r="F32" s="84">
        <v>0</v>
      </c>
      <c r="G32" s="83">
        <v>289.976</v>
      </c>
      <c r="H32" s="84">
        <v>-3.3</v>
      </c>
      <c r="I32" s="83">
        <v>3065.0160000000001</v>
      </c>
      <c r="J32" s="84">
        <v>2.2000000000000002</v>
      </c>
      <c r="K32" s="83">
        <v>7273.0410000000002</v>
      </c>
      <c r="L32" s="84">
        <v>-3</v>
      </c>
      <c r="M32" s="80"/>
      <c r="N32" s="6" t="s">
        <v>59</v>
      </c>
      <c r="O32" s="87">
        <f>MAX(C17,C28,C39)</f>
        <v>10.6</v>
      </c>
      <c r="P32" s="87">
        <f>MIN(C17,C28,C39)</f>
        <v>3.8</v>
      </c>
    </row>
    <row r="33" spans="1:16">
      <c r="A33" s="153"/>
      <c r="B33" s="155"/>
      <c r="C33" s="83">
        <v>9.4949999999999992</v>
      </c>
      <c r="D33" s="84">
        <v>-5.0999999999999996</v>
      </c>
      <c r="E33" s="83">
        <v>26.963999999999999</v>
      </c>
      <c r="F33" s="84">
        <v>-10.1</v>
      </c>
      <c r="G33" s="83">
        <v>315.81599999999997</v>
      </c>
      <c r="H33" s="84">
        <v>5.3</v>
      </c>
      <c r="I33" s="83">
        <v>2999.739</v>
      </c>
      <c r="J33" s="84">
        <v>0</v>
      </c>
      <c r="K33" s="83">
        <v>7244.4830000000002</v>
      </c>
      <c r="L33" s="84">
        <v>-3.4</v>
      </c>
      <c r="M33" s="80"/>
    </row>
    <row r="34" spans="1:16">
      <c r="A34" s="153"/>
      <c r="B34" s="155"/>
      <c r="C34" s="83">
        <v>8.7669999999999995</v>
      </c>
      <c r="D34" s="84">
        <v>-12.3</v>
      </c>
      <c r="E34" s="83">
        <v>29.978999999999999</v>
      </c>
      <c r="F34" s="84">
        <v>-0.1</v>
      </c>
      <c r="G34" s="83">
        <v>317.62400000000002</v>
      </c>
      <c r="H34" s="84">
        <v>5.9</v>
      </c>
      <c r="I34" s="83">
        <v>3191.0050000000001</v>
      </c>
      <c r="J34" s="84">
        <v>6.4</v>
      </c>
      <c r="K34" s="83">
        <v>7190.1220000000003</v>
      </c>
      <c r="L34" s="84">
        <v>-4.0999999999999996</v>
      </c>
      <c r="M34" s="80"/>
      <c r="N34" s="86" t="s">
        <v>57</v>
      </c>
      <c r="O34" s="6" t="s">
        <v>54</v>
      </c>
      <c r="P34" s="6" t="s">
        <v>55</v>
      </c>
    </row>
    <row r="35" spans="1:16">
      <c r="A35" s="153"/>
      <c r="B35" s="155"/>
      <c r="C35" s="83">
        <v>9.5129999999999999</v>
      </c>
      <c r="D35" s="84">
        <v>-4.9000000000000004</v>
      </c>
      <c r="E35" s="83">
        <v>29.459</v>
      </c>
      <c r="F35" s="84">
        <v>-1.8</v>
      </c>
      <c r="G35" s="83">
        <v>300.67</v>
      </c>
      <c r="H35" s="84">
        <v>0.2</v>
      </c>
      <c r="I35" s="83">
        <v>2973.9209999999998</v>
      </c>
      <c r="J35" s="84">
        <v>-0.9</v>
      </c>
      <c r="K35" s="83">
        <v>7146.1469999999999</v>
      </c>
      <c r="L35" s="84">
        <v>-4.7</v>
      </c>
      <c r="M35" s="80"/>
      <c r="N35" s="86" t="s">
        <v>58</v>
      </c>
      <c r="O35" s="87">
        <f>MAX(C45)</f>
        <v>-4.0999999999999996</v>
      </c>
      <c r="P35" s="87">
        <f>MIN(C45)</f>
        <v>-4.0999999999999996</v>
      </c>
    </row>
    <row r="36" spans="1:16">
      <c r="A36" s="153"/>
      <c r="B36" s="156"/>
      <c r="C36" s="83">
        <v>9.6620000000000008</v>
      </c>
      <c r="D36" s="84">
        <v>-3.4</v>
      </c>
      <c r="E36" s="83">
        <v>27.972000000000001</v>
      </c>
      <c r="F36" s="84">
        <v>-6.8</v>
      </c>
      <c r="G36" s="83">
        <v>312.33600000000001</v>
      </c>
      <c r="H36" s="84">
        <v>4.0999999999999996</v>
      </c>
      <c r="I36" s="83">
        <v>2992.8409999999999</v>
      </c>
      <c r="J36" s="84">
        <v>-0.2</v>
      </c>
      <c r="K36" s="83">
        <v>7214.2</v>
      </c>
      <c r="L36" s="84">
        <v>-3.8</v>
      </c>
      <c r="M36" s="80"/>
      <c r="N36" s="6" t="s">
        <v>59</v>
      </c>
      <c r="O36" s="87">
        <f>MAX(C44)</f>
        <v>7.4</v>
      </c>
      <c r="P36" s="87">
        <f>MIN(C44)</f>
        <v>7.4</v>
      </c>
    </row>
    <row r="37" spans="1:16" ht="14.1" customHeight="1">
      <c r="A37" s="81" t="s">
        <v>136</v>
      </c>
      <c r="B37" s="150"/>
      <c r="C37" s="83">
        <v>9.4459999999999997</v>
      </c>
      <c r="D37" s="150"/>
      <c r="E37" s="83">
        <v>28.579000000000001</v>
      </c>
      <c r="F37" s="150"/>
      <c r="G37" s="83">
        <v>308.529</v>
      </c>
      <c r="H37" s="150"/>
      <c r="I37" s="83">
        <v>3067.6840000000002</v>
      </c>
      <c r="J37" s="150"/>
      <c r="K37" s="83">
        <v>7191.4669999999996</v>
      </c>
      <c r="L37" s="150"/>
      <c r="M37" s="80"/>
      <c r="N37" s="80"/>
      <c r="O37" s="80"/>
      <c r="P37" s="80"/>
    </row>
    <row r="38" spans="1:16" ht="14.1" customHeight="1">
      <c r="A38" s="81" t="s">
        <v>134</v>
      </c>
      <c r="B38" s="151"/>
      <c r="C38" s="83">
        <v>0.36299999999999999</v>
      </c>
      <c r="D38" s="151"/>
      <c r="E38" s="83">
        <v>1.409</v>
      </c>
      <c r="F38" s="151"/>
      <c r="G38" s="83">
        <v>10.909000000000001</v>
      </c>
      <c r="H38" s="151"/>
      <c r="I38" s="83">
        <v>97.628</v>
      </c>
      <c r="J38" s="151"/>
      <c r="K38" s="83">
        <v>69.688000000000002</v>
      </c>
      <c r="L38" s="151"/>
      <c r="M38" s="80"/>
      <c r="N38" s="80"/>
      <c r="O38" s="80"/>
      <c r="P38" s="80"/>
    </row>
    <row r="39" spans="1:16" ht="14.1" customHeight="1">
      <c r="A39" s="81" t="s">
        <v>87</v>
      </c>
      <c r="B39" s="151"/>
      <c r="C39" s="84">
        <v>3.8</v>
      </c>
      <c r="D39" s="151"/>
      <c r="E39" s="84">
        <v>4.9000000000000004</v>
      </c>
      <c r="F39" s="151"/>
      <c r="G39" s="84">
        <v>3.5</v>
      </c>
      <c r="H39" s="151"/>
      <c r="I39" s="84">
        <v>3.2</v>
      </c>
      <c r="J39" s="151"/>
      <c r="K39" s="84">
        <v>1</v>
      </c>
      <c r="L39" s="151"/>
      <c r="M39" s="80"/>
      <c r="N39" s="80"/>
      <c r="O39" s="80"/>
      <c r="P39" s="80"/>
    </row>
    <row r="40" spans="1:16" ht="14.1" customHeight="1">
      <c r="A40" s="81" t="s">
        <v>88</v>
      </c>
      <c r="B40" s="151"/>
      <c r="C40" s="84">
        <v>-5.5</v>
      </c>
      <c r="D40" s="151"/>
      <c r="E40" s="84">
        <v>-4.7</v>
      </c>
      <c r="F40" s="151"/>
      <c r="G40" s="84">
        <v>2.8</v>
      </c>
      <c r="H40" s="151"/>
      <c r="I40" s="84">
        <v>2.2999999999999998</v>
      </c>
      <c r="J40" s="151"/>
      <c r="K40" s="84">
        <v>-4.0999999999999996</v>
      </c>
      <c r="L40" s="151"/>
      <c r="M40" s="80"/>
      <c r="N40" s="80"/>
      <c r="O40" s="80"/>
      <c r="P40" s="80"/>
    </row>
    <row r="41" spans="1:16" ht="14.1" customHeight="1">
      <c r="A41" s="81" t="s">
        <v>5</v>
      </c>
      <c r="B41" s="152"/>
      <c r="C41" s="85">
        <v>6</v>
      </c>
      <c r="D41" s="152"/>
      <c r="E41" s="85">
        <v>6</v>
      </c>
      <c r="F41" s="152"/>
      <c r="G41" s="85">
        <v>6</v>
      </c>
      <c r="H41" s="152"/>
      <c r="I41" s="85">
        <v>6</v>
      </c>
      <c r="J41" s="152"/>
      <c r="K41" s="85">
        <v>6</v>
      </c>
      <c r="L41" s="152"/>
      <c r="M41" s="80"/>
      <c r="N41" s="80"/>
      <c r="O41" s="80"/>
      <c r="P41" s="80"/>
    </row>
    <row r="42" spans="1:16" ht="15" customHeight="1">
      <c r="A42" s="81" t="s">
        <v>137</v>
      </c>
      <c r="B42" s="150"/>
      <c r="C42" s="83">
        <v>9.5869999999999997</v>
      </c>
      <c r="D42" s="150"/>
      <c r="E42" s="83">
        <v>30.216000000000001</v>
      </c>
      <c r="F42" s="150"/>
      <c r="G42" s="83">
        <v>309.87200000000001</v>
      </c>
      <c r="H42" s="150"/>
      <c r="I42" s="83">
        <v>3058.7869999999998</v>
      </c>
      <c r="J42" s="150"/>
      <c r="K42" s="83">
        <v>7337.6679999999997</v>
      </c>
      <c r="L42" s="150"/>
      <c r="M42" s="80"/>
      <c r="N42" s="80"/>
      <c r="O42" s="80"/>
      <c r="P42" s="80"/>
    </row>
    <row r="43" spans="1:16" ht="15" customHeight="1">
      <c r="A43" s="81" t="s">
        <v>138</v>
      </c>
      <c r="B43" s="151"/>
      <c r="C43" s="83">
        <v>0.71399999999999997</v>
      </c>
      <c r="D43" s="151"/>
      <c r="E43" s="83">
        <v>1.7729999999999999</v>
      </c>
      <c r="F43" s="151"/>
      <c r="G43" s="83">
        <v>12.557</v>
      </c>
      <c r="H43" s="151"/>
      <c r="I43" s="83">
        <v>76.674000000000007</v>
      </c>
      <c r="J43" s="151"/>
      <c r="K43" s="83">
        <v>298.82100000000003</v>
      </c>
      <c r="L43" s="151"/>
      <c r="M43" s="80"/>
      <c r="N43" s="80"/>
      <c r="O43" s="80"/>
      <c r="P43" s="80"/>
    </row>
    <row r="44" spans="1:16" ht="15" customHeight="1">
      <c r="A44" s="81" t="s">
        <v>89</v>
      </c>
      <c r="B44" s="151"/>
      <c r="C44" s="84">
        <v>7.4</v>
      </c>
      <c r="D44" s="151"/>
      <c r="E44" s="84">
        <v>5.9</v>
      </c>
      <c r="F44" s="151"/>
      <c r="G44" s="84">
        <v>4.0999999999999996</v>
      </c>
      <c r="H44" s="151"/>
      <c r="I44" s="84">
        <v>2.5</v>
      </c>
      <c r="J44" s="151"/>
      <c r="K44" s="84">
        <v>4.0999999999999996</v>
      </c>
      <c r="L44" s="151"/>
      <c r="M44" s="80"/>
      <c r="N44" s="80"/>
      <c r="O44" s="80"/>
      <c r="P44" s="80"/>
    </row>
    <row r="45" spans="1:16" ht="15" customHeight="1">
      <c r="A45" s="81" t="s">
        <v>90</v>
      </c>
      <c r="B45" s="151"/>
      <c r="C45" s="84">
        <v>-4.0999999999999996</v>
      </c>
      <c r="D45" s="151"/>
      <c r="E45" s="84">
        <v>0.7</v>
      </c>
      <c r="F45" s="151"/>
      <c r="G45" s="84">
        <v>3.3</v>
      </c>
      <c r="H45" s="151"/>
      <c r="I45" s="84">
        <v>2</v>
      </c>
      <c r="J45" s="151"/>
      <c r="K45" s="84">
        <v>-2.2000000000000002</v>
      </c>
      <c r="L45" s="151"/>
      <c r="M45" s="80"/>
      <c r="N45" s="80"/>
      <c r="O45" s="80"/>
      <c r="P45" s="80"/>
    </row>
    <row r="46" spans="1:16" ht="15" customHeight="1">
      <c r="A46" s="81" t="s">
        <v>5</v>
      </c>
      <c r="B46" s="152"/>
      <c r="C46" s="85">
        <v>18</v>
      </c>
      <c r="D46" s="152"/>
      <c r="E46" s="85">
        <v>18</v>
      </c>
      <c r="F46" s="152"/>
      <c r="G46" s="85">
        <v>18</v>
      </c>
      <c r="H46" s="152"/>
      <c r="I46" s="85">
        <v>18</v>
      </c>
      <c r="J46" s="152"/>
      <c r="K46" s="85">
        <v>18</v>
      </c>
      <c r="L46" s="152"/>
      <c r="M46" s="80"/>
      <c r="N46" s="80"/>
      <c r="O46" s="80"/>
      <c r="P46" s="80"/>
    </row>
    <row r="47" spans="1:16" ht="13.5" customHeight="1">
      <c r="A47" s="159" t="s">
        <v>94</v>
      </c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80"/>
      <c r="N47" s="80"/>
      <c r="O47" s="80"/>
      <c r="P47" s="80"/>
    </row>
    <row r="49" spans="1:16">
      <c r="A49" s="158" t="s">
        <v>99</v>
      </c>
      <c r="B49" s="158"/>
      <c r="C49" s="158"/>
      <c r="D49" s="158"/>
      <c r="E49" s="158"/>
    </row>
    <row r="50" spans="1:16" ht="14.1" customHeight="1">
      <c r="A50" s="157" t="s">
        <v>11</v>
      </c>
      <c r="B50" s="157" t="s">
        <v>9</v>
      </c>
      <c r="C50" s="78" t="s">
        <v>0</v>
      </c>
      <c r="D50" s="157" t="s">
        <v>42</v>
      </c>
      <c r="E50" s="81" t="s">
        <v>3</v>
      </c>
      <c r="F50" s="157" t="s">
        <v>42</v>
      </c>
      <c r="G50" s="81" t="s">
        <v>61</v>
      </c>
      <c r="H50" s="157" t="s">
        <v>42</v>
      </c>
      <c r="I50" s="81" t="s">
        <v>62</v>
      </c>
      <c r="J50" s="157" t="s">
        <v>42</v>
      </c>
      <c r="K50" s="81" t="s">
        <v>1</v>
      </c>
      <c r="L50" s="157" t="s">
        <v>42</v>
      </c>
      <c r="M50" s="80"/>
      <c r="N50" s="80"/>
      <c r="O50" s="80"/>
      <c r="P50" s="80"/>
    </row>
    <row r="51" spans="1:16" ht="14.1" customHeight="1">
      <c r="A51" s="157"/>
      <c r="B51" s="157"/>
      <c r="C51" s="82">
        <v>10</v>
      </c>
      <c r="D51" s="157"/>
      <c r="E51" s="82">
        <v>30</v>
      </c>
      <c r="F51" s="157"/>
      <c r="G51" s="82">
        <v>300</v>
      </c>
      <c r="H51" s="157"/>
      <c r="I51" s="82">
        <v>3000</v>
      </c>
      <c r="J51" s="157"/>
      <c r="K51" s="82">
        <v>7500</v>
      </c>
      <c r="L51" s="157"/>
      <c r="M51" s="80"/>
      <c r="N51" s="80"/>
      <c r="O51" s="80"/>
      <c r="P51" s="80"/>
    </row>
    <row r="52" spans="1:16" ht="14.1" customHeight="1">
      <c r="A52" s="157"/>
      <c r="B52" s="157"/>
      <c r="C52" s="79" t="s">
        <v>6</v>
      </c>
      <c r="D52" s="157"/>
      <c r="E52" s="79" t="s">
        <v>6</v>
      </c>
      <c r="F52" s="157"/>
      <c r="G52" s="79" t="s">
        <v>6</v>
      </c>
      <c r="H52" s="157"/>
      <c r="I52" s="79" t="s">
        <v>6</v>
      </c>
      <c r="J52" s="157"/>
      <c r="K52" s="79" t="s">
        <v>6</v>
      </c>
      <c r="L52" s="157"/>
      <c r="M52" s="80"/>
      <c r="N52" s="80"/>
      <c r="O52" s="80"/>
      <c r="P52" s="80"/>
    </row>
    <row r="53" spans="1:16">
      <c r="A53" s="153">
        <v>45800</v>
      </c>
      <c r="B53" s="161">
        <v>2</v>
      </c>
      <c r="C53" s="83">
        <v>11.616</v>
      </c>
      <c r="D53" s="84">
        <v>16.2</v>
      </c>
      <c r="E53" s="83">
        <v>33.034999999999997</v>
      </c>
      <c r="F53" s="84">
        <v>10.1</v>
      </c>
      <c r="G53" s="83">
        <v>300.74900000000002</v>
      </c>
      <c r="H53" s="84">
        <v>0.2</v>
      </c>
      <c r="I53" s="83">
        <v>3162.002</v>
      </c>
      <c r="J53" s="84">
        <v>5.4</v>
      </c>
      <c r="K53" s="83">
        <v>7610.8029999999999</v>
      </c>
      <c r="L53" s="84">
        <v>1.5</v>
      </c>
      <c r="M53" s="80"/>
      <c r="N53" s="80"/>
      <c r="O53" s="80"/>
      <c r="P53" s="80"/>
    </row>
    <row r="54" spans="1:16">
      <c r="A54" s="153"/>
      <c r="B54" s="162"/>
      <c r="C54" s="83">
        <v>11.851000000000001</v>
      </c>
      <c r="D54" s="84">
        <v>18.5</v>
      </c>
      <c r="E54" s="83">
        <v>33.432000000000002</v>
      </c>
      <c r="F54" s="84">
        <v>11.4</v>
      </c>
      <c r="G54" s="83" t="s">
        <v>142</v>
      </c>
      <c r="H54" s="84">
        <v>22.8</v>
      </c>
      <c r="I54" s="83">
        <v>3215.1790000000001</v>
      </c>
      <c r="J54" s="84">
        <v>7.2</v>
      </c>
      <c r="K54" s="83">
        <v>8376.2260000000006</v>
      </c>
      <c r="L54" s="84">
        <v>11.7</v>
      </c>
      <c r="M54" s="80"/>
      <c r="N54" s="80"/>
      <c r="O54" s="80"/>
      <c r="P54" s="80"/>
    </row>
    <row r="55" spans="1:16">
      <c r="A55" s="153"/>
      <c r="B55" s="162"/>
      <c r="C55" s="83">
        <v>11.412000000000001</v>
      </c>
      <c r="D55" s="84">
        <v>14.1</v>
      </c>
      <c r="E55" s="83">
        <v>31.178000000000001</v>
      </c>
      <c r="F55" s="84">
        <v>3.9</v>
      </c>
      <c r="G55" s="83">
        <v>320.62</v>
      </c>
      <c r="H55" s="84">
        <v>6.9</v>
      </c>
      <c r="I55" s="83">
        <v>3051.7269999999999</v>
      </c>
      <c r="J55" s="84">
        <v>1.7</v>
      </c>
      <c r="K55" s="83">
        <v>8012.3919999999998</v>
      </c>
      <c r="L55" s="84">
        <v>6.8</v>
      </c>
      <c r="M55" s="80"/>
      <c r="N55" s="80"/>
      <c r="O55" s="80"/>
      <c r="P55" s="80"/>
    </row>
    <row r="56" spans="1:16">
      <c r="A56" s="153"/>
      <c r="B56" s="162"/>
      <c r="C56" s="83" t="s">
        <v>140</v>
      </c>
      <c r="D56" s="84">
        <v>29.8</v>
      </c>
      <c r="E56" s="83">
        <v>29.84</v>
      </c>
      <c r="F56" s="84">
        <v>-0.5</v>
      </c>
      <c r="G56" s="83">
        <v>285.71499999999997</v>
      </c>
      <c r="H56" s="84">
        <v>-4.8</v>
      </c>
      <c r="I56" s="83">
        <v>3028.4560000000001</v>
      </c>
      <c r="J56" s="84">
        <v>0.9</v>
      </c>
      <c r="K56" s="83">
        <v>7634.8419999999996</v>
      </c>
      <c r="L56" s="84">
        <v>1.8</v>
      </c>
      <c r="M56" s="80"/>
      <c r="N56" s="80"/>
      <c r="O56" s="80"/>
      <c r="P56" s="80"/>
    </row>
    <row r="57" spans="1:16">
      <c r="A57" s="153"/>
      <c r="B57" s="162"/>
      <c r="C57" s="83" t="s">
        <v>141</v>
      </c>
      <c r="D57" s="84">
        <v>24</v>
      </c>
      <c r="E57" s="83">
        <v>33.652000000000001</v>
      </c>
      <c r="F57" s="84">
        <v>12.2</v>
      </c>
      <c r="G57" s="83">
        <v>279.93099999999998</v>
      </c>
      <c r="H57" s="84">
        <v>-6.7</v>
      </c>
      <c r="I57" s="83">
        <v>2983.0549999999998</v>
      </c>
      <c r="J57" s="84">
        <v>-0.6</v>
      </c>
      <c r="K57" s="83">
        <v>7441.8649999999998</v>
      </c>
      <c r="L57" s="84">
        <v>-0.8</v>
      </c>
      <c r="M57" s="80"/>
      <c r="N57" s="80"/>
      <c r="O57" s="80"/>
      <c r="P57" s="80"/>
    </row>
    <row r="58" spans="1:16">
      <c r="A58" s="153"/>
      <c r="B58" s="163"/>
      <c r="C58" s="83">
        <v>11.641999999999999</v>
      </c>
      <c r="D58" s="84">
        <v>16.399999999999999</v>
      </c>
      <c r="E58" s="83">
        <v>28.161000000000001</v>
      </c>
      <c r="F58" s="84">
        <v>-6.1</v>
      </c>
      <c r="G58" s="83">
        <v>278.45100000000002</v>
      </c>
      <c r="H58" s="84">
        <v>-7.2</v>
      </c>
      <c r="I58" s="83">
        <v>2919.8330000000001</v>
      </c>
      <c r="J58" s="84">
        <v>-2.7</v>
      </c>
      <c r="K58" s="83">
        <v>7660.9309999999996</v>
      </c>
      <c r="L58" s="84">
        <v>2.1</v>
      </c>
      <c r="M58" s="80"/>
      <c r="N58" s="80"/>
      <c r="O58" s="80"/>
      <c r="P58" s="80"/>
    </row>
    <row r="59" spans="1:16" ht="13.5" customHeight="1">
      <c r="A59" s="81" t="s">
        <v>133</v>
      </c>
      <c r="B59" s="150"/>
      <c r="C59" s="83">
        <v>11.981999999999999</v>
      </c>
      <c r="D59" s="150"/>
      <c r="E59" s="83">
        <v>31.55</v>
      </c>
      <c r="F59" s="150"/>
      <c r="G59" s="83">
        <v>305.64299999999997</v>
      </c>
      <c r="H59" s="150"/>
      <c r="I59" s="83">
        <v>3060.0419999999999</v>
      </c>
      <c r="J59" s="150"/>
      <c r="K59" s="83">
        <v>7789.51</v>
      </c>
      <c r="L59" s="150"/>
      <c r="M59" s="80"/>
      <c r="N59" s="80"/>
      <c r="O59" s="80"/>
      <c r="P59" s="80"/>
    </row>
    <row r="60" spans="1:16" ht="13.5" customHeight="1">
      <c r="A60" s="81" t="s">
        <v>134</v>
      </c>
      <c r="B60" s="151"/>
      <c r="C60" s="83">
        <v>0.59099999999999997</v>
      </c>
      <c r="D60" s="151"/>
      <c r="E60" s="83">
        <v>2.2229999999999999</v>
      </c>
      <c r="F60" s="151"/>
      <c r="G60" s="83">
        <v>34.591999999999999</v>
      </c>
      <c r="H60" s="151"/>
      <c r="I60" s="83">
        <v>110.55800000000001</v>
      </c>
      <c r="J60" s="151"/>
      <c r="K60" s="83">
        <v>342.68400000000003</v>
      </c>
      <c r="L60" s="151"/>
      <c r="M60" s="80"/>
      <c r="N60" s="80"/>
      <c r="O60" s="80"/>
      <c r="P60" s="80"/>
    </row>
    <row r="61" spans="1:16" ht="13.5" customHeight="1">
      <c r="A61" s="81" t="s">
        <v>44</v>
      </c>
      <c r="B61" s="151"/>
      <c r="C61" s="84">
        <v>4.9000000000000004</v>
      </c>
      <c r="D61" s="151"/>
      <c r="E61" s="84">
        <v>7</v>
      </c>
      <c r="F61" s="151"/>
      <c r="G61" s="84">
        <v>11.3</v>
      </c>
      <c r="H61" s="151"/>
      <c r="I61" s="84">
        <v>3.6</v>
      </c>
      <c r="J61" s="151"/>
      <c r="K61" s="84">
        <v>4.4000000000000004</v>
      </c>
      <c r="L61" s="151"/>
      <c r="M61" s="80"/>
      <c r="N61" s="80"/>
      <c r="O61" s="80"/>
      <c r="P61" s="80"/>
    </row>
    <row r="62" spans="1:16" ht="13.5" customHeight="1">
      <c r="A62" s="81" t="s">
        <v>45</v>
      </c>
      <c r="B62" s="151"/>
      <c r="C62" s="84">
        <v>19.8</v>
      </c>
      <c r="D62" s="151"/>
      <c r="E62" s="84">
        <v>5.2</v>
      </c>
      <c r="F62" s="151"/>
      <c r="G62" s="84">
        <v>1.9</v>
      </c>
      <c r="H62" s="151"/>
      <c r="I62" s="84">
        <v>2</v>
      </c>
      <c r="J62" s="151"/>
      <c r="K62" s="84">
        <v>3.9</v>
      </c>
      <c r="L62" s="151"/>
      <c r="M62" s="80"/>
      <c r="N62" s="80"/>
      <c r="O62" s="80"/>
      <c r="P62" s="80"/>
    </row>
    <row r="63" spans="1:16" ht="13.5" customHeight="1">
      <c r="A63" s="81" t="s">
        <v>5</v>
      </c>
      <c r="B63" s="152"/>
      <c r="C63" s="85">
        <v>6</v>
      </c>
      <c r="D63" s="152"/>
      <c r="E63" s="85">
        <v>6</v>
      </c>
      <c r="F63" s="152"/>
      <c r="G63" s="85">
        <v>6</v>
      </c>
      <c r="H63" s="152"/>
      <c r="I63" s="85">
        <v>6</v>
      </c>
      <c r="J63" s="152"/>
      <c r="K63" s="85">
        <v>6</v>
      </c>
      <c r="L63" s="152"/>
      <c r="M63" s="80"/>
      <c r="N63" s="80"/>
      <c r="O63" s="80"/>
      <c r="P63" s="80"/>
    </row>
    <row r="64" spans="1:16">
      <c r="A64" s="153">
        <v>45804</v>
      </c>
      <c r="B64" s="154">
        <v>3</v>
      </c>
      <c r="C64" s="83">
        <v>9.8979999999999997</v>
      </c>
      <c r="D64" s="84">
        <v>-1</v>
      </c>
      <c r="E64" s="83">
        <v>29.870999999999999</v>
      </c>
      <c r="F64" s="84">
        <v>-0.4</v>
      </c>
      <c r="G64" s="83">
        <v>292.89499999999998</v>
      </c>
      <c r="H64" s="84">
        <v>-2.4</v>
      </c>
      <c r="I64" s="83">
        <v>2874.0479999999998</v>
      </c>
      <c r="J64" s="84">
        <v>-4.2</v>
      </c>
      <c r="K64" s="83">
        <v>7091.875</v>
      </c>
      <c r="L64" s="84">
        <v>-5.4</v>
      </c>
      <c r="M64" s="80"/>
      <c r="N64" s="6" t="s">
        <v>135</v>
      </c>
    </row>
    <row r="65" spans="1:16">
      <c r="A65" s="153"/>
      <c r="B65" s="155"/>
      <c r="C65" s="83">
        <v>11.284000000000001</v>
      </c>
      <c r="D65" s="84">
        <v>12.8</v>
      </c>
      <c r="E65" s="83">
        <v>28.149000000000001</v>
      </c>
      <c r="F65" s="84">
        <v>-6.2</v>
      </c>
      <c r="G65" s="83">
        <v>290.15600000000001</v>
      </c>
      <c r="H65" s="84">
        <v>-3.3</v>
      </c>
      <c r="I65" s="83">
        <v>3008.2629999999999</v>
      </c>
      <c r="J65" s="84">
        <v>0.3</v>
      </c>
      <c r="K65" s="83">
        <v>7248.7820000000002</v>
      </c>
      <c r="L65" s="84">
        <v>-3.3</v>
      </c>
      <c r="M65" s="80"/>
      <c r="N65" s="86" t="s">
        <v>56</v>
      </c>
      <c r="O65" s="6" t="s">
        <v>54</v>
      </c>
      <c r="P65" s="6" t="s">
        <v>55</v>
      </c>
    </row>
    <row r="66" spans="1:16">
      <c r="A66" s="153"/>
      <c r="B66" s="155"/>
      <c r="C66" s="83">
        <v>10.372999999999999</v>
      </c>
      <c r="D66" s="84">
        <v>3.7</v>
      </c>
      <c r="E66" s="83">
        <v>29.478000000000002</v>
      </c>
      <c r="F66" s="84">
        <v>-1.7</v>
      </c>
      <c r="G66" s="83">
        <v>294.58800000000002</v>
      </c>
      <c r="H66" s="84">
        <v>-1.8</v>
      </c>
      <c r="I66" s="83">
        <v>2960.364</v>
      </c>
      <c r="J66" s="84">
        <v>-1.3</v>
      </c>
      <c r="K66" s="83">
        <v>7151.42</v>
      </c>
      <c r="L66" s="84">
        <v>-4.5999999999999996</v>
      </c>
      <c r="M66" s="80"/>
      <c r="N66" s="86" t="s">
        <v>58</v>
      </c>
      <c r="O66" s="87">
        <f>MAX(E62,G62,I62,K62,E73,G73,I73,K73,E84,G84,I84,K84)</f>
        <v>5.2</v>
      </c>
      <c r="P66" s="87">
        <f>MIN(E62,G62,I62,K62,E73,G73,I73,K73,E84,G84,I84,K84)</f>
        <v>-6</v>
      </c>
    </row>
    <row r="67" spans="1:16">
      <c r="A67" s="153"/>
      <c r="B67" s="155"/>
      <c r="C67" s="83">
        <v>9.577</v>
      </c>
      <c r="D67" s="84">
        <v>-4.2</v>
      </c>
      <c r="E67" s="83">
        <v>27.895</v>
      </c>
      <c r="F67" s="84">
        <v>-7</v>
      </c>
      <c r="G67" s="83">
        <v>298.108</v>
      </c>
      <c r="H67" s="84">
        <v>-0.6</v>
      </c>
      <c r="I67" s="83">
        <v>3076.8449999999998</v>
      </c>
      <c r="J67" s="84">
        <v>2.6</v>
      </c>
      <c r="K67" s="83">
        <v>7248.058</v>
      </c>
      <c r="L67" s="84">
        <v>-3.4</v>
      </c>
      <c r="M67" s="80"/>
      <c r="N67" s="6" t="s">
        <v>59</v>
      </c>
      <c r="O67" s="87">
        <f>MAX(E61,G61,I61,K61,E72,G72,I72,K72,E83,G83,I83,K83)</f>
        <v>11.3</v>
      </c>
      <c r="P67" s="87">
        <f>MIN(E61,G61,I61,K61,E72,G72,I72,K72,E83,G83,I83,K83)</f>
        <v>0.7</v>
      </c>
    </row>
    <row r="68" spans="1:16">
      <c r="A68" s="153"/>
      <c r="B68" s="155"/>
      <c r="C68" s="83">
        <v>9.15</v>
      </c>
      <c r="D68" s="84">
        <v>-8.5</v>
      </c>
      <c r="E68" s="83">
        <v>29.678999999999998</v>
      </c>
      <c r="F68" s="84">
        <v>-1.1000000000000001</v>
      </c>
      <c r="G68" s="83">
        <v>297.80099999999999</v>
      </c>
      <c r="H68" s="84">
        <v>-0.7</v>
      </c>
      <c r="I68" s="83">
        <v>3101.605</v>
      </c>
      <c r="J68" s="84">
        <v>3.4</v>
      </c>
      <c r="K68" s="83">
        <v>7105.8140000000003</v>
      </c>
      <c r="L68" s="84">
        <v>-5.3</v>
      </c>
      <c r="M68" s="80"/>
    </row>
    <row r="69" spans="1:16">
      <c r="A69" s="153"/>
      <c r="B69" s="156"/>
      <c r="C69" s="83">
        <v>9.49</v>
      </c>
      <c r="D69" s="84">
        <v>-5.0999999999999996</v>
      </c>
      <c r="E69" s="83">
        <v>28.802</v>
      </c>
      <c r="F69" s="84">
        <v>-4</v>
      </c>
      <c r="G69" s="83">
        <v>308.65100000000001</v>
      </c>
      <c r="H69" s="84">
        <v>2.9</v>
      </c>
      <c r="I69" s="83">
        <v>3011.9229999999998</v>
      </c>
      <c r="J69" s="84">
        <v>0.4</v>
      </c>
      <c r="K69" s="83">
        <v>7113.7190000000001</v>
      </c>
      <c r="L69" s="84">
        <v>-5.2</v>
      </c>
      <c r="M69" s="80"/>
      <c r="N69" s="86" t="s">
        <v>57</v>
      </c>
      <c r="O69" s="6" t="s">
        <v>54</v>
      </c>
      <c r="P69" s="6" t="s">
        <v>55</v>
      </c>
    </row>
    <row r="70" spans="1:16" ht="13.5" customHeight="1">
      <c r="A70" s="81" t="s">
        <v>136</v>
      </c>
      <c r="B70" s="150"/>
      <c r="C70" s="83">
        <v>9.9619999999999997</v>
      </c>
      <c r="D70" s="150"/>
      <c r="E70" s="83">
        <v>28.978999999999999</v>
      </c>
      <c r="F70" s="150"/>
      <c r="G70" s="83">
        <v>297.03300000000002</v>
      </c>
      <c r="H70" s="150"/>
      <c r="I70" s="83">
        <v>3005.5079999999998</v>
      </c>
      <c r="J70" s="150"/>
      <c r="K70" s="83">
        <v>7159.9449999999997</v>
      </c>
      <c r="L70" s="150"/>
      <c r="M70" s="80"/>
      <c r="N70" s="86" t="s">
        <v>58</v>
      </c>
      <c r="O70" s="87">
        <f>MAX(E89,G89,I89,K89)</f>
        <v>2.2000000000000002</v>
      </c>
      <c r="P70" s="87">
        <f>MIN(E89,G89,I89,K89)</f>
        <v>-1.4</v>
      </c>
    </row>
    <row r="71" spans="1:16" ht="13.5" customHeight="1">
      <c r="A71" s="81" t="s">
        <v>134</v>
      </c>
      <c r="B71" s="151"/>
      <c r="C71" s="83">
        <v>0.76800000000000002</v>
      </c>
      <c r="D71" s="151"/>
      <c r="E71" s="83">
        <v>0.82799999999999996</v>
      </c>
      <c r="F71" s="151"/>
      <c r="G71" s="83">
        <v>6.4359999999999999</v>
      </c>
      <c r="H71" s="151"/>
      <c r="I71" s="83">
        <v>82.087999999999994</v>
      </c>
      <c r="J71" s="151"/>
      <c r="K71" s="83">
        <v>71.314999999999998</v>
      </c>
      <c r="L71" s="151"/>
      <c r="M71" s="80"/>
      <c r="N71" s="6" t="s">
        <v>59</v>
      </c>
      <c r="O71" s="87">
        <f>MAX(E88,G88,I88,K88)</f>
        <v>6.9</v>
      </c>
      <c r="P71" s="87">
        <f>MIN(E88,G88,I88,K88)</f>
        <v>3.2</v>
      </c>
    </row>
    <row r="72" spans="1:16" ht="13.5" customHeight="1">
      <c r="A72" s="81" t="s">
        <v>87</v>
      </c>
      <c r="B72" s="151"/>
      <c r="C72" s="84">
        <v>7.7</v>
      </c>
      <c r="D72" s="151"/>
      <c r="E72" s="84">
        <v>2.9</v>
      </c>
      <c r="F72" s="151"/>
      <c r="G72" s="84">
        <v>2.2000000000000002</v>
      </c>
      <c r="H72" s="151"/>
      <c r="I72" s="84">
        <v>2.7</v>
      </c>
      <c r="J72" s="151"/>
      <c r="K72" s="84">
        <v>1</v>
      </c>
      <c r="L72" s="151"/>
      <c r="M72" s="80"/>
    </row>
    <row r="73" spans="1:16" ht="13.5" customHeight="1">
      <c r="A73" s="81" t="s">
        <v>88</v>
      </c>
      <c r="B73" s="151"/>
      <c r="C73" s="84">
        <v>-0.4</v>
      </c>
      <c r="D73" s="151"/>
      <c r="E73" s="84">
        <v>-3.4</v>
      </c>
      <c r="F73" s="151"/>
      <c r="G73" s="84">
        <v>-1</v>
      </c>
      <c r="H73" s="151"/>
      <c r="I73" s="84">
        <v>0.2</v>
      </c>
      <c r="J73" s="151"/>
      <c r="K73" s="84">
        <v>-4.5</v>
      </c>
      <c r="L73" s="151"/>
      <c r="M73" s="80"/>
      <c r="N73" s="6" t="s">
        <v>60</v>
      </c>
    </row>
    <row r="74" spans="1:16" ht="13.5" customHeight="1">
      <c r="A74" s="81" t="s">
        <v>5</v>
      </c>
      <c r="B74" s="152"/>
      <c r="C74" s="85">
        <v>6</v>
      </c>
      <c r="D74" s="152"/>
      <c r="E74" s="85">
        <v>6</v>
      </c>
      <c r="F74" s="152"/>
      <c r="G74" s="85">
        <v>6</v>
      </c>
      <c r="H74" s="152"/>
      <c r="I74" s="85">
        <v>6</v>
      </c>
      <c r="J74" s="152"/>
      <c r="K74" s="85">
        <v>6</v>
      </c>
      <c r="L74" s="152"/>
      <c r="M74" s="80"/>
      <c r="N74" s="86" t="s">
        <v>56</v>
      </c>
      <c r="O74" s="6" t="s">
        <v>54</v>
      </c>
      <c r="P74" s="6" t="s">
        <v>55</v>
      </c>
    </row>
    <row r="75" spans="1:16">
      <c r="A75" s="153">
        <v>45807</v>
      </c>
      <c r="B75" s="154">
        <v>5</v>
      </c>
      <c r="C75" s="83">
        <v>9.0120000000000005</v>
      </c>
      <c r="D75" s="84">
        <v>-9.9</v>
      </c>
      <c r="E75" s="83">
        <v>28.641999999999999</v>
      </c>
      <c r="F75" s="84">
        <v>-4.5</v>
      </c>
      <c r="G75" s="83">
        <v>309.964</v>
      </c>
      <c r="H75" s="84">
        <v>3.3</v>
      </c>
      <c r="I75" s="83">
        <v>3177.31</v>
      </c>
      <c r="J75" s="84">
        <v>5.9</v>
      </c>
      <c r="K75" s="83">
        <v>7409.0990000000002</v>
      </c>
      <c r="L75" s="84">
        <v>-1.2</v>
      </c>
      <c r="M75" s="80"/>
      <c r="N75" s="86" t="s">
        <v>58</v>
      </c>
      <c r="O75" s="87">
        <f>MAX(C62,C73,C84)</f>
        <v>19.8</v>
      </c>
      <c r="P75" s="87">
        <f>MIN(C62,C73,C84)</f>
        <v>-9.3000000000000007</v>
      </c>
    </row>
    <row r="76" spans="1:16">
      <c r="A76" s="153"/>
      <c r="B76" s="155"/>
      <c r="C76" s="83">
        <v>9.5649999999999995</v>
      </c>
      <c r="D76" s="84">
        <v>-4.4000000000000004</v>
      </c>
      <c r="E76" s="83">
        <v>29.234999999999999</v>
      </c>
      <c r="F76" s="84">
        <v>-2.6</v>
      </c>
      <c r="G76" s="83">
        <v>303.50299999999999</v>
      </c>
      <c r="H76" s="84">
        <v>1.2</v>
      </c>
      <c r="I76" s="83">
        <v>3078.2570000000001</v>
      </c>
      <c r="J76" s="84">
        <v>2.6</v>
      </c>
      <c r="K76" s="83">
        <v>7403.9160000000002</v>
      </c>
      <c r="L76" s="84">
        <v>-1.3</v>
      </c>
      <c r="M76" s="80"/>
      <c r="N76" s="6" t="s">
        <v>59</v>
      </c>
      <c r="O76" s="87">
        <f>MAX(C61,C72,C83)</f>
        <v>7.7</v>
      </c>
      <c r="P76" s="87">
        <f>MIN(C61,C72,C83)</f>
        <v>4.9000000000000004</v>
      </c>
    </row>
    <row r="77" spans="1:16">
      <c r="A77" s="153"/>
      <c r="B77" s="155"/>
      <c r="C77" s="83">
        <v>9.0630000000000006</v>
      </c>
      <c r="D77" s="84">
        <v>-9.4</v>
      </c>
      <c r="E77" s="83">
        <v>26.132000000000001</v>
      </c>
      <c r="F77" s="84">
        <v>-12.9</v>
      </c>
      <c r="G77" s="83">
        <v>307.61099999999999</v>
      </c>
      <c r="H77" s="84">
        <v>2.5</v>
      </c>
      <c r="I77" s="83">
        <v>3209.212</v>
      </c>
      <c r="J77" s="84">
        <v>7</v>
      </c>
      <c r="K77" s="83">
        <v>7349.4989999999998</v>
      </c>
      <c r="L77" s="84">
        <v>-2</v>
      </c>
      <c r="M77" s="80"/>
    </row>
    <row r="78" spans="1:16">
      <c r="A78" s="153"/>
      <c r="B78" s="155"/>
      <c r="C78" s="83">
        <v>8.2409999999999997</v>
      </c>
      <c r="D78" s="84">
        <v>-17.600000000000001</v>
      </c>
      <c r="E78" s="83">
        <v>28.302</v>
      </c>
      <c r="F78" s="84">
        <v>-5.7</v>
      </c>
      <c r="G78" s="83">
        <v>307.08300000000003</v>
      </c>
      <c r="H78" s="84">
        <v>2.4</v>
      </c>
      <c r="I78" s="83">
        <v>3149.6120000000001</v>
      </c>
      <c r="J78" s="84">
        <v>5</v>
      </c>
      <c r="K78" s="83">
        <v>7282.3180000000002</v>
      </c>
      <c r="L78" s="84">
        <v>-2.9</v>
      </c>
      <c r="M78" s="80"/>
      <c r="N78" s="86" t="s">
        <v>57</v>
      </c>
      <c r="O78" s="6" t="s">
        <v>54</v>
      </c>
      <c r="P78" s="6" t="s">
        <v>55</v>
      </c>
    </row>
    <row r="79" spans="1:16">
      <c r="A79" s="153"/>
      <c r="B79" s="155"/>
      <c r="C79" s="83">
        <v>9.0120000000000005</v>
      </c>
      <c r="D79" s="84">
        <v>-9.9</v>
      </c>
      <c r="E79" s="83">
        <v>28.798999999999999</v>
      </c>
      <c r="F79" s="84">
        <v>-4</v>
      </c>
      <c r="G79" s="83">
        <v>305.26799999999997</v>
      </c>
      <c r="H79" s="84">
        <v>1.8</v>
      </c>
      <c r="I79" s="83">
        <v>3118.3789999999999</v>
      </c>
      <c r="J79" s="84">
        <v>3.9</v>
      </c>
      <c r="K79" s="83">
        <v>7321.9780000000001</v>
      </c>
      <c r="L79" s="84">
        <v>-2.4</v>
      </c>
      <c r="M79" s="80"/>
      <c r="N79" s="86" t="s">
        <v>58</v>
      </c>
      <c r="O79" s="87">
        <f>MAX(C89)</f>
        <v>3.4</v>
      </c>
      <c r="P79" s="87">
        <f>MIN(C89)</f>
        <v>3.4</v>
      </c>
    </row>
    <row r="80" spans="1:16">
      <c r="A80" s="153"/>
      <c r="B80" s="156"/>
      <c r="C80" s="83">
        <v>9.5039999999999996</v>
      </c>
      <c r="D80" s="84">
        <v>-5</v>
      </c>
      <c r="E80" s="83">
        <v>28.145</v>
      </c>
      <c r="F80" s="84">
        <v>-6.2</v>
      </c>
      <c r="G80" s="83">
        <v>294.036</v>
      </c>
      <c r="H80" s="84">
        <v>-2</v>
      </c>
      <c r="I80" s="83">
        <v>3066.73</v>
      </c>
      <c r="J80" s="84">
        <v>2.2000000000000002</v>
      </c>
      <c r="K80" s="83">
        <v>7361.9740000000002</v>
      </c>
      <c r="L80" s="84">
        <v>-1.8</v>
      </c>
      <c r="M80" s="80"/>
      <c r="N80" s="6" t="s">
        <v>59</v>
      </c>
      <c r="O80" s="87">
        <f>MAX(C88)</f>
        <v>13.4</v>
      </c>
      <c r="P80" s="87">
        <f>MIN(C88)</f>
        <v>13.4</v>
      </c>
    </row>
    <row r="81" spans="1:16" ht="14.1" customHeight="1">
      <c r="A81" s="81" t="s">
        <v>136</v>
      </c>
      <c r="B81" s="150"/>
      <c r="C81" s="83">
        <v>9.0660000000000007</v>
      </c>
      <c r="D81" s="150"/>
      <c r="E81" s="83">
        <v>28.209</v>
      </c>
      <c r="F81" s="150"/>
      <c r="G81" s="83">
        <v>304.57799999999997</v>
      </c>
      <c r="H81" s="150"/>
      <c r="I81" s="83">
        <v>3133.25</v>
      </c>
      <c r="J81" s="150"/>
      <c r="K81" s="83">
        <v>7354.7969999999996</v>
      </c>
      <c r="L81" s="150"/>
      <c r="M81" s="80"/>
      <c r="N81" s="80"/>
      <c r="O81" s="80"/>
      <c r="P81" s="80"/>
    </row>
    <row r="82" spans="1:16" ht="14.1" customHeight="1">
      <c r="A82" s="81" t="s">
        <v>134</v>
      </c>
      <c r="B82" s="151"/>
      <c r="C82" s="83">
        <v>0.47499999999999998</v>
      </c>
      <c r="D82" s="151"/>
      <c r="E82" s="83">
        <v>1.0880000000000001</v>
      </c>
      <c r="F82" s="151"/>
      <c r="G82" s="83">
        <v>5.6079999999999997</v>
      </c>
      <c r="H82" s="151"/>
      <c r="I82" s="83">
        <v>55.945999999999998</v>
      </c>
      <c r="J82" s="151"/>
      <c r="K82" s="83">
        <v>48.521000000000001</v>
      </c>
      <c r="L82" s="151"/>
      <c r="M82" s="80"/>
      <c r="N82" s="80"/>
      <c r="O82" s="80"/>
      <c r="P82" s="80"/>
    </row>
    <row r="83" spans="1:16" ht="14.1" customHeight="1">
      <c r="A83" s="81" t="s">
        <v>87</v>
      </c>
      <c r="B83" s="151"/>
      <c r="C83" s="84">
        <v>5.2</v>
      </c>
      <c r="D83" s="151"/>
      <c r="E83" s="84">
        <v>3.9</v>
      </c>
      <c r="F83" s="151"/>
      <c r="G83" s="84">
        <v>1.8</v>
      </c>
      <c r="H83" s="151"/>
      <c r="I83" s="84">
        <v>1.8</v>
      </c>
      <c r="J83" s="151"/>
      <c r="K83" s="84">
        <v>0.7</v>
      </c>
      <c r="L83" s="151"/>
      <c r="M83" s="80"/>
      <c r="N83" s="80"/>
      <c r="O83" s="80"/>
      <c r="P83" s="80"/>
    </row>
    <row r="84" spans="1:16" ht="14.1" customHeight="1">
      <c r="A84" s="81" t="s">
        <v>88</v>
      </c>
      <c r="B84" s="151"/>
      <c r="C84" s="84">
        <v>-9.3000000000000007</v>
      </c>
      <c r="D84" s="151"/>
      <c r="E84" s="84">
        <v>-6</v>
      </c>
      <c r="F84" s="151"/>
      <c r="G84" s="84">
        <v>1.5</v>
      </c>
      <c r="H84" s="151"/>
      <c r="I84" s="84">
        <v>4.4000000000000004</v>
      </c>
      <c r="J84" s="151"/>
      <c r="K84" s="84">
        <v>-1.9</v>
      </c>
      <c r="L84" s="151"/>
      <c r="M84" s="80"/>
      <c r="N84" s="80"/>
      <c r="O84" s="80"/>
      <c r="P84" s="80"/>
    </row>
    <row r="85" spans="1:16" ht="14.1" customHeight="1">
      <c r="A85" s="81" t="s">
        <v>5</v>
      </c>
      <c r="B85" s="152"/>
      <c r="C85" s="85">
        <v>6</v>
      </c>
      <c r="D85" s="152"/>
      <c r="E85" s="85">
        <v>6</v>
      </c>
      <c r="F85" s="152"/>
      <c r="G85" s="85">
        <v>6</v>
      </c>
      <c r="H85" s="152"/>
      <c r="I85" s="85">
        <v>6</v>
      </c>
      <c r="J85" s="152"/>
      <c r="K85" s="85">
        <v>6</v>
      </c>
      <c r="L85" s="152"/>
      <c r="M85" s="80"/>
      <c r="N85" s="80"/>
      <c r="O85" s="80"/>
      <c r="P85" s="80"/>
    </row>
    <row r="86" spans="1:16" ht="15" customHeight="1">
      <c r="A86" s="81" t="s">
        <v>137</v>
      </c>
      <c r="B86" s="150"/>
      <c r="C86" s="83">
        <v>10.337</v>
      </c>
      <c r="D86" s="150"/>
      <c r="E86" s="83">
        <v>29.579000000000001</v>
      </c>
      <c r="F86" s="150"/>
      <c r="G86" s="83">
        <v>302.41800000000001</v>
      </c>
      <c r="H86" s="150"/>
      <c r="I86" s="83">
        <v>3066.2669999999998</v>
      </c>
      <c r="J86" s="150"/>
      <c r="K86" s="83">
        <v>7434.7510000000002</v>
      </c>
      <c r="L86" s="150"/>
      <c r="M86" s="80"/>
      <c r="N86" s="80"/>
      <c r="O86" s="80"/>
      <c r="P86" s="80"/>
    </row>
    <row r="87" spans="1:16" ht="15" customHeight="1">
      <c r="A87" s="81" t="s">
        <v>138</v>
      </c>
      <c r="B87" s="151"/>
      <c r="C87" s="83">
        <v>1.385</v>
      </c>
      <c r="D87" s="151"/>
      <c r="E87" s="83">
        <v>2.04</v>
      </c>
      <c r="F87" s="151"/>
      <c r="G87" s="83">
        <v>19.721</v>
      </c>
      <c r="H87" s="151"/>
      <c r="I87" s="83">
        <v>96.941000000000003</v>
      </c>
      <c r="J87" s="151"/>
      <c r="K87" s="83">
        <v>331.74700000000001</v>
      </c>
      <c r="L87" s="151"/>
      <c r="M87" s="80"/>
      <c r="N87" s="80"/>
      <c r="O87" s="80"/>
      <c r="P87" s="80"/>
    </row>
    <row r="88" spans="1:16" ht="15" customHeight="1">
      <c r="A88" s="81" t="s">
        <v>89</v>
      </c>
      <c r="B88" s="151"/>
      <c r="C88" s="84">
        <v>13.4</v>
      </c>
      <c r="D88" s="151"/>
      <c r="E88" s="84">
        <v>6.9</v>
      </c>
      <c r="F88" s="151"/>
      <c r="G88" s="84">
        <v>6.5</v>
      </c>
      <c r="H88" s="151"/>
      <c r="I88" s="84">
        <v>3.2</v>
      </c>
      <c r="J88" s="151"/>
      <c r="K88" s="84">
        <v>4.5</v>
      </c>
      <c r="L88" s="151"/>
      <c r="M88" s="80"/>
      <c r="N88" s="80"/>
      <c r="O88" s="80"/>
      <c r="P88" s="80"/>
    </row>
    <row r="89" spans="1:16" ht="15" customHeight="1">
      <c r="A89" s="81" t="s">
        <v>90</v>
      </c>
      <c r="B89" s="151"/>
      <c r="C89" s="84">
        <v>3.4</v>
      </c>
      <c r="D89" s="151"/>
      <c r="E89" s="84">
        <v>-1.4</v>
      </c>
      <c r="F89" s="151"/>
      <c r="G89" s="84">
        <v>0.8</v>
      </c>
      <c r="H89" s="151"/>
      <c r="I89" s="84">
        <v>2.2000000000000002</v>
      </c>
      <c r="J89" s="151"/>
      <c r="K89" s="84">
        <v>-0.9</v>
      </c>
      <c r="L89" s="151"/>
      <c r="M89" s="80"/>
      <c r="N89" s="80"/>
      <c r="O89" s="80"/>
      <c r="P89" s="80"/>
    </row>
    <row r="90" spans="1:16" ht="15" customHeight="1">
      <c r="A90" s="81" t="s">
        <v>5</v>
      </c>
      <c r="B90" s="152"/>
      <c r="C90" s="85">
        <v>18</v>
      </c>
      <c r="D90" s="152"/>
      <c r="E90" s="85">
        <v>18</v>
      </c>
      <c r="F90" s="152"/>
      <c r="G90" s="85">
        <v>18</v>
      </c>
      <c r="H90" s="152"/>
      <c r="I90" s="85">
        <v>18</v>
      </c>
      <c r="J90" s="152"/>
      <c r="K90" s="85">
        <v>18</v>
      </c>
      <c r="L90" s="152"/>
      <c r="M90" s="80"/>
      <c r="N90" s="80"/>
      <c r="O90" s="80"/>
      <c r="P90" s="80"/>
    </row>
    <row r="91" spans="1:16" ht="13.5" customHeight="1">
      <c r="A91" s="159" t="s">
        <v>94</v>
      </c>
      <c r="B91" s="160"/>
      <c r="C91" s="160"/>
      <c r="D91" s="160"/>
      <c r="E91" s="160"/>
      <c r="F91" s="160"/>
      <c r="G91" s="160"/>
      <c r="H91" s="160"/>
      <c r="I91" s="160"/>
      <c r="J91" s="160"/>
      <c r="K91" s="160"/>
      <c r="L91" s="160"/>
      <c r="M91" s="80"/>
      <c r="N91" s="80"/>
      <c r="O91" s="80"/>
      <c r="P91" s="80"/>
    </row>
    <row r="92" spans="1:16" s="5" customFormat="1">
      <c r="A92" s="88"/>
    </row>
    <row r="93" spans="1:16">
      <c r="A93" s="166" t="s">
        <v>81</v>
      </c>
      <c r="B93" s="117"/>
      <c r="C93" s="117"/>
      <c r="D93" s="117"/>
      <c r="E93" s="117"/>
    </row>
    <row r="94" spans="1:16">
      <c r="M94" s="80"/>
      <c r="N94" s="86"/>
      <c r="O94" s="87"/>
      <c r="P94" s="87"/>
    </row>
    <row r="95" spans="1:16">
      <c r="A95" s="166"/>
      <c r="B95" s="117"/>
      <c r="C95" s="117"/>
      <c r="D95" s="117"/>
      <c r="E95" s="117"/>
      <c r="M95" s="80"/>
      <c r="O95" s="87"/>
      <c r="P95" s="87"/>
    </row>
    <row r="96" spans="1:16">
      <c r="A96" s="108" t="s">
        <v>99</v>
      </c>
      <c r="M96" s="80"/>
    </row>
    <row r="97" spans="1:16">
      <c r="A97" s="157" t="s">
        <v>11</v>
      </c>
      <c r="B97" s="157" t="s">
        <v>9</v>
      </c>
      <c r="C97" s="78" t="s">
        <v>0</v>
      </c>
      <c r="D97" s="157" t="s">
        <v>42</v>
      </c>
      <c r="E97" s="81" t="s">
        <v>3</v>
      </c>
      <c r="F97" s="157" t="s">
        <v>42</v>
      </c>
      <c r="G97" s="81" t="s">
        <v>61</v>
      </c>
      <c r="H97" s="157" t="s">
        <v>42</v>
      </c>
      <c r="I97" s="81" t="s">
        <v>62</v>
      </c>
      <c r="J97" s="157" t="s">
        <v>42</v>
      </c>
      <c r="K97" s="81" t="s">
        <v>1</v>
      </c>
      <c r="L97" s="157" t="s">
        <v>42</v>
      </c>
      <c r="M97" s="80"/>
      <c r="N97" s="86"/>
    </row>
    <row r="98" spans="1:16">
      <c r="A98" s="157"/>
      <c r="B98" s="157"/>
      <c r="C98" s="82">
        <v>10</v>
      </c>
      <c r="D98" s="157"/>
      <c r="E98" s="82">
        <v>30</v>
      </c>
      <c r="F98" s="157"/>
      <c r="G98" s="82">
        <v>300</v>
      </c>
      <c r="H98" s="157"/>
      <c r="I98" s="82">
        <v>3000</v>
      </c>
      <c r="J98" s="157"/>
      <c r="K98" s="82">
        <v>7500</v>
      </c>
      <c r="L98" s="157"/>
      <c r="M98" s="80"/>
      <c r="N98" s="86"/>
      <c r="O98" s="87"/>
      <c r="P98" s="87"/>
    </row>
    <row r="99" spans="1:16">
      <c r="A99" s="157"/>
      <c r="B99" s="157"/>
      <c r="C99" s="79" t="s">
        <v>6</v>
      </c>
      <c r="D99" s="157"/>
      <c r="E99" s="79" t="s">
        <v>6</v>
      </c>
      <c r="F99" s="157"/>
      <c r="G99" s="79" t="s">
        <v>6</v>
      </c>
      <c r="H99" s="157"/>
      <c r="I99" s="79" t="s">
        <v>6</v>
      </c>
      <c r="J99" s="157"/>
      <c r="K99" s="79" t="s">
        <v>6</v>
      </c>
      <c r="L99" s="157"/>
      <c r="M99" s="80"/>
      <c r="O99" s="87"/>
      <c r="P99" s="87"/>
    </row>
    <row r="100" spans="1:16">
      <c r="A100" s="153">
        <v>45799</v>
      </c>
      <c r="B100" s="161">
        <v>1</v>
      </c>
      <c r="C100" s="83">
        <v>9.3659999999999997</v>
      </c>
      <c r="D100" s="84">
        <v>-6.3</v>
      </c>
      <c r="E100" s="83">
        <v>29.584</v>
      </c>
      <c r="F100" s="84">
        <v>-1.4</v>
      </c>
      <c r="G100" s="83">
        <v>277.96100000000001</v>
      </c>
      <c r="H100" s="84">
        <v>-7.3</v>
      </c>
      <c r="I100" s="83">
        <v>3142.6179999999999</v>
      </c>
      <c r="J100" s="84">
        <v>4.8</v>
      </c>
      <c r="K100" s="83">
        <v>7588.2250000000004</v>
      </c>
      <c r="L100" s="84">
        <v>1.2</v>
      </c>
      <c r="M100" s="80"/>
    </row>
    <row r="101" spans="1:16">
      <c r="A101" s="153"/>
      <c r="B101" s="162"/>
      <c r="C101" s="83" t="s">
        <v>143</v>
      </c>
      <c r="D101" s="84">
        <v>152.5</v>
      </c>
      <c r="E101" s="83">
        <v>28.632999999999999</v>
      </c>
      <c r="F101" s="84">
        <v>-4.5999999999999996</v>
      </c>
      <c r="G101" s="83">
        <v>299.7</v>
      </c>
      <c r="H101" s="84">
        <v>-0.1</v>
      </c>
      <c r="I101" s="83">
        <v>3075.3710000000001</v>
      </c>
      <c r="J101" s="84">
        <v>2.5</v>
      </c>
      <c r="K101" s="83">
        <v>7649.058</v>
      </c>
      <c r="L101" s="84">
        <v>2</v>
      </c>
      <c r="M101" s="80"/>
      <c r="N101" s="86"/>
    </row>
    <row r="102" spans="1:16">
      <c r="A102" s="153"/>
      <c r="B102" s="162"/>
      <c r="C102" s="83" t="s">
        <v>144</v>
      </c>
      <c r="D102" s="84">
        <v>18.399999999999999</v>
      </c>
      <c r="E102" s="83">
        <v>29.76</v>
      </c>
      <c r="F102" s="84">
        <v>-0.8</v>
      </c>
      <c r="G102" s="83">
        <v>308.25299999999999</v>
      </c>
      <c r="H102" s="84">
        <v>2.8</v>
      </c>
      <c r="I102" s="83">
        <v>3033.3890000000001</v>
      </c>
      <c r="J102" s="84">
        <v>1.1000000000000001</v>
      </c>
      <c r="K102" s="83">
        <v>7842.6629999999996</v>
      </c>
      <c r="L102" s="84">
        <v>4.5999999999999996</v>
      </c>
      <c r="M102" s="80"/>
      <c r="N102" s="86"/>
      <c r="O102" s="87"/>
      <c r="P102" s="87"/>
    </row>
    <row r="103" spans="1:16">
      <c r="A103" s="153"/>
      <c r="B103" s="162"/>
      <c r="C103" s="83">
        <v>9.5169999999999995</v>
      </c>
      <c r="D103" s="84">
        <v>-4.8</v>
      </c>
      <c r="E103" s="83" t="s">
        <v>145</v>
      </c>
      <c r="F103" s="84">
        <v>-17.600000000000001</v>
      </c>
      <c r="G103" s="83">
        <v>282.214</v>
      </c>
      <c r="H103" s="84">
        <v>-5.9</v>
      </c>
      <c r="I103" s="83">
        <v>3114.616</v>
      </c>
      <c r="J103" s="84">
        <v>3.8</v>
      </c>
      <c r="K103" s="83">
        <v>7605.9080000000004</v>
      </c>
      <c r="L103" s="84">
        <v>1.4</v>
      </c>
      <c r="M103" s="80"/>
      <c r="O103" s="87"/>
      <c r="P103" s="87"/>
    </row>
    <row r="104" spans="1:16">
      <c r="A104" s="153"/>
      <c r="B104" s="162"/>
      <c r="C104" s="83">
        <v>9.1790000000000003</v>
      </c>
      <c r="D104" s="84">
        <v>-8.1999999999999993</v>
      </c>
      <c r="E104" s="83">
        <v>31.105</v>
      </c>
      <c r="F104" s="84">
        <v>3.7</v>
      </c>
      <c r="G104" s="83">
        <v>297.10899999999998</v>
      </c>
      <c r="H104" s="84">
        <v>-1</v>
      </c>
      <c r="I104" s="83">
        <v>3065.6030000000001</v>
      </c>
      <c r="J104" s="84">
        <v>2.2000000000000002</v>
      </c>
      <c r="K104" s="83">
        <v>7737.4629999999997</v>
      </c>
      <c r="L104" s="84">
        <v>3.2</v>
      </c>
      <c r="M104" s="80"/>
    </row>
    <row r="105" spans="1:16">
      <c r="A105" s="153"/>
      <c r="B105" s="163"/>
      <c r="C105" s="83" t="s">
        <v>146</v>
      </c>
      <c r="D105" s="84">
        <v>-29</v>
      </c>
      <c r="E105" s="83">
        <v>30.311</v>
      </c>
      <c r="F105" s="84">
        <v>1</v>
      </c>
      <c r="G105" s="83">
        <v>296.80200000000002</v>
      </c>
      <c r="H105" s="84">
        <v>-1.1000000000000001</v>
      </c>
      <c r="I105" s="83">
        <v>3144.5610000000001</v>
      </c>
      <c r="J105" s="84">
        <v>4.8</v>
      </c>
      <c r="K105" s="83">
        <v>7769.0379999999996</v>
      </c>
      <c r="L105" s="84">
        <v>3.6</v>
      </c>
      <c r="M105" s="80"/>
      <c r="N105" s="86"/>
    </row>
    <row r="106" spans="1:16">
      <c r="A106" s="81" t="s">
        <v>133</v>
      </c>
      <c r="B106" s="150"/>
      <c r="C106" s="83">
        <v>12.042</v>
      </c>
      <c r="D106" s="150"/>
      <c r="E106" s="83">
        <v>29.02</v>
      </c>
      <c r="F106" s="150"/>
      <c r="G106" s="83">
        <v>293.673</v>
      </c>
      <c r="H106" s="150"/>
      <c r="I106" s="83">
        <v>3096.0259999999998</v>
      </c>
      <c r="J106" s="150"/>
      <c r="K106" s="83">
        <v>7698.7259999999997</v>
      </c>
      <c r="L106" s="150"/>
      <c r="M106" s="80"/>
      <c r="N106" s="86"/>
      <c r="O106" s="87"/>
      <c r="P106" s="87"/>
    </row>
    <row r="107" spans="1:16">
      <c r="A107" s="81" t="s">
        <v>134</v>
      </c>
      <c r="B107" s="151"/>
      <c r="C107" s="83">
        <v>6.6420000000000003</v>
      </c>
      <c r="D107" s="151"/>
      <c r="E107" s="83">
        <v>2.2559999999999998</v>
      </c>
      <c r="F107" s="151"/>
      <c r="G107" s="83">
        <v>11.39</v>
      </c>
      <c r="H107" s="151"/>
      <c r="I107" s="83">
        <v>45.05</v>
      </c>
      <c r="J107" s="151"/>
      <c r="K107" s="83">
        <v>100.45399999999999</v>
      </c>
      <c r="L107" s="151"/>
      <c r="M107" s="80"/>
      <c r="O107" s="87"/>
      <c r="P107" s="87"/>
    </row>
    <row r="108" spans="1:16">
      <c r="A108" s="81" t="s">
        <v>44</v>
      </c>
      <c r="B108" s="151"/>
      <c r="C108" s="84">
        <v>55.2</v>
      </c>
      <c r="D108" s="151"/>
      <c r="E108" s="84">
        <v>7.8</v>
      </c>
      <c r="F108" s="151"/>
      <c r="G108" s="84">
        <v>3.9</v>
      </c>
      <c r="H108" s="151"/>
      <c r="I108" s="84">
        <v>1.5</v>
      </c>
      <c r="J108" s="151"/>
      <c r="K108" s="84">
        <v>1.3</v>
      </c>
      <c r="L108" s="151"/>
      <c r="M108" s="80"/>
      <c r="N108" s="80"/>
      <c r="O108" s="80"/>
      <c r="P108" s="80"/>
    </row>
    <row r="109" spans="1:16">
      <c r="A109" s="81" t="s">
        <v>45</v>
      </c>
      <c r="B109" s="151"/>
      <c r="C109" s="84">
        <v>20.399999999999999</v>
      </c>
      <c r="D109" s="151"/>
      <c r="E109" s="84">
        <v>-3.3</v>
      </c>
      <c r="F109" s="151"/>
      <c r="G109" s="84">
        <v>-2.1</v>
      </c>
      <c r="H109" s="151"/>
      <c r="I109" s="84">
        <v>3.2</v>
      </c>
      <c r="J109" s="151"/>
      <c r="K109" s="84">
        <v>2.6</v>
      </c>
      <c r="L109" s="151"/>
      <c r="M109" s="80"/>
      <c r="N109" s="80"/>
      <c r="O109" s="80"/>
      <c r="P109" s="80"/>
    </row>
    <row r="110" spans="1:16">
      <c r="A110" s="81" t="s">
        <v>5</v>
      </c>
      <c r="B110" s="152"/>
      <c r="C110" s="85">
        <v>6</v>
      </c>
      <c r="D110" s="152"/>
      <c r="E110" s="85">
        <v>6</v>
      </c>
      <c r="F110" s="152"/>
      <c r="G110" s="85">
        <v>6</v>
      </c>
      <c r="H110" s="152"/>
      <c r="I110" s="85">
        <v>6</v>
      </c>
      <c r="J110" s="152"/>
      <c r="K110" s="85">
        <v>6</v>
      </c>
      <c r="L110" s="152"/>
      <c r="M110" s="80"/>
      <c r="N110" s="80"/>
      <c r="O110" s="80"/>
      <c r="P110" s="80"/>
    </row>
    <row r="111" spans="1:16">
      <c r="A111" s="159" t="s">
        <v>94</v>
      </c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  <c r="M111" s="80"/>
      <c r="N111" s="80"/>
      <c r="O111" s="80"/>
      <c r="P111" s="80"/>
    </row>
    <row r="112" spans="1:16">
      <c r="A112" s="88" t="s">
        <v>139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80"/>
      <c r="N112" s="80"/>
      <c r="O112" s="80"/>
      <c r="P112" s="80"/>
    </row>
    <row r="113" spans="3:16">
      <c r="M113" s="80"/>
      <c r="N113" s="80"/>
      <c r="O113" s="80"/>
      <c r="P113" s="80"/>
    </row>
    <row r="114" spans="3:16" ht="14.25">
      <c r="C114"/>
      <c r="D114"/>
      <c r="E114"/>
      <c r="F114"/>
      <c r="G114"/>
      <c r="H114"/>
      <c r="I114"/>
      <c r="J114"/>
      <c r="K114"/>
      <c r="L114"/>
      <c r="M114" s="80"/>
      <c r="N114" s="80"/>
      <c r="O114" s="80"/>
      <c r="P114" s="80"/>
    </row>
    <row r="115" spans="3:16" ht="14.25">
      <c r="C115"/>
      <c r="D115"/>
      <c r="E115"/>
      <c r="F115"/>
      <c r="G115"/>
      <c r="H115"/>
      <c r="I115"/>
      <c r="J115"/>
      <c r="K115"/>
      <c r="L115"/>
      <c r="M115" s="80"/>
      <c r="N115" s="80"/>
      <c r="O115" s="80"/>
      <c r="P115" s="80"/>
    </row>
    <row r="116" spans="3:16" ht="14.25">
      <c r="C116"/>
      <c r="D116"/>
      <c r="E116"/>
      <c r="F116"/>
      <c r="G116"/>
      <c r="H116"/>
      <c r="I116"/>
      <c r="J116"/>
      <c r="K116"/>
      <c r="L116"/>
      <c r="M116" s="80"/>
      <c r="N116" s="80"/>
      <c r="O116" s="80"/>
      <c r="P116" s="80"/>
    </row>
    <row r="117" spans="3:16" ht="14.25">
      <c r="C117"/>
      <c r="D117"/>
      <c r="E117"/>
      <c r="F117"/>
      <c r="G117"/>
      <c r="H117"/>
      <c r="I117"/>
      <c r="J117"/>
      <c r="K117"/>
      <c r="L117"/>
    </row>
    <row r="118" spans="3:16" ht="14.25">
      <c r="C118" s="60"/>
      <c r="D118"/>
      <c r="E118" s="60"/>
      <c r="F118"/>
      <c r="G118" s="60"/>
      <c r="H118"/>
      <c r="I118" s="60"/>
      <c r="J118"/>
      <c r="K118" s="60"/>
      <c r="L118"/>
    </row>
    <row r="119" spans="3:16" ht="14.25">
      <c r="C119"/>
      <c r="D119"/>
      <c r="E119"/>
      <c r="F119"/>
      <c r="G119"/>
      <c r="H119"/>
      <c r="I119"/>
      <c r="J119"/>
      <c r="K119"/>
      <c r="L119"/>
    </row>
  </sheetData>
  <mergeCells count="97">
    <mergeCell ref="F106:F110"/>
    <mergeCell ref="H106:H110"/>
    <mergeCell ref="J106:J110"/>
    <mergeCell ref="L106:L110"/>
    <mergeCell ref="A95:E95"/>
    <mergeCell ref="A97:A99"/>
    <mergeCell ref="B97:B99"/>
    <mergeCell ref="D97:D99"/>
    <mergeCell ref="F97:F99"/>
    <mergeCell ref="A111:L111"/>
    <mergeCell ref="A100:A105"/>
    <mergeCell ref="B100:B105"/>
    <mergeCell ref="A93:E93"/>
    <mergeCell ref="F86:F90"/>
    <mergeCell ref="H86:H90"/>
    <mergeCell ref="A91:L91"/>
    <mergeCell ref="L86:L90"/>
    <mergeCell ref="B86:B90"/>
    <mergeCell ref="D86:D90"/>
    <mergeCell ref="J86:J90"/>
    <mergeCell ref="H97:H99"/>
    <mergeCell ref="J97:J99"/>
    <mergeCell ref="L97:L99"/>
    <mergeCell ref="B106:B110"/>
    <mergeCell ref="D106:D110"/>
    <mergeCell ref="A2:E2"/>
    <mergeCell ref="A4:E4"/>
    <mergeCell ref="B15:B19"/>
    <mergeCell ref="A6:A8"/>
    <mergeCell ref="B6:B8"/>
    <mergeCell ref="D6:D8"/>
    <mergeCell ref="D15:D19"/>
    <mergeCell ref="A53:A58"/>
    <mergeCell ref="B53:B58"/>
    <mergeCell ref="B37:B41"/>
    <mergeCell ref="B26:B30"/>
    <mergeCell ref="A9:A14"/>
    <mergeCell ref="B9:B14"/>
    <mergeCell ref="A31:A36"/>
    <mergeCell ref="B31:B36"/>
    <mergeCell ref="A20:A25"/>
    <mergeCell ref="A50:A52"/>
    <mergeCell ref="B50:B52"/>
    <mergeCell ref="J15:J19"/>
    <mergeCell ref="J42:J46"/>
    <mergeCell ref="H81:H85"/>
    <mergeCell ref="J81:J85"/>
    <mergeCell ref="H70:H74"/>
    <mergeCell ref="J70:J74"/>
    <mergeCell ref="B75:B80"/>
    <mergeCell ref="B81:B85"/>
    <mergeCell ref="D81:D85"/>
    <mergeCell ref="F81:F85"/>
    <mergeCell ref="L6:L8"/>
    <mergeCell ref="L15:L19"/>
    <mergeCell ref="L26:L30"/>
    <mergeCell ref="L37:L41"/>
    <mergeCell ref="L42:L46"/>
    <mergeCell ref="A47:L47"/>
    <mergeCell ref="J26:J30"/>
    <mergeCell ref="L50:L52"/>
    <mergeCell ref="J50:J52"/>
    <mergeCell ref="H6:H8"/>
    <mergeCell ref="H26:H30"/>
    <mergeCell ref="F6:F8"/>
    <mergeCell ref="D50:D52"/>
    <mergeCell ref="A49:E49"/>
    <mergeCell ref="D42:D46"/>
    <mergeCell ref="J6:J8"/>
    <mergeCell ref="L70:L74"/>
    <mergeCell ref="L59:L63"/>
    <mergeCell ref="B59:B63"/>
    <mergeCell ref="D59:D63"/>
    <mergeCell ref="F59:F63"/>
    <mergeCell ref="J37:J41"/>
    <mergeCell ref="F37:F41"/>
    <mergeCell ref="H37:H41"/>
    <mergeCell ref="F15:F19"/>
    <mergeCell ref="H15:H19"/>
    <mergeCell ref="B20:B25"/>
    <mergeCell ref="D37:D41"/>
    <mergeCell ref="L81:L85"/>
    <mergeCell ref="F26:F30"/>
    <mergeCell ref="D26:D30"/>
    <mergeCell ref="A64:A69"/>
    <mergeCell ref="B64:B69"/>
    <mergeCell ref="B70:B74"/>
    <mergeCell ref="D70:D74"/>
    <mergeCell ref="F70:F74"/>
    <mergeCell ref="B42:B46"/>
    <mergeCell ref="A75:A80"/>
    <mergeCell ref="H42:H46"/>
    <mergeCell ref="F50:F52"/>
    <mergeCell ref="H50:H52"/>
    <mergeCell ref="F42:F46"/>
    <mergeCell ref="H59:H63"/>
    <mergeCell ref="J59:J63"/>
  </mergeCells>
  <phoneticPr fontId="6" type="noConversion"/>
  <printOptions headings="1" gridLines="1"/>
  <pageMargins left="0.70866141732283472" right="0.70866141732283472" top="0.74803149606299213" bottom="0.74803149606299213" header="0.31496062992125984" footer="0.31496062992125984"/>
  <pageSetup scale="46" orientation="portrait" r:id="rId1"/>
  <headerFooter>
    <oddHeader>&amp;C 1632MV7生物分析方法学验证数据</oddHeader>
    <oddFooter>&amp;C第&amp;P页，共&amp;N页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AC46"/>
  <sheetViews>
    <sheetView view="pageBreakPreview" zoomScaleNormal="100" zoomScaleSheetLayoutView="100" workbookViewId="0">
      <selection activeCell="A98" sqref="A98:A103"/>
    </sheetView>
  </sheetViews>
  <sheetFormatPr defaultColWidth="8.875" defaultRowHeight="15.75" customHeight="1"/>
  <cols>
    <col min="1" max="1" width="13.625" style="17" customWidth="1"/>
    <col min="2" max="2" width="13.5" style="17" customWidth="1"/>
    <col min="3" max="3" width="17.875" style="17" customWidth="1"/>
    <col min="4" max="4" width="13.5" style="40" customWidth="1"/>
    <col min="5" max="5" width="13.125" style="17" customWidth="1"/>
    <col min="6" max="6" width="13.5" style="17" customWidth="1"/>
    <col min="7" max="7" width="14.625" style="40" customWidth="1"/>
    <col min="8" max="9" width="13.875" style="17" customWidth="1"/>
    <col min="10" max="10" width="12" style="40" customWidth="1"/>
    <col min="11" max="11" width="9.625" style="17" customWidth="1"/>
    <col min="12" max="12" width="8.5" style="17" customWidth="1"/>
    <col min="13" max="13" width="10.125" style="17" customWidth="1"/>
    <col min="14" max="14" width="12" style="17" customWidth="1"/>
    <col min="15" max="15" width="13.375" style="17" customWidth="1"/>
    <col min="16" max="16384" width="8.875" style="17"/>
  </cols>
  <sheetData>
    <row r="2" spans="1:29" ht="15.75" customHeight="1">
      <c r="A2" s="17" t="s">
        <v>194</v>
      </c>
    </row>
    <row r="4" spans="1:29" ht="15.75" customHeight="1">
      <c r="A4" s="5" t="s">
        <v>97</v>
      </c>
    </row>
    <row r="5" spans="1:29" ht="15.75" customHeight="1">
      <c r="A5" s="175" t="s">
        <v>195</v>
      </c>
      <c r="B5" s="176"/>
      <c r="C5" s="176"/>
      <c r="D5" s="176"/>
      <c r="E5" s="176"/>
      <c r="F5" s="176"/>
      <c r="G5" s="176"/>
      <c r="H5" s="176"/>
      <c r="I5" s="176"/>
      <c r="J5" s="177"/>
    </row>
    <row r="6" spans="1:29" ht="15.75" customHeight="1">
      <c r="A6" s="178"/>
      <c r="B6" s="179" t="s">
        <v>3</v>
      </c>
      <c r="C6" s="179"/>
      <c r="D6" s="179"/>
      <c r="E6" s="180" t="s">
        <v>2</v>
      </c>
      <c r="F6" s="181"/>
      <c r="G6" s="182"/>
      <c r="H6" s="180" t="s">
        <v>1</v>
      </c>
      <c r="I6" s="181"/>
      <c r="J6" s="182"/>
    </row>
    <row r="7" spans="1:29" ht="29.45" customHeight="1">
      <c r="A7" s="178"/>
      <c r="B7" s="33" t="s">
        <v>196</v>
      </c>
      <c r="C7" s="33" t="s">
        <v>76</v>
      </c>
      <c r="D7" s="41" t="s">
        <v>43</v>
      </c>
      <c r="E7" s="33" t="s">
        <v>77</v>
      </c>
      <c r="F7" s="33" t="s">
        <v>76</v>
      </c>
      <c r="G7" s="41" t="s">
        <v>43</v>
      </c>
      <c r="H7" s="32" t="s">
        <v>78</v>
      </c>
      <c r="I7" s="32" t="s">
        <v>79</v>
      </c>
      <c r="J7" s="41" t="s">
        <v>43</v>
      </c>
    </row>
    <row r="8" spans="1:29" ht="15.75" customHeight="1">
      <c r="A8" s="32">
        <v>1</v>
      </c>
      <c r="B8" s="56">
        <v>7.404E-3</v>
      </c>
      <c r="C8" s="56">
        <v>8.0510000000000009E-3</v>
      </c>
      <c r="D8" s="57">
        <f>ROUND(B8/C14*100,1)</f>
        <v>92.2</v>
      </c>
      <c r="E8" s="56">
        <v>0.67447199999999996</v>
      </c>
      <c r="F8" s="56">
        <v>0.78921300000000005</v>
      </c>
      <c r="G8" s="57">
        <f>ROUND(E8/F14*100,1)</f>
        <v>85.4</v>
      </c>
      <c r="H8" s="56">
        <v>1.5634600000000001</v>
      </c>
      <c r="I8" s="56">
        <v>1.766419</v>
      </c>
      <c r="J8" s="57">
        <f>ROUND(H8/I14*100,1)</f>
        <v>87.5</v>
      </c>
      <c r="K8" s="4"/>
      <c r="L8" s="4"/>
      <c r="M8" s="4">
        <f>ROUND(B8/C$14*100,1)</f>
        <v>92.2</v>
      </c>
      <c r="N8" s="4"/>
      <c r="O8" s="4"/>
      <c r="P8" s="4">
        <f>ROUND(E8/F$14*100,1)</f>
        <v>85.4</v>
      </c>
      <c r="Q8" s="4"/>
      <c r="R8" s="4"/>
      <c r="S8" s="4">
        <f>ROUND(H8/I$14*100,1)</f>
        <v>87.5</v>
      </c>
      <c r="U8" s="111">
        <f>B14-K14</f>
        <v>0</v>
      </c>
      <c r="V8" s="111">
        <f>C14-L14</f>
        <v>0</v>
      </c>
      <c r="W8" s="109">
        <f t="shared" ref="W8:W16" si="0">D8-M8</f>
        <v>0</v>
      </c>
      <c r="X8" s="111">
        <f>E14-N14</f>
        <v>0</v>
      </c>
      <c r="Y8" s="111">
        <f>F14-O14</f>
        <v>0</v>
      </c>
      <c r="Z8" s="109">
        <f t="shared" ref="Z8:Z16" si="1">G8-P8</f>
        <v>0</v>
      </c>
      <c r="AA8" s="111">
        <f>H14-Q14</f>
        <v>0</v>
      </c>
      <c r="AB8" s="111">
        <f>I14-R14</f>
        <v>0</v>
      </c>
      <c r="AC8" s="109">
        <f t="shared" ref="AC8:AC16" si="2">J8-S8</f>
        <v>0</v>
      </c>
    </row>
    <row r="9" spans="1:29" ht="15.75" customHeight="1">
      <c r="A9" s="32">
        <v>2</v>
      </c>
      <c r="B9" s="56">
        <v>6.764E-3</v>
      </c>
      <c r="C9" s="56">
        <v>7.7980000000000002E-3</v>
      </c>
      <c r="D9" s="57">
        <f>ROUND(B9/C14*100,1)</f>
        <v>84.2</v>
      </c>
      <c r="E9" s="56">
        <v>0.66328399999999998</v>
      </c>
      <c r="F9" s="56">
        <v>0.78948499999999999</v>
      </c>
      <c r="G9" s="57">
        <f>ROUND(E9/F14*100,1)</f>
        <v>84</v>
      </c>
      <c r="H9" s="56">
        <v>1.609702</v>
      </c>
      <c r="I9" s="56">
        <v>1.795388</v>
      </c>
      <c r="J9" s="57">
        <f>ROUND(H9/I14*100,1)</f>
        <v>90.1</v>
      </c>
      <c r="K9" s="4"/>
      <c r="L9" s="4"/>
      <c r="M9" s="4">
        <f t="shared" ref="M9:M13" si="3">ROUND(B9/C$14*100,1)</f>
        <v>84.2</v>
      </c>
      <c r="N9" s="4"/>
      <c r="O9" s="4"/>
      <c r="P9" s="4">
        <f t="shared" ref="P9:P13" si="4">ROUND(E9/F$14*100,1)</f>
        <v>84</v>
      </c>
      <c r="Q9" s="4"/>
      <c r="R9" s="4"/>
      <c r="S9" s="4">
        <f t="shared" ref="S9:S13" si="5">ROUND(H9/I$14*100,1)</f>
        <v>90.1</v>
      </c>
      <c r="U9" s="4"/>
      <c r="V9" s="4"/>
      <c r="W9" s="109">
        <f t="shared" si="0"/>
        <v>0</v>
      </c>
      <c r="X9" s="4"/>
      <c r="Y9" s="4"/>
      <c r="Z9" s="109">
        <f t="shared" si="1"/>
        <v>0</v>
      </c>
      <c r="AA9" s="4"/>
      <c r="AB9" s="4"/>
      <c r="AC9" s="109">
        <f t="shared" si="2"/>
        <v>0</v>
      </c>
    </row>
    <row r="10" spans="1:29" ht="15.75" customHeight="1">
      <c r="A10" s="32">
        <v>3</v>
      </c>
      <c r="B10" s="56">
        <v>6.7270000000000003E-3</v>
      </c>
      <c r="C10" s="56">
        <v>7.646E-3</v>
      </c>
      <c r="D10" s="57">
        <f>ROUND(B10/C14*100,1)</f>
        <v>83.7</v>
      </c>
      <c r="E10" s="56">
        <v>0.709399</v>
      </c>
      <c r="F10" s="56">
        <v>0.76772600000000002</v>
      </c>
      <c r="G10" s="57">
        <f>ROUND(E10/F14*100,1)</f>
        <v>89.8</v>
      </c>
      <c r="H10" s="56">
        <v>1.560562</v>
      </c>
      <c r="I10" s="56">
        <v>1.7639320000000001</v>
      </c>
      <c r="J10" s="57">
        <f>ROUND(H10/I14*100,1)</f>
        <v>87.3</v>
      </c>
      <c r="K10" s="4"/>
      <c r="L10" s="4"/>
      <c r="M10" s="4">
        <f t="shared" si="3"/>
        <v>83.7</v>
      </c>
      <c r="N10" s="4"/>
      <c r="O10" s="4"/>
      <c r="P10" s="4">
        <f t="shared" si="4"/>
        <v>89.8</v>
      </c>
      <c r="Q10" s="4"/>
      <c r="R10" s="4"/>
      <c r="S10" s="4">
        <f t="shared" si="5"/>
        <v>87.3</v>
      </c>
      <c r="U10" s="4"/>
      <c r="V10" s="4"/>
      <c r="W10" s="109">
        <f t="shared" si="0"/>
        <v>0</v>
      </c>
      <c r="X10" s="4"/>
      <c r="Y10" s="4"/>
      <c r="Z10" s="109">
        <f t="shared" si="1"/>
        <v>0</v>
      </c>
      <c r="AA10" s="4"/>
      <c r="AB10" s="4"/>
      <c r="AC10" s="109">
        <f t="shared" si="2"/>
        <v>0</v>
      </c>
    </row>
    <row r="11" spans="1:29" ht="15.75" customHeight="1">
      <c r="A11" s="32">
        <v>4</v>
      </c>
      <c r="B11" s="56">
        <v>7.0559999999999998E-3</v>
      </c>
      <c r="C11" s="56">
        <v>7.9710000000000007E-3</v>
      </c>
      <c r="D11" s="57">
        <f>ROUND(B11/C14*100,1)</f>
        <v>87.8</v>
      </c>
      <c r="E11" s="56">
        <v>0.67994299999999996</v>
      </c>
      <c r="F11" s="56">
        <v>0.788103</v>
      </c>
      <c r="G11" s="57">
        <f>ROUND(E11/F14*100,1)</f>
        <v>86.1</v>
      </c>
      <c r="H11" s="56">
        <v>1.5408200000000001</v>
      </c>
      <c r="I11" s="56">
        <v>1.7987679999999999</v>
      </c>
      <c r="J11" s="57">
        <f>ROUND(H11/I14*100,1)</f>
        <v>86.2</v>
      </c>
      <c r="K11" s="4"/>
      <c r="L11" s="4"/>
      <c r="M11" s="4">
        <f t="shared" si="3"/>
        <v>87.8</v>
      </c>
      <c r="N11" s="4"/>
      <c r="O11" s="4"/>
      <c r="P11" s="4">
        <f t="shared" si="4"/>
        <v>86.1</v>
      </c>
      <c r="Q11" s="4"/>
      <c r="R11" s="4"/>
      <c r="S11" s="4">
        <f t="shared" si="5"/>
        <v>86.2</v>
      </c>
      <c r="U11" s="4"/>
      <c r="V11" s="4"/>
      <c r="W11" s="109">
        <f t="shared" si="0"/>
        <v>0</v>
      </c>
      <c r="X11" s="4"/>
      <c r="Y11" s="4"/>
      <c r="Z11" s="109">
        <f t="shared" si="1"/>
        <v>0</v>
      </c>
      <c r="AA11" s="4"/>
      <c r="AB11" s="4"/>
      <c r="AC11" s="109">
        <f t="shared" si="2"/>
        <v>0</v>
      </c>
    </row>
    <row r="12" spans="1:29" ht="15.75" customHeight="1">
      <c r="A12" s="32">
        <v>5</v>
      </c>
      <c r="B12" s="56">
        <v>6.9519999999999998E-3</v>
      </c>
      <c r="C12" s="56">
        <v>8.5290000000000001E-3</v>
      </c>
      <c r="D12" s="57">
        <f>ROUND(B12/C14*100,1)</f>
        <v>86.5</v>
      </c>
      <c r="E12" s="56">
        <v>0.68500700000000003</v>
      </c>
      <c r="F12" s="56">
        <v>0.80973099999999998</v>
      </c>
      <c r="G12" s="57">
        <f>ROUND(E12/F14*100,1)</f>
        <v>86.7</v>
      </c>
      <c r="H12" s="56">
        <v>1.5220199999999999</v>
      </c>
      <c r="I12" s="56">
        <v>1.79162</v>
      </c>
      <c r="J12" s="57">
        <f>ROUND(H12/I14*100,1)</f>
        <v>85.2</v>
      </c>
      <c r="K12" s="4"/>
      <c r="L12" s="4"/>
      <c r="M12" s="4">
        <f t="shared" si="3"/>
        <v>86.5</v>
      </c>
      <c r="N12" s="4"/>
      <c r="O12" s="4"/>
      <c r="P12" s="4">
        <f t="shared" si="4"/>
        <v>86.7</v>
      </c>
      <c r="Q12" s="4"/>
      <c r="R12" s="4"/>
      <c r="S12" s="4">
        <f t="shared" si="5"/>
        <v>85.2</v>
      </c>
      <c r="U12" s="4"/>
      <c r="V12" s="4"/>
      <c r="W12" s="109">
        <f t="shared" si="0"/>
        <v>0</v>
      </c>
      <c r="X12" s="4"/>
      <c r="Y12" s="4"/>
      <c r="Z12" s="109">
        <f t="shared" si="1"/>
        <v>0</v>
      </c>
      <c r="AA12" s="4"/>
      <c r="AB12" s="4"/>
      <c r="AC12" s="109">
        <f t="shared" si="2"/>
        <v>0</v>
      </c>
    </row>
    <row r="13" spans="1:29" ht="15.75" customHeight="1">
      <c r="A13" s="32">
        <v>6</v>
      </c>
      <c r="B13" s="56">
        <v>6.8780000000000004E-3</v>
      </c>
      <c r="C13" s="56">
        <v>8.2109999999999995E-3</v>
      </c>
      <c r="D13" s="57">
        <f>ROUND(B13/C14*100,1)</f>
        <v>85.6</v>
      </c>
      <c r="E13" s="56">
        <v>0.69625899999999996</v>
      </c>
      <c r="F13" s="56">
        <v>0.79585799999999995</v>
      </c>
      <c r="G13" s="57">
        <f>ROUND(E13/F14*100,1)</f>
        <v>88.1</v>
      </c>
      <c r="H13" s="56">
        <v>1.563712</v>
      </c>
      <c r="I13" s="56">
        <v>1.806659</v>
      </c>
      <c r="J13" s="57">
        <f>ROUND(H13/I14*100,1)</f>
        <v>87.5</v>
      </c>
      <c r="K13" s="4"/>
      <c r="L13" s="4"/>
      <c r="M13" s="4">
        <f t="shared" si="3"/>
        <v>85.6</v>
      </c>
      <c r="N13" s="4"/>
      <c r="O13" s="4"/>
      <c r="P13" s="4">
        <f t="shared" si="4"/>
        <v>88.1</v>
      </c>
      <c r="Q13" s="4"/>
      <c r="R13" s="4"/>
      <c r="S13" s="4">
        <f t="shared" si="5"/>
        <v>87.5</v>
      </c>
      <c r="U13" s="4"/>
      <c r="V13" s="4"/>
      <c r="W13" s="109">
        <f t="shared" si="0"/>
        <v>0</v>
      </c>
      <c r="X13" s="4"/>
      <c r="Y13" s="4"/>
      <c r="Z13" s="109">
        <f t="shared" si="1"/>
        <v>0</v>
      </c>
      <c r="AA13" s="4"/>
      <c r="AB13" s="4"/>
      <c r="AC13" s="109">
        <f t="shared" si="2"/>
        <v>0</v>
      </c>
    </row>
    <row r="14" spans="1:29" ht="15.75" customHeight="1">
      <c r="A14" s="32" t="s">
        <v>80</v>
      </c>
      <c r="B14" s="58">
        <f>ROUND(AVERAGEA(B8:B13),6)</f>
        <v>6.9639999999999997E-3</v>
      </c>
      <c r="C14" s="58">
        <f>ROUND(AVERAGEA(C8:C13),6)</f>
        <v>8.0339999999999995E-3</v>
      </c>
      <c r="D14" s="59">
        <f>ROUND(AVERAGE(D8:D13),1)</f>
        <v>86.7</v>
      </c>
      <c r="E14" s="58">
        <f>ROUND(AVERAGEA(E8:E13),6)</f>
        <v>0.68472699999999997</v>
      </c>
      <c r="F14" s="58">
        <f>ROUND(AVERAGEA(F8:F13),6)</f>
        <v>0.79001900000000003</v>
      </c>
      <c r="G14" s="59">
        <f>ROUND(AVERAGE(G8:G13),1)</f>
        <v>86.7</v>
      </c>
      <c r="H14" s="58">
        <f>ROUND(AVERAGEA(H8:H13),6)</f>
        <v>1.560046</v>
      </c>
      <c r="I14" s="58">
        <f>ROUND(AVERAGEA(I8:I13),6)</f>
        <v>1.787131</v>
      </c>
      <c r="J14" s="59">
        <f>ROUND(AVERAGE(J8:J13),1)</f>
        <v>87.3</v>
      </c>
      <c r="K14" s="4">
        <f>ROUND(AVERAGEA(B8:B13),6)</f>
        <v>6.9639999999999997E-3</v>
      </c>
      <c r="L14" s="4">
        <f>ROUND(AVERAGEA(C8:C13),6)</f>
        <v>8.0339999999999995E-3</v>
      </c>
      <c r="M14" s="4">
        <f>ROUND(AVERAGEA(D8:D13),1)</f>
        <v>86.7</v>
      </c>
      <c r="N14" s="4">
        <f>ROUND(AVERAGEA(E8:E13),6)</f>
        <v>0.68472699999999997</v>
      </c>
      <c r="O14" s="4">
        <f>ROUND(AVERAGEA(F8:F13),6)</f>
        <v>0.79001900000000003</v>
      </c>
      <c r="P14" s="4">
        <f>ROUND(AVERAGEA(G8:G13),1)</f>
        <v>86.7</v>
      </c>
      <c r="Q14" s="4">
        <f>ROUND(AVERAGEA(H8:H13),6)</f>
        <v>1.560046</v>
      </c>
      <c r="R14" s="4">
        <f>ROUND(AVERAGEA(I8:I13),6)</f>
        <v>1.787131</v>
      </c>
      <c r="S14" s="4">
        <f>ROUND(AVERAGEA(J8:J13),1)</f>
        <v>87.3</v>
      </c>
      <c r="U14" s="4"/>
      <c r="V14" s="4"/>
      <c r="W14" s="109">
        <f t="shared" si="0"/>
        <v>0</v>
      </c>
      <c r="X14" s="4"/>
      <c r="Y14" s="4"/>
      <c r="Z14" s="109">
        <f t="shared" si="1"/>
        <v>0</v>
      </c>
      <c r="AA14" s="4"/>
      <c r="AB14" s="4"/>
      <c r="AC14" s="109">
        <f t="shared" si="2"/>
        <v>0</v>
      </c>
    </row>
    <row r="15" spans="1:29" s="40" customFormat="1" ht="15.75" customHeight="1">
      <c r="A15" s="41" t="s">
        <v>4</v>
      </c>
      <c r="B15" s="183"/>
      <c r="C15" s="184"/>
      <c r="D15" s="59">
        <f>ROUND(STDEV(D8:D13),1)</f>
        <v>3.1</v>
      </c>
      <c r="E15" s="183"/>
      <c r="F15" s="184"/>
      <c r="G15" s="59">
        <f>ROUND(STDEV(G8:G13),1)</f>
        <v>2</v>
      </c>
      <c r="H15" s="183"/>
      <c r="I15" s="184"/>
      <c r="J15" s="59">
        <f>ROUND(STDEV(J8:J13),1)</f>
        <v>1.6</v>
      </c>
      <c r="K15" s="4"/>
      <c r="L15" s="4"/>
      <c r="M15" s="4">
        <f>ROUND(STDEVA(D8:D13),1)</f>
        <v>3.1</v>
      </c>
      <c r="N15" s="4"/>
      <c r="O15" s="4"/>
      <c r="P15" s="4">
        <f>ROUND(STDEVA(G8:G13),1)</f>
        <v>2</v>
      </c>
      <c r="Q15" s="4"/>
      <c r="R15" s="4"/>
      <c r="S15" s="4">
        <f>ROUND(STDEVA(J8:J13),1)</f>
        <v>1.6</v>
      </c>
      <c r="U15" s="4"/>
      <c r="V15" s="4"/>
      <c r="W15" s="109">
        <f t="shared" si="0"/>
        <v>0</v>
      </c>
      <c r="X15" s="4"/>
      <c r="Y15" s="4"/>
      <c r="Z15" s="109">
        <f t="shared" si="1"/>
        <v>0</v>
      </c>
      <c r="AA15" s="4"/>
      <c r="AB15" s="4"/>
      <c r="AC15" s="109">
        <f t="shared" si="2"/>
        <v>0</v>
      </c>
    </row>
    <row r="16" spans="1:29" s="40" customFormat="1" ht="15.75" customHeight="1">
      <c r="A16" s="41" t="s">
        <v>39</v>
      </c>
      <c r="B16" s="185"/>
      <c r="C16" s="186"/>
      <c r="D16" s="59">
        <f>ROUND(D15/D14*100,1)</f>
        <v>3.6</v>
      </c>
      <c r="E16" s="185"/>
      <c r="F16" s="186"/>
      <c r="G16" s="59">
        <f>ROUND(G15/G14*100,1)</f>
        <v>2.2999999999999998</v>
      </c>
      <c r="H16" s="185"/>
      <c r="I16" s="186"/>
      <c r="J16" s="59">
        <f>ROUND(J15/J14*100,1)</f>
        <v>1.8</v>
      </c>
      <c r="K16" s="4"/>
      <c r="L16" s="4"/>
      <c r="M16" s="4">
        <f>ROUND(M15/M14*100,1)</f>
        <v>3.6</v>
      </c>
      <c r="N16" s="4"/>
      <c r="O16" s="4"/>
      <c r="P16" s="4">
        <f>ROUND(P15/P14*100,1)</f>
        <v>2.2999999999999998</v>
      </c>
      <c r="Q16" s="4"/>
      <c r="R16" s="4"/>
      <c r="S16" s="4">
        <f>ROUND(S15/S14*100,1)</f>
        <v>1.8</v>
      </c>
      <c r="U16" s="4"/>
      <c r="V16" s="4"/>
      <c r="W16" s="109">
        <f t="shared" si="0"/>
        <v>0</v>
      </c>
      <c r="X16" s="4"/>
      <c r="Y16" s="4"/>
      <c r="Z16" s="109">
        <f t="shared" si="1"/>
        <v>0</v>
      </c>
      <c r="AA16" s="4"/>
      <c r="AB16" s="4"/>
      <c r="AC16" s="109">
        <f t="shared" si="2"/>
        <v>0</v>
      </c>
    </row>
    <row r="17" spans="1:29" s="40" customFormat="1" ht="15.75" customHeight="1">
      <c r="A17" s="43" t="s">
        <v>83</v>
      </c>
      <c r="B17" s="173">
        <f>ROUND(AVERAGE(D14,G14,J14),1)</f>
        <v>86.9</v>
      </c>
      <c r="C17" s="174"/>
      <c r="D17" s="174"/>
      <c r="E17" s="174"/>
      <c r="F17" s="174"/>
      <c r="G17" s="174"/>
      <c r="H17" s="174"/>
      <c r="I17" s="174"/>
      <c r="J17" s="174"/>
      <c r="K17" s="167">
        <f>ROUND(AVERAGEA(D14,G14,J14),1)</f>
        <v>86.9</v>
      </c>
      <c r="L17" s="168"/>
      <c r="M17" s="168"/>
      <c r="N17" s="168"/>
      <c r="O17" s="168"/>
      <c r="P17" s="168"/>
      <c r="Q17" s="168"/>
      <c r="R17" s="168"/>
      <c r="S17" s="168"/>
      <c r="U17" s="4"/>
      <c r="V17" s="4"/>
      <c r="W17" s="109"/>
      <c r="X17" s="4"/>
      <c r="Y17" s="109">
        <f>B17-K17</f>
        <v>0</v>
      </c>
      <c r="Z17" s="4"/>
      <c r="AA17" s="4"/>
      <c r="AB17" s="4"/>
      <c r="AC17" s="4"/>
    </row>
    <row r="18" spans="1:29" s="40" customFormat="1" ht="15.75" customHeight="1">
      <c r="A18" s="43" t="s">
        <v>84</v>
      </c>
      <c r="B18" s="173">
        <f>ROUND(STDEV(D14,G14,J14)/B17*100,1)</f>
        <v>0.4</v>
      </c>
      <c r="C18" s="174"/>
      <c r="D18" s="174"/>
      <c r="E18" s="174"/>
      <c r="F18" s="174"/>
      <c r="G18" s="174"/>
      <c r="H18" s="174"/>
      <c r="I18" s="174"/>
      <c r="J18" s="174"/>
      <c r="K18" s="167">
        <f>ROUND(STDEVA(D14,G14,J14)/B17*100,1)</f>
        <v>0.4</v>
      </c>
      <c r="L18" s="168"/>
      <c r="M18" s="168"/>
      <c r="N18" s="168"/>
      <c r="O18" s="168"/>
      <c r="P18" s="168"/>
      <c r="Q18" s="168"/>
      <c r="R18" s="168"/>
      <c r="S18" s="168"/>
      <c r="U18" s="4"/>
      <c r="V18" s="4"/>
      <c r="W18" s="4"/>
      <c r="X18" s="4"/>
      <c r="Y18" s="109">
        <f>B18-K18</f>
        <v>0</v>
      </c>
      <c r="Z18" s="4"/>
      <c r="AA18" s="4"/>
      <c r="AB18" s="4"/>
      <c r="AC18" s="4"/>
    </row>
    <row r="19" spans="1:29" ht="15.75" customHeight="1">
      <c r="B19" s="31"/>
      <c r="C19" s="23"/>
      <c r="D19" s="42"/>
      <c r="E19" s="23"/>
      <c r="F19" s="23"/>
      <c r="G19" s="42"/>
    </row>
    <row r="20" spans="1:29" ht="15.75" customHeight="1">
      <c r="A20" s="5" t="s">
        <v>99</v>
      </c>
      <c r="B20" s="31"/>
      <c r="C20" s="23"/>
      <c r="D20" s="42"/>
      <c r="E20" s="23"/>
      <c r="F20" s="23"/>
      <c r="G20" s="42"/>
    </row>
    <row r="21" spans="1:29" ht="15.75" customHeight="1">
      <c r="A21" s="175" t="s">
        <v>195</v>
      </c>
      <c r="B21" s="176"/>
      <c r="C21" s="176"/>
      <c r="D21" s="176"/>
      <c r="E21" s="176"/>
      <c r="F21" s="176"/>
      <c r="G21" s="176"/>
      <c r="H21" s="176"/>
      <c r="I21" s="176"/>
      <c r="J21" s="177"/>
    </row>
    <row r="22" spans="1:29" ht="15.75" customHeight="1">
      <c r="A22" s="178"/>
      <c r="B22" s="179" t="s">
        <v>3</v>
      </c>
      <c r="C22" s="179"/>
      <c r="D22" s="179"/>
      <c r="E22" s="180" t="s">
        <v>2</v>
      </c>
      <c r="F22" s="181"/>
      <c r="G22" s="182"/>
      <c r="H22" s="180" t="s">
        <v>1</v>
      </c>
      <c r="I22" s="181"/>
      <c r="J22" s="182"/>
    </row>
    <row r="23" spans="1:29" ht="27">
      <c r="A23" s="178"/>
      <c r="B23" s="33" t="s">
        <v>196</v>
      </c>
      <c r="C23" s="33" t="s">
        <v>76</v>
      </c>
      <c r="D23" s="41" t="s">
        <v>43</v>
      </c>
      <c r="E23" s="33" t="s">
        <v>77</v>
      </c>
      <c r="F23" s="33" t="s">
        <v>76</v>
      </c>
      <c r="G23" s="41" t="s">
        <v>43</v>
      </c>
      <c r="H23" s="32" t="s">
        <v>78</v>
      </c>
      <c r="I23" s="32" t="s">
        <v>79</v>
      </c>
      <c r="J23" s="41" t="s">
        <v>43</v>
      </c>
    </row>
    <row r="24" spans="1:29" ht="15.75" customHeight="1">
      <c r="A24" s="32">
        <v>1</v>
      </c>
      <c r="B24" s="54">
        <v>5.6990000000000001E-3</v>
      </c>
      <c r="C24" s="54">
        <v>6.6950000000000004E-3</v>
      </c>
      <c r="D24" s="55">
        <f>ROUND(B24/C30*100,1)</f>
        <v>84.3</v>
      </c>
      <c r="E24" s="56">
        <v>0.57967100000000005</v>
      </c>
      <c r="F24" s="54">
        <v>0.70465100000000003</v>
      </c>
      <c r="G24" s="55">
        <f>ROUND(E24/F30*100,1)</f>
        <v>82.5</v>
      </c>
      <c r="H24" s="56">
        <v>1.4254389999999999</v>
      </c>
      <c r="I24" s="54">
        <v>1.641456</v>
      </c>
      <c r="J24" s="55">
        <f>ROUND(H24/I30*100,1)</f>
        <v>87.2</v>
      </c>
      <c r="K24" s="4"/>
      <c r="L24" s="4"/>
      <c r="M24" s="4">
        <f>ROUND(B24/C$30*100,1)</f>
        <v>84.3</v>
      </c>
      <c r="N24" s="4"/>
      <c r="O24" s="4"/>
      <c r="P24" s="4">
        <f>ROUND(E24/F$30*100,1)</f>
        <v>82.5</v>
      </c>
      <c r="Q24" s="4"/>
      <c r="R24" s="4"/>
      <c r="S24" s="4">
        <f>ROUND(H24/I$30*100,1)</f>
        <v>87.2</v>
      </c>
      <c r="U24" s="111">
        <f>B30-K30</f>
        <v>0</v>
      </c>
      <c r="V24" s="111">
        <f>C30-L30</f>
        <v>0</v>
      </c>
      <c r="W24" s="109">
        <f t="shared" ref="W24:W32" si="6">D24-M24</f>
        <v>0</v>
      </c>
      <c r="X24" s="111">
        <f>E30-N30</f>
        <v>0</v>
      </c>
      <c r="Y24" s="111">
        <f>F30-O30</f>
        <v>0</v>
      </c>
      <c r="Z24" s="109">
        <f t="shared" ref="Z24:Z32" si="7">G24-P24</f>
        <v>0</v>
      </c>
      <c r="AA24" s="111">
        <f>H30-Q30</f>
        <v>0</v>
      </c>
      <c r="AB24" s="111">
        <f>I30-R30</f>
        <v>0</v>
      </c>
      <c r="AC24" s="109">
        <f t="shared" ref="AC24:AC32" si="8">J24-S24</f>
        <v>0</v>
      </c>
    </row>
    <row r="25" spans="1:29" ht="15.75" customHeight="1">
      <c r="A25" s="32">
        <v>2</v>
      </c>
      <c r="B25" s="54">
        <v>5.6109999999999997E-3</v>
      </c>
      <c r="C25" s="54">
        <v>6.7000000000000002E-3</v>
      </c>
      <c r="D25" s="55">
        <f>ROUND(B25/C30*100,1)</f>
        <v>83</v>
      </c>
      <c r="E25" s="56">
        <v>0.60724999999999996</v>
      </c>
      <c r="F25" s="54">
        <v>0.70601999999999998</v>
      </c>
      <c r="G25" s="55">
        <f>ROUND(E25/F30*100,1)</f>
        <v>86.4</v>
      </c>
      <c r="H25" s="56">
        <v>1.4508080000000001</v>
      </c>
      <c r="I25" s="54">
        <v>1.636252</v>
      </c>
      <c r="J25" s="55">
        <f>ROUND(H25/I30*100,1)</f>
        <v>88.8</v>
      </c>
      <c r="K25" s="4"/>
      <c r="L25" s="4"/>
      <c r="M25" s="4">
        <f t="shared" ref="M25:M28" si="9">ROUND(B25/C$30*100,1)</f>
        <v>83</v>
      </c>
      <c r="N25" s="4"/>
      <c r="O25" s="4"/>
      <c r="P25" s="4">
        <f t="shared" ref="P25:P28" si="10">ROUND(E25/F$30*100,1)</f>
        <v>86.4</v>
      </c>
      <c r="Q25" s="4"/>
      <c r="R25" s="4"/>
      <c r="S25" s="4">
        <f t="shared" ref="S25:S28" si="11">ROUND(H25/I$30*100,1)</f>
        <v>88.8</v>
      </c>
      <c r="U25" s="4"/>
      <c r="V25" s="4"/>
      <c r="W25" s="109">
        <f t="shared" si="6"/>
        <v>0</v>
      </c>
      <c r="X25" s="4"/>
      <c r="Y25" s="4"/>
      <c r="Z25" s="109">
        <f t="shared" si="7"/>
        <v>0</v>
      </c>
      <c r="AA25" s="4"/>
      <c r="AB25" s="4"/>
      <c r="AC25" s="109">
        <f t="shared" si="8"/>
        <v>0</v>
      </c>
    </row>
    <row r="26" spans="1:29" ht="15.75" customHeight="1">
      <c r="A26" s="32">
        <v>3</v>
      </c>
      <c r="B26" s="54">
        <v>5.6620000000000004E-3</v>
      </c>
      <c r="C26" s="54">
        <v>6.8820000000000001E-3</v>
      </c>
      <c r="D26" s="55">
        <f>ROUND(B26/C30*100,1)</f>
        <v>83.8</v>
      </c>
      <c r="E26" s="56">
        <v>0.60244699999999995</v>
      </c>
      <c r="F26" s="54">
        <v>0.70722200000000002</v>
      </c>
      <c r="G26" s="55">
        <f>ROUND(E26/F30*100,1)</f>
        <v>85.8</v>
      </c>
      <c r="H26" s="56">
        <v>1.3942099999999999</v>
      </c>
      <c r="I26" s="54">
        <v>1.604975</v>
      </c>
      <c r="J26" s="55">
        <f>ROUND(H26/I30*100,1)</f>
        <v>85.3</v>
      </c>
      <c r="K26" s="4"/>
      <c r="L26" s="4"/>
      <c r="M26" s="4">
        <f t="shared" si="9"/>
        <v>83.8</v>
      </c>
      <c r="N26" s="4"/>
      <c r="O26" s="4"/>
      <c r="P26" s="4">
        <f t="shared" si="10"/>
        <v>85.8</v>
      </c>
      <c r="Q26" s="4"/>
      <c r="R26" s="4"/>
      <c r="S26" s="4">
        <f t="shared" si="11"/>
        <v>85.3</v>
      </c>
      <c r="U26" s="4"/>
      <c r="V26" s="4"/>
      <c r="W26" s="109">
        <f t="shared" si="6"/>
        <v>0</v>
      </c>
      <c r="X26" s="4"/>
      <c r="Y26" s="4"/>
      <c r="Z26" s="109">
        <f t="shared" si="7"/>
        <v>0</v>
      </c>
      <c r="AA26" s="4"/>
      <c r="AB26" s="4"/>
      <c r="AC26" s="109">
        <f t="shared" si="8"/>
        <v>0</v>
      </c>
    </row>
    <row r="27" spans="1:29" ht="15.75" customHeight="1">
      <c r="A27" s="32">
        <v>4</v>
      </c>
      <c r="B27" s="54">
        <v>5.9379999999999997E-3</v>
      </c>
      <c r="C27" s="54">
        <v>6.7549999999999997E-3</v>
      </c>
      <c r="D27" s="55">
        <f>ROUND(B27/C30*100,1)</f>
        <v>87.8</v>
      </c>
      <c r="E27" s="56">
        <v>0.60346200000000005</v>
      </c>
      <c r="F27" s="54">
        <v>0.69683799999999996</v>
      </c>
      <c r="G27" s="55">
        <f>ROUND(E27/F30*100,1)</f>
        <v>85.9</v>
      </c>
      <c r="H27" s="56">
        <v>1.3801600000000001</v>
      </c>
      <c r="I27" s="54">
        <v>1.6454420000000001</v>
      </c>
      <c r="J27" s="55">
        <f>ROUND(H27/I30*100,1)</f>
        <v>84.5</v>
      </c>
      <c r="K27" s="4"/>
      <c r="L27" s="4"/>
      <c r="M27" s="4">
        <f t="shared" si="9"/>
        <v>87.8</v>
      </c>
      <c r="N27" s="4"/>
      <c r="O27" s="4"/>
      <c r="P27" s="4">
        <f t="shared" si="10"/>
        <v>85.9</v>
      </c>
      <c r="Q27" s="4"/>
      <c r="R27" s="4"/>
      <c r="S27" s="4">
        <f t="shared" si="11"/>
        <v>84.5</v>
      </c>
      <c r="U27" s="4"/>
      <c r="V27" s="4"/>
      <c r="W27" s="109">
        <f t="shared" si="6"/>
        <v>0</v>
      </c>
      <c r="X27" s="4"/>
      <c r="Y27" s="4"/>
      <c r="Z27" s="109">
        <f t="shared" si="7"/>
        <v>0</v>
      </c>
      <c r="AA27" s="4"/>
      <c r="AB27" s="4"/>
      <c r="AC27" s="109">
        <f t="shared" si="8"/>
        <v>0</v>
      </c>
    </row>
    <row r="28" spans="1:29" ht="15.75" customHeight="1">
      <c r="A28" s="32">
        <v>5</v>
      </c>
      <c r="B28" s="54">
        <v>5.385E-3</v>
      </c>
      <c r="C28" s="54">
        <v>6.8630000000000002E-3</v>
      </c>
      <c r="D28" s="55">
        <f>ROUND(B28/C30*100,1)</f>
        <v>79.7</v>
      </c>
      <c r="E28" s="56">
        <v>0.596862</v>
      </c>
      <c r="F28" s="54">
        <v>0.70656200000000002</v>
      </c>
      <c r="G28" s="55">
        <f>ROUND(E28/F30*100,1)</f>
        <v>85</v>
      </c>
      <c r="H28" s="56">
        <v>1.405027</v>
      </c>
      <c r="I28" s="54">
        <v>1.6435329999999999</v>
      </c>
      <c r="J28" s="55">
        <f>ROUND(H28/I30*100,1)</f>
        <v>86</v>
      </c>
      <c r="K28" s="4"/>
      <c r="L28" s="4"/>
      <c r="M28" s="4">
        <f t="shared" si="9"/>
        <v>79.7</v>
      </c>
      <c r="N28" s="4"/>
      <c r="O28" s="4"/>
      <c r="P28" s="4">
        <f t="shared" si="10"/>
        <v>85</v>
      </c>
      <c r="Q28" s="4"/>
      <c r="R28" s="4"/>
      <c r="S28" s="4">
        <f t="shared" si="11"/>
        <v>86</v>
      </c>
      <c r="U28" s="4"/>
      <c r="V28" s="4"/>
      <c r="W28" s="109">
        <f t="shared" si="6"/>
        <v>0</v>
      </c>
      <c r="X28" s="4"/>
      <c r="Y28" s="4"/>
      <c r="Z28" s="109">
        <f t="shared" si="7"/>
        <v>0</v>
      </c>
      <c r="AA28" s="4"/>
      <c r="AB28" s="4"/>
      <c r="AC28" s="109">
        <f t="shared" si="8"/>
        <v>0</v>
      </c>
    </row>
    <row r="29" spans="1:29" ht="15.75" customHeight="1">
      <c r="A29" s="32">
        <v>6</v>
      </c>
      <c r="B29" s="54">
        <v>5.7369999999999999E-3</v>
      </c>
      <c r="C29" s="54">
        <v>6.6620000000000004E-3</v>
      </c>
      <c r="D29" s="55">
        <f>ROUND(B29/C30*100,1)</f>
        <v>84.9</v>
      </c>
      <c r="E29" s="56">
        <v>0.61106400000000005</v>
      </c>
      <c r="F29" s="54">
        <v>0.69337099999999996</v>
      </c>
      <c r="G29" s="55">
        <f>ROUND(E29/F30*100,1)</f>
        <v>87</v>
      </c>
      <c r="H29" s="56">
        <v>1.456461</v>
      </c>
      <c r="I29" s="54">
        <v>1.632207</v>
      </c>
      <c r="J29" s="55">
        <f>ROUND(H29/I30*100,1)</f>
        <v>89.1</v>
      </c>
      <c r="K29" s="4"/>
      <c r="L29" s="4"/>
      <c r="M29" s="4">
        <f>ROUND(B29/C$30*100,1)</f>
        <v>84.9</v>
      </c>
      <c r="N29" s="4"/>
      <c r="O29" s="4"/>
      <c r="P29" s="4">
        <f>ROUND(E29/F$30*100,1)</f>
        <v>87</v>
      </c>
      <c r="Q29" s="4"/>
      <c r="R29" s="4"/>
      <c r="S29" s="4">
        <f>ROUND(H29/I$30*100,1)</f>
        <v>89.1</v>
      </c>
      <c r="U29" s="4"/>
      <c r="V29" s="4"/>
      <c r="W29" s="109">
        <f t="shared" si="6"/>
        <v>0</v>
      </c>
      <c r="X29" s="4"/>
      <c r="Y29" s="4"/>
      <c r="Z29" s="109">
        <f t="shared" si="7"/>
        <v>0</v>
      </c>
      <c r="AA29" s="4"/>
      <c r="AB29" s="4"/>
      <c r="AC29" s="109">
        <f t="shared" si="8"/>
        <v>0</v>
      </c>
    </row>
    <row r="30" spans="1:29" ht="15.75" customHeight="1">
      <c r="A30" s="32" t="s">
        <v>80</v>
      </c>
      <c r="B30" s="39">
        <f>ROUND(AVERAGEA(B24:B29),6)</f>
        <v>5.672E-3</v>
      </c>
      <c r="C30" s="39">
        <f>ROUND(AVERAGEA(C24:C29),6)</f>
        <v>6.7600000000000004E-3</v>
      </c>
      <c r="D30" s="41">
        <f>ROUND(AVERAGE(D24:D29),1)</f>
        <v>83.9</v>
      </c>
      <c r="E30" s="39">
        <f>ROUND(AVERAGEA(E24:E29),6)</f>
        <v>0.60012600000000005</v>
      </c>
      <c r="F30" s="39">
        <f>ROUND(AVERAGEA(F24:F29),6)</f>
        <v>0.70244399999999996</v>
      </c>
      <c r="G30" s="41">
        <f>ROUND(AVERAGE(G24:G29),1)</f>
        <v>85.4</v>
      </c>
      <c r="H30" s="39">
        <f>ROUND(AVERAGEA(H24:H29),6)</f>
        <v>1.4186840000000001</v>
      </c>
      <c r="I30" s="39">
        <f>ROUND(AVERAGEA(I24:I29),6)</f>
        <v>1.6339779999999999</v>
      </c>
      <c r="J30" s="41">
        <f>ROUND(AVERAGE(J24:J29),1)</f>
        <v>86.8</v>
      </c>
      <c r="K30" s="4">
        <f>ROUND(AVERAGEA(B24:B29),6)</f>
        <v>5.672E-3</v>
      </c>
      <c r="L30" s="4">
        <f>ROUND(AVERAGEA(C24:C29),6)</f>
        <v>6.7600000000000004E-3</v>
      </c>
      <c r="M30" s="4">
        <f>ROUND(AVERAGEA(D24:D29),1)</f>
        <v>83.9</v>
      </c>
      <c r="N30" s="4">
        <f>ROUND(AVERAGEA(E24:E29),6)</f>
        <v>0.60012600000000005</v>
      </c>
      <c r="O30" s="4">
        <f>ROUND(AVERAGEA(F24:F29),6)</f>
        <v>0.70244399999999996</v>
      </c>
      <c r="P30" s="4">
        <f>ROUND(AVERAGEA(G24:G29),1)</f>
        <v>85.4</v>
      </c>
      <c r="Q30" s="4">
        <f>ROUND(AVERAGEA(H24:H29),6)</f>
        <v>1.4186840000000001</v>
      </c>
      <c r="R30" s="4">
        <f>ROUND(AVERAGEA(I24:I29),6)</f>
        <v>1.6339779999999999</v>
      </c>
      <c r="S30" s="4">
        <f>ROUND(AVERAGEA(J24:J29),1)</f>
        <v>86.8</v>
      </c>
      <c r="U30" s="4"/>
      <c r="V30" s="4"/>
      <c r="W30" s="109">
        <f t="shared" si="6"/>
        <v>0</v>
      </c>
      <c r="X30" s="4"/>
      <c r="Y30" s="4"/>
      <c r="Z30" s="109">
        <f t="shared" si="7"/>
        <v>0</v>
      </c>
      <c r="AA30" s="4"/>
      <c r="AB30" s="4"/>
      <c r="AC30" s="109">
        <f t="shared" si="8"/>
        <v>0</v>
      </c>
    </row>
    <row r="31" spans="1:29" ht="15.75" customHeight="1">
      <c r="A31" s="41" t="s">
        <v>4</v>
      </c>
      <c r="B31" s="169"/>
      <c r="C31" s="170"/>
      <c r="D31" s="41">
        <f>ROUND(STDEV(D24:D29),1)</f>
        <v>2.6</v>
      </c>
      <c r="E31" s="169"/>
      <c r="F31" s="170"/>
      <c r="G31" s="41">
        <f>ROUND(STDEV(G24:G29),1)</f>
        <v>1.6</v>
      </c>
      <c r="H31" s="169"/>
      <c r="I31" s="170"/>
      <c r="J31" s="41">
        <f>ROUND(STDEV(J24:J29),1)</f>
        <v>1.9</v>
      </c>
      <c r="K31" s="4"/>
      <c r="L31" s="4"/>
      <c r="M31" s="4">
        <f>ROUND(STDEVA(D24:D29),1)</f>
        <v>2.6</v>
      </c>
      <c r="N31" s="4"/>
      <c r="O31" s="4"/>
      <c r="P31" s="4">
        <f>ROUND(STDEVA(G24:G29),1)</f>
        <v>1.6</v>
      </c>
      <c r="Q31" s="4"/>
      <c r="R31" s="4"/>
      <c r="S31" s="4">
        <f>ROUND(STDEVA(J24:J29),1)</f>
        <v>1.9</v>
      </c>
      <c r="T31" s="40"/>
      <c r="U31" s="4"/>
      <c r="V31" s="4"/>
      <c r="W31" s="109">
        <f t="shared" si="6"/>
        <v>0</v>
      </c>
      <c r="X31" s="4"/>
      <c r="Y31" s="4"/>
      <c r="Z31" s="109">
        <f t="shared" si="7"/>
        <v>0</v>
      </c>
      <c r="AA31" s="4"/>
      <c r="AB31" s="4"/>
      <c r="AC31" s="109">
        <f t="shared" si="8"/>
        <v>0</v>
      </c>
    </row>
    <row r="32" spans="1:29" ht="15.75" customHeight="1">
      <c r="A32" s="41" t="s">
        <v>39</v>
      </c>
      <c r="B32" s="171"/>
      <c r="C32" s="172"/>
      <c r="D32" s="41">
        <f>ROUND(D31/D30*100,1)</f>
        <v>3.1</v>
      </c>
      <c r="E32" s="171"/>
      <c r="F32" s="172"/>
      <c r="G32" s="41">
        <f>ROUND(G31/G30*100,1)</f>
        <v>1.9</v>
      </c>
      <c r="H32" s="171"/>
      <c r="I32" s="172"/>
      <c r="J32" s="41">
        <f>ROUND(J31/J30*100,1)</f>
        <v>2.2000000000000002</v>
      </c>
      <c r="K32" s="4"/>
      <c r="L32" s="4"/>
      <c r="M32" s="4">
        <f>ROUND(M31/M30*100,1)</f>
        <v>3.1</v>
      </c>
      <c r="N32" s="4"/>
      <c r="O32" s="4"/>
      <c r="P32" s="4">
        <f>ROUND(P31/P30*100,1)</f>
        <v>1.9</v>
      </c>
      <c r="Q32" s="4"/>
      <c r="R32" s="4"/>
      <c r="S32" s="4">
        <f>ROUND(S31/S30*100,1)</f>
        <v>2.2000000000000002</v>
      </c>
      <c r="T32" s="40"/>
      <c r="U32" s="4"/>
      <c r="V32" s="4"/>
      <c r="W32" s="109">
        <f t="shared" si="6"/>
        <v>0</v>
      </c>
      <c r="X32" s="4"/>
      <c r="Y32" s="4"/>
      <c r="Z32" s="109">
        <f t="shared" si="7"/>
        <v>0</v>
      </c>
      <c r="AA32" s="4"/>
      <c r="AB32" s="4"/>
      <c r="AC32" s="109">
        <f t="shared" si="8"/>
        <v>0</v>
      </c>
    </row>
    <row r="33" spans="1:29" ht="15.75" customHeight="1">
      <c r="A33" s="43" t="s">
        <v>83</v>
      </c>
      <c r="B33" s="173">
        <f>ROUND(AVERAGE(D30,G30,J30),1)</f>
        <v>85.4</v>
      </c>
      <c r="C33" s="174"/>
      <c r="D33" s="174"/>
      <c r="E33" s="174"/>
      <c r="F33" s="174"/>
      <c r="G33" s="174"/>
      <c r="H33" s="174"/>
      <c r="I33" s="174"/>
      <c r="J33" s="174"/>
      <c r="K33" s="167">
        <f>ROUND(AVERAGEA(D30,G30,J30),1)</f>
        <v>85.4</v>
      </c>
      <c r="L33" s="168"/>
      <c r="M33" s="168"/>
      <c r="N33" s="168"/>
      <c r="O33" s="168"/>
      <c r="P33" s="168"/>
      <c r="Q33" s="168"/>
      <c r="R33" s="168"/>
      <c r="S33" s="168"/>
      <c r="T33" s="40"/>
      <c r="U33" s="4"/>
      <c r="V33" s="4"/>
      <c r="W33" s="109"/>
      <c r="X33" s="4"/>
      <c r="Y33" s="109">
        <f>B33-K33</f>
        <v>0</v>
      </c>
      <c r="Z33" s="4"/>
      <c r="AA33" s="4"/>
      <c r="AB33" s="4"/>
      <c r="AC33" s="4"/>
    </row>
    <row r="34" spans="1:29" ht="15.75" customHeight="1">
      <c r="A34" s="43" t="s">
        <v>84</v>
      </c>
      <c r="B34" s="173">
        <f>ROUND(STDEV(D30,G30,J30)/B33*100,1)</f>
        <v>1.7</v>
      </c>
      <c r="C34" s="174"/>
      <c r="D34" s="174"/>
      <c r="E34" s="174"/>
      <c r="F34" s="174"/>
      <c r="G34" s="174"/>
      <c r="H34" s="174"/>
      <c r="I34" s="174"/>
      <c r="J34" s="174"/>
      <c r="K34" s="167">
        <f>ROUND(STDEVA(D30,G30,J30)/B33*100,1)</f>
        <v>1.7</v>
      </c>
      <c r="L34" s="168"/>
      <c r="M34" s="168"/>
      <c r="N34" s="168"/>
      <c r="O34" s="168"/>
      <c r="P34" s="168"/>
      <c r="Q34" s="168"/>
      <c r="R34" s="168"/>
      <c r="S34" s="168"/>
      <c r="T34" s="40"/>
      <c r="U34" s="4"/>
      <c r="V34" s="4"/>
      <c r="W34" s="4"/>
      <c r="X34" s="4"/>
      <c r="Y34" s="109">
        <f>B34-K34</f>
        <v>0</v>
      </c>
      <c r="Z34" s="4"/>
      <c r="AA34" s="4"/>
      <c r="AB34" s="4"/>
      <c r="AC34" s="4"/>
    </row>
    <row r="35" spans="1:29" ht="15.75" customHeight="1">
      <c r="B35" s="31"/>
      <c r="C35" s="23"/>
      <c r="D35" s="42"/>
      <c r="E35" s="23"/>
      <c r="F35" s="23"/>
      <c r="G35" s="42"/>
    </row>
    <row r="36" spans="1:29" ht="15.75" customHeight="1">
      <c r="B36" s="31"/>
      <c r="C36" s="23"/>
      <c r="D36" s="42"/>
      <c r="E36" s="23"/>
      <c r="F36" s="23"/>
      <c r="G36" s="42"/>
    </row>
    <row r="37" spans="1:29" ht="15.75" customHeight="1">
      <c r="B37" s="31"/>
      <c r="C37" s="23"/>
      <c r="D37" s="42"/>
      <c r="E37" s="23"/>
      <c r="F37" s="23"/>
      <c r="G37" s="42"/>
    </row>
    <row r="38" spans="1:29" ht="15.75" customHeight="1">
      <c r="B38" s="31"/>
      <c r="C38" s="23"/>
      <c r="D38" s="42"/>
      <c r="E38" s="23"/>
      <c r="F38" s="23"/>
      <c r="G38" s="42"/>
    </row>
    <row r="39" spans="1:29" ht="15.75" customHeight="1">
      <c r="B39" s="31"/>
      <c r="C39" s="23"/>
      <c r="D39" s="42"/>
      <c r="E39" s="23"/>
      <c r="F39" s="23"/>
      <c r="G39" s="42"/>
    </row>
    <row r="40" spans="1:29" ht="15.75" customHeight="1">
      <c r="B40" s="31"/>
      <c r="C40" s="23"/>
      <c r="D40" s="42"/>
      <c r="E40" s="23"/>
      <c r="F40" s="23"/>
      <c r="G40" s="42"/>
    </row>
    <row r="41" spans="1:29" ht="15.75" customHeight="1">
      <c r="B41" s="31"/>
      <c r="C41" s="23"/>
      <c r="D41" s="42"/>
      <c r="E41" s="23"/>
      <c r="F41" s="23"/>
      <c r="G41" s="42"/>
    </row>
    <row r="42" spans="1:29" ht="15.75" customHeight="1">
      <c r="B42" s="31"/>
      <c r="C42" s="23"/>
      <c r="D42" s="42"/>
      <c r="E42" s="23"/>
      <c r="F42" s="23"/>
      <c r="G42" s="42"/>
    </row>
    <row r="43" spans="1:29" ht="15.75" customHeight="1">
      <c r="B43" s="31"/>
      <c r="C43" s="23"/>
      <c r="D43" s="42"/>
      <c r="E43" s="23"/>
      <c r="F43" s="23"/>
      <c r="G43" s="42"/>
    </row>
    <row r="44" spans="1:29" ht="15.75" customHeight="1">
      <c r="B44" s="31"/>
      <c r="C44" s="23"/>
      <c r="D44" s="42"/>
      <c r="E44" s="23"/>
      <c r="F44" s="23"/>
      <c r="G44" s="42"/>
    </row>
    <row r="45" spans="1:29" ht="15.75" customHeight="1">
      <c r="B45" s="31"/>
      <c r="C45" s="23"/>
      <c r="D45" s="42"/>
      <c r="E45" s="23"/>
      <c r="F45" s="23"/>
      <c r="G45" s="42"/>
    </row>
    <row r="46" spans="1:29" ht="15.75" customHeight="1">
      <c r="B46" s="31"/>
      <c r="C46" s="23"/>
      <c r="D46" s="42"/>
      <c r="E46" s="23"/>
      <c r="F46" s="23"/>
      <c r="G46" s="42"/>
    </row>
  </sheetData>
  <mergeCells count="24">
    <mergeCell ref="A5:J5"/>
    <mergeCell ref="B15:C16"/>
    <mergeCell ref="E15:F16"/>
    <mergeCell ref="H15:I16"/>
    <mergeCell ref="A6:A7"/>
    <mergeCell ref="E6:G6"/>
    <mergeCell ref="H6:J6"/>
    <mergeCell ref="B6:D6"/>
    <mergeCell ref="K17:S17"/>
    <mergeCell ref="K18:S18"/>
    <mergeCell ref="K33:S33"/>
    <mergeCell ref="K34:S34"/>
    <mergeCell ref="B31:C32"/>
    <mergeCell ref="E31:F32"/>
    <mergeCell ref="H31:I32"/>
    <mergeCell ref="B33:J33"/>
    <mergeCell ref="B34:J34"/>
    <mergeCell ref="A21:J21"/>
    <mergeCell ref="A22:A23"/>
    <mergeCell ref="B22:D22"/>
    <mergeCell ref="E22:G22"/>
    <mergeCell ref="H22:J22"/>
    <mergeCell ref="B18:J18"/>
    <mergeCell ref="B17:J17"/>
  </mergeCells>
  <phoneticPr fontId="20" type="noConversion"/>
  <printOptions headings="1" gridLines="1"/>
  <pageMargins left="0.70866141732283472" right="0.70866141732283472" top="0.74803149606299213" bottom="0.74803149606299213" header="0.31496062992125984" footer="0.31496062992125984"/>
  <pageSetup scale="81" orientation="landscape" r:id="rId1"/>
  <headerFooter>
    <oddHeader>&amp;C18903MV01验证数据汇总</oddHeader>
    <oddFooter>&amp;C第&amp;P页，共&amp;N页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2:F31"/>
  <sheetViews>
    <sheetView view="pageBreakPreview" zoomScaleNormal="100" zoomScaleSheetLayoutView="100" workbookViewId="0">
      <selection activeCell="A98" sqref="A98:A103"/>
    </sheetView>
  </sheetViews>
  <sheetFormatPr defaultColWidth="8.875" defaultRowHeight="13.5"/>
  <cols>
    <col min="1" max="1" width="32.375" style="4" customWidth="1"/>
    <col min="2" max="3" width="21.625" style="4" customWidth="1"/>
    <col min="4" max="4" width="27.375" style="4" customWidth="1"/>
    <col min="5" max="5" width="14.875" style="4" customWidth="1"/>
    <col min="6" max="16384" width="8.875" style="4"/>
  </cols>
  <sheetData>
    <row r="2" spans="1:6" ht="15.75" customHeight="1">
      <c r="A2" s="4" t="s">
        <v>34</v>
      </c>
      <c r="E2" s="67"/>
    </row>
    <row r="3" spans="1:6" ht="15.75" customHeight="1">
      <c r="E3" s="67"/>
    </row>
    <row r="4" spans="1:6" ht="15.95" customHeight="1">
      <c r="A4" s="5" t="s">
        <v>97</v>
      </c>
      <c r="E4" s="67"/>
    </row>
    <row r="5" spans="1:6" ht="15.75" customHeight="1">
      <c r="A5" s="128" t="s">
        <v>197</v>
      </c>
      <c r="B5" s="129"/>
      <c r="C5" s="129"/>
      <c r="D5" s="130"/>
      <c r="E5" s="67"/>
    </row>
    <row r="6" spans="1:6" ht="15.75" customHeight="1">
      <c r="A6" s="187"/>
      <c r="B6" s="127" t="s">
        <v>122</v>
      </c>
      <c r="C6" s="127"/>
      <c r="D6" s="127"/>
      <c r="E6" s="67"/>
    </row>
    <row r="7" spans="1:6" ht="15.75" customHeight="1">
      <c r="A7" s="187"/>
      <c r="B7" s="29" t="s">
        <v>123</v>
      </c>
      <c r="C7" s="29" t="s">
        <v>124</v>
      </c>
      <c r="D7" s="29" t="s">
        <v>43</v>
      </c>
      <c r="E7" s="67"/>
    </row>
    <row r="8" spans="1:6" ht="15.75" customHeight="1">
      <c r="A8" s="29">
        <v>1</v>
      </c>
      <c r="B8" s="68">
        <v>1.2074549999999999</v>
      </c>
      <c r="C8" s="68">
        <v>1.267085</v>
      </c>
      <c r="D8" s="66">
        <f>ROUND(B8/C14*100,1)</f>
        <v>95.4</v>
      </c>
      <c r="E8" s="115">
        <f>ROUND(B8/C$14*100,1)</f>
        <v>95.4</v>
      </c>
      <c r="F8" s="109">
        <f>D8-E8</f>
        <v>0</v>
      </c>
    </row>
    <row r="9" spans="1:6" ht="15.75" customHeight="1">
      <c r="A9" s="29">
        <v>2</v>
      </c>
      <c r="B9" s="68">
        <v>1.2452289999999999</v>
      </c>
      <c r="C9" s="68">
        <v>1.266648</v>
      </c>
      <c r="D9" s="66">
        <f>ROUND(B9/C14*100,1)</f>
        <v>98.4</v>
      </c>
      <c r="E9" s="115">
        <f t="shared" ref="E9:E13" si="0">ROUND(B9/C$14*100,1)</f>
        <v>98.4</v>
      </c>
      <c r="F9" s="109">
        <f t="shared" ref="F9:F16" si="1">D9-E9</f>
        <v>0</v>
      </c>
    </row>
    <row r="10" spans="1:6" ht="15.75" customHeight="1">
      <c r="A10" s="29">
        <v>3</v>
      </c>
      <c r="B10" s="68">
        <v>1.2196480000000001</v>
      </c>
      <c r="C10" s="68">
        <v>1.302548</v>
      </c>
      <c r="D10" s="66">
        <f>ROUND(B10/C14*100,1)</f>
        <v>96.3</v>
      </c>
      <c r="E10" s="115">
        <f t="shared" si="0"/>
        <v>96.3</v>
      </c>
      <c r="F10" s="109">
        <f t="shared" si="1"/>
        <v>0</v>
      </c>
    </row>
    <row r="11" spans="1:6" ht="15.75" customHeight="1">
      <c r="A11" s="29">
        <v>4</v>
      </c>
      <c r="B11" s="68">
        <v>1.2116929999999999</v>
      </c>
      <c r="C11" s="68">
        <v>1.2688699999999999</v>
      </c>
      <c r="D11" s="66">
        <f>ROUND(B11/C14*100,1)</f>
        <v>95.7</v>
      </c>
      <c r="E11" s="115">
        <f t="shared" si="0"/>
        <v>95.7</v>
      </c>
      <c r="F11" s="109">
        <f t="shared" si="1"/>
        <v>0</v>
      </c>
    </row>
    <row r="12" spans="1:6" ht="15.75" customHeight="1">
      <c r="A12" s="29">
        <v>5</v>
      </c>
      <c r="B12" s="68">
        <v>1.2355940000000001</v>
      </c>
      <c r="C12" s="68">
        <v>1.2349779999999999</v>
      </c>
      <c r="D12" s="66">
        <f>ROUND(B12/C14*100,1)</f>
        <v>97.6</v>
      </c>
      <c r="E12" s="115">
        <f t="shared" si="0"/>
        <v>97.6</v>
      </c>
      <c r="F12" s="109">
        <f t="shared" si="1"/>
        <v>0</v>
      </c>
    </row>
    <row r="13" spans="1:6" ht="15.75" customHeight="1">
      <c r="A13" s="29">
        <v>6</v>
      </c>
      <c r="B13" s="68">
        <v>1.202067</v>
      </c>
      <c r="C13" s="68">
        <v>1.2565059999999999</v>
      </c>
      <c r="D13" s="66">
        <f>ROUND(B13/C14*100,1)</f>
        <v>94.9</v>
      </c>
      <c r="E13" s="115">
        <f t="shared" si="0"/>
        <v>94.9</v>
      </c>
      <c r="F13" s="109">
        <f t="shared" si="1"/>
        <v>0</v>
      </c>
    </row>
    <row r="14" spans="1:6" ht="15.75" customHeight="1">
      <c r="A14" s="29" t="s">
        <v>121</v>
      </c>
      <c r="B14" s="47">
        <f>ROUND(AVERAGE(B8:B13),6)</f>
        <v>1.2202809999999999</v>
      </c>
      <c r="C14" s="47">
        <f>ROUND(AVERAGE(C8:C13),6)</f>
        <v>1.266106</v>
      </c>
      <c r="D14" s="36">
        <f>ROUND(AVERAGE(D8:D13),1)</f>
        <v>96.4</v>
      </c>
      <c r="E14" s="4">
        <f>ROUND(AVERAGEA(E8:E13),1)</f>
        <v>96.4</v>
      </c>
      <c r="F14" s="109">
        <f t="shared" si="1"/>
        <v>0</v>
      </c>
    </row>
    <row r="15" spans="1:6" ht="15.75" customHeight="1">
      <c r="A15" s="29" t="s">
        <v>4</v>
      </c>
      <c r="B15" s="47">
        <f>ROUND(STDEV(B8:B13),6)</f>
        <v>1.6896000000000001E-2</v>
      </c>
      <c r="C15" s="47">
        <f>ROUND(STDEV(C8:C13),6)</f>
        <v>2.1899999999999999E-2</v>
      </c>
      <c r="D15" s="36">
        <f>ROUND(STDEV(D8:D13),1)</f>
        <v>1.4</v>
      </c>
      <c r="E15" s="4">
        <f>ROUND(STDEVA(D8:D13),1)</f>
        <v>1.4</v>
      </c>
      <c r="F15" s="109">
        <f t="shared" si="1"/>
        <v>0</v>
      </c>
    </row>
    <row r="16" spans="1:6" ht="15.75" customHeight="1">
      <c r="A16" s="29" t="s">
        <v>39</v>
      </c>
      <c r="B16" s="36">
        <f>ROUND(B15/B14*100,1)</f>
        <v>1.4</v>
      </c>
      <c r="C16" s="36">
        <f>ROUND(C15/C14*100,1)</f>
        <v>1.7</v>
      </c>
      <c r="D16" s="36">
        <f>ROUND(D15/D14*100,1)</f>
        <v>1.5</v>
      </c>
      <c r="E16" s="4">
        <f>ROUND(E15/E14*100,1)</f>
        <v>1.5</v>
      </c>
      <c r="F16" s="109">
        <f t="shared" si="1"/>
        <v>0</v>
      </c>
    </row>
    <row r="17" spans="1:6">
      <c r="A17" s="6"/>
      <c r="B17" s="6"/>
      <c r="C17" s="6"/>
      <c r="D17" s="69"/>
    </row>
    <row r="19" spans="1:6">
      <c r="A19" s="65" t="s">
        <v>125</v>
      </c>
      <c r="B19" s="29" t="s">
        <v>126</v>
      </c>
      <c r="C19" s="29" t="s">
        <v>127</v>
      </c>
      <c r="D19" s="70" t="s">
        <v>128</v>
      </c>
    </row>
    <row r="20" spans="1:6">
      <c r="A20" s="71" t="s">
        <v>153</v>
      </c>
      <c r="B20" s="63">
        <v>2757780</v>
      </c>
      <c r="C20" s="63">
        <v>3494343</v>
      </c>
      <c r="D20" s="72">
        <f t="shared" ref="D20:D31" si="2">ROUND(C20/B20,6)</f>
        <v>1.267085</v>
      </c>
      <c r="E20" s="4">
        <f>ROUND(C20/B20,6)</f>
        <v>1.267085</v>
      </c>
      <c r="F20" s="111">
        <f>D20-E20</f>
        <v>0</v>
      </c>
    </row>
    <row r="21" spans="1:6">
      <c r="A21" s="71" t="s">
        <v>154</v>
      </c>
      <c r="B21" s="63">
        <v>2737024</v>
      </c>
      <c r="C21" s="63">
        <v>3466846</v>
      </c>
      <c r="D21" s="72">
        <f t="shared" si="2"/>
        <v>1.266648</v>
      </c>
      <c r="E21" s="4">
        <f t="shared" ref="E21:E31" si="3">ROUND(C21/B21,6)</f>
        <v>1.266648</v>
      </c>
      <c r="F21" s="111">
        <f t="shared" ref="F21:F31" si="4">D21-E21</f>
        <v>0</v>
      </c>
    </row>
    <row r="22" spans="1:6">
      <c r="A22" s="71" t="s">
        <v>155</v>
      </c>
      <c r="B22" s="63">
        <v>2668101</v>
      </c>
      <c r="C22" s="63">
        <v>3475330</v>
      </c>
      <c r="D22" s="72">
        <f t="shared" si="2"/>
        <v>1.302548</v>
      </c>
      <c r="E22" s="4">
        <f t="shared" si="3"/>
        <v>1.302548</v>
      </c>
      <c r="F22" s="111">
        <f t="shared" si="4"/>
        <v>0</v>
      </c>
    </row>
    <row r="23" spans="1:6">
      <c r="A23" s="71" t="s">
        <v>156</v>
      </c>
      <c r="B23" s="63">
        <v>2762463</v>
      </c>
      <c r="C23" s="63">
        <v>3505207</v>
      </c>
      <c r="D23" s="72">
        <f t="shared" si="2"/>
        <v>1.2688699999999999</v>
      </c>
      <c r="E23" s="4">
        <f t="shared" si="3"/>
        <v>1.2688699999999999</v>
      </c>
      <c r="F23" s="111">
        <f t="shared" si="4"/>
        <v>0</v>
      </c>
    </row>
    <row r="24" spans="1:6">
      <c r="A24" s="71" t="s">
        <v>157</v>
      </c>
      <c r="B24" s="63">
        <v>2788592</v>
      </c>
      <c r="C24" s="63">
        <v>3443850</v>
      </c>
      <c r="D24" s="72">
        <f t="shared" si="2"/>
        <v>1.2349779999999999</v>
      </c>
      <c r="E24" s="4">
        <f t="shared" si="3"/>
        <v>1.2349779999999999</v>
      </c>
      <c r="F24" s="111">
        <f t="shared" si="4"/>
        <v>0</v>
      </c>
    </row>
    <row r="25" spans="1:6">
      <c r="A25" s="71" t="s">
        <v>158</v>
      </c>
      <c r="B25" s="63">
        <v>2752833</v>
      </c>
      <c r="C25" s="63">
        <v>3458951</v>
      </c>
      <c r="D25" s="72">
        <f t="shared" si="2"/>
        <v>1.2565059999999999</v>
      </c>
      <c r="E25" s="4">
        <f t="shared" si="3"/>
        <v>1.2565059999999999</v>
      </c>
      <c r="F25" s="111">
        <f t="shared" si="4"/>
        <v>0</v>
      </c>
    </row>
    <row r="26" spans="1:6">
      <c r="A26" s="71" t="s">
        <v>147</v>
      </c>
      <c r="B26" s="63">
        <v>2738545</v>
      </c>
      <c r="C26" s="63">
        <v>3306669</v>
      </c>
      <c r="D26" s="72">
        <f t="shared" si="2"/>
        <v>1.2074549999999999</v>
      </c>
      <c r="E26" s="4">
        <f t="shared" si="3"/>
        <v>1.2074549999999999</v>
      </c>
      <c r="F26" s="111">
        <f t="shared" si="4"/>
        <v>0</v>
      </c>
    </row>
    <row r="27" spans="1:6">
      <c r="A27" s="71" t="s">
        <v>148</v>
      </c>
      <c r="B27" s="63">
        <v>2644460</v>
      </c>
      <c r="C27" s="63">
        <v>3292957</v>
      </c>
      <c r="D27" s="72">
        <f t="shared" si="2"/>
        <v>1.2452289999999999</v>
      </c>
      <c r="E27" s="4">
        <f t="shared" si="3"/>
        <v>1.2452289999999999</v>
      </c>
      <c r="F27" s="111">
        <f t="shared" si="4"/>
        <v>0</v>
      </c>
    </row>
    <row r="28" spans="1:6">
      <c r="A28" s="71" t="s">
        <v>149</v>
      </c>
      <c r="B28" s="63">
        <v>2712317</v>
      </c>
      <c r="C28" s="63">
        <v>3308072</v>
      </c>
      <c r="D28" s="72">
        <f t="shared" si="2"/>
        <v>1.2196480000000001</v>
      </c>
      <c r="E28" s="4">
        <f t="shared" si="3"/>
        <v>1.2196480000000001</v>
      </c>
      <c r="F28" s="111">
        <f t="shared" si="4"/>
        <v>0</v>
      </c>
    </row>
    <row r="29" spans="1:6">
      <c r="A29" s="71" t="s">
        <v>150</v>
      </c>
      <c r="B29" s="63">
        <v>2725857</v>
      </c>
      <c r="C29" s="63">
        <v>3302903</v>
      </c>
      <c r="D29" s="72">
        <f t="shared" si="2"/>
        <v>1.2116929999999999</v>
      </c>
      <c r="E29" s="4">
        <f t="shared" si="3"/>
        <v>1.2116929999999999</v>
      </c>
      <c r="F29" s="111">
        <f t="shared" si="4"/>
        <v>0</v>
      </c>
    </row>
    <row r="30" spans="1:6">
      <c r="A30" s="71" t="s">
        <v>151</v>
      </c>
      <c r="B30" s="63">
        <v>2683950</v>
      </c>
      <c r="C30" s="63">
        <v>3316272</v>
      </c>
      <c r="D30" s="72">
        <f t="shared" si="2"/>
        <v>1.2355940000000001</v>
      </c>
      <c r="E30" s="4">
        <f t="shared" si="3"/>
        <v>1.2355940000000001</v>
      </c>
      <c r="F30" s="111">
        <f t="shared" si="4"/>
        <v>0</v>
      </c>
    </row>
    <row r="31" spans="1:6">
      <c r="A31" s="73" t="s">
        <v>152</v>
      </c>
      <c r="B31" s="64">
        <v>2752180</v>
      </c>
      <c r="C31" s="64">
        <v>3308306</v>
      </c>
      <c r="D31" s="74">
        <f t="shared" si="2"/>
        <v>1.202067</v>
      </c>
      <c r="E31" s="4">
        <f t="shared" si="3"/>
        <v>1.202067</v>
      </c>
      <c r="F31" s="111">
        <f t="shared" si="4"/>
        <v>0</v>
      </c>
    </row>
  </sheetData>
  <mergeCells count="3">
    <mergeCell ref="A5:D5"/>
    <mergeCell ref="A6:A7"/>
    <mergeCell ref="B6:D6"/>
  </mergeCells>
  <phoneticPr fontId="6" type="noConversion"/>
  <printOptions headings="1" gridLines="1"/>
  <pageMargins left="0.70866141732283472" right="0.70866141732283472" top="0.74803149606299213" bottom="0.74803149606299213" header="0.31496062992125984" footer="0.31496062992125984"/>
  <pageSetup scale="81" orientation="portrait" r:id="rId1"/>
  <headerFooter>
    <oddHeader>&amp;C 1632MV7生物分析方法学验证数据</oddHeader>
    <oddFooter>&amp;C第&amp;P页，共&amp;N页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2:H36"/>
  <sheetViews>
    <sheetView view="pageBreakPreview" zoomScaleNormal="100" zoomScaleSheetLayoutView="100" workbookViewId="0">
      <selection activeCell="A98" sqref="A98:A103"/>
    </sheetView>
  </sheetViews>
  <sheetFormatPr defaultColWidth="8.875" defaultRowHeight="13.5"/>
  <cols>
    <col min="1" max="1" width="17" style="5" customWidth="1"/>
    <col min="2" max="2" width="17.625" style="4" customWidth="1"/>
    <col min="3" max="3" width="20" style="5" customWidth="1"/>
    <col min="4" max="4" width="17.625" style="37" customWidth="1"/>
    <col min="5" max="16384" width="8.875" style="5"/>
  </cols>
  <sheetData>
    <row r="2" spans="1:8">
      <c r="A2" s="118" t="s">
        <v>33</v>
      </c>
      <c r="B2" s="118"/>
      <c r="C2" s="118"/>
      <c r="D2" s="118"/>
    </row>
    <row r="3" spans="1:8">
      <c r="A3" s="7"/>
      <c r="B3" s="7"/>
      <c r="C3" s="7"/>
      <c r="D3" s="7"/>
    </row>
    <row r="4" spans="1:8">
      <c r="A4" s="5" t="s">
        <v>97</v>
      </c>
    </row>
    <row r="5" spans="1:8" ht="15" customHeight="1">
      <c r="A5" s="134" t="s">
        <v>26</v>
      </c>
      <c r="B5" s="134" t="s">
        <v>9</v>
      </c>
      <c r="C5" s="29" t="s">
        <v>120</v>
      </c>
      <c r="D5" s="188" t="s">
        <v>42</v>
      </c>
    </row>
    <row r="6" spans="1:8" ht="15" customHeight="1">
      <c r="A6" s="135"/>
      <c r="B6" s="135"/>
      <c r="C6" s="52">
        <v>100000</v>
      </c>
      <c r="D6" s="189"/>
    </row>
    <row r="7" spans="1:8" ht="15" customHeight="1">
      <c r="A7" s="136"/>
      <c r="B7" s="136"/>
      <c r="C7" s="46" t="s">
        <v>6</v>
      </c>
      <c r="D7" s="190"/>
    </row>
    <row r="8" spans="1:8" ht="15" customHeight="1">
      <c r="A8" s="149">
        <v>45807</v>
      </c>
      <c r="B8" s="134">
        <v>5</v>
      </c>
      <c r="C8" s="51">
        <v>116587.414</v>
      </c>
      <c r="D8" s="36">
        <f>ROUND((C8-C6)/C6*100,1)</f>
        <v>16.600000000000001</v>
      </c>
      <c r="F8" s="97">
        <f>ROUND((C8-C$6)/C$6*100,1)</f>
        <v>16.600000000000001</v>
      </c>
      <c r="H8" s="37">
        <f>D8-F8</f>
        <v>0</v>
      </c>
    </row>
    <row r="9" spans="1:8" ht="15" customHeight="1">
      <c r="A9" s="149"/>
      <c r="B9" s="135"/>
      <c r="C9" s="51">
        <v>101488.276</v>
      </c>
      <c r="D9" s="36">
        <f>ROUND((C9-C6)/C6*100,1)</f>
        <v>1.5</v>
      </c>
      <c r="F9" s="97">
        <f t="shared" ref="F9:F13" si="0">ROUND((C9-C$6)/C$6*100,1)</f>
        <v>1.5</v>
      </c>
      <c r="H9" s="37">
        <f t="shared" ref="H9:H13" si="1">D9-F9</f>
        <v>0</v>
      </c>
    </row>
    <row r="10" spans="1:8" ht="15" customHeight="1">
      <c r="A10" s="149"/>
      <c r="B10" s="135"/>
      <c r="C10" s="51">
        <v>104042.955</v>
      </c>
      <c r="D10" s="36">
        <f>ROUND((C10-C6)/C6*100,1)</f>
        <v>4</v>
      </c>
      <c r="F10" s="97">
        <f t="shared" si="0"/>
        <v>4</v>
      </c>
      <c r="H10" s="37">
        <f t="shared" si="1"/>
        <v>0</v>
      </c>
    </row>
    <row r="11" spans="1:8" ht="15" customHeight="1">
      <c r="A11" s="149"/>
      <c r="B11" s="135"/>
      <c r="C11" s="51">
        <v>103470.503</v>
      </c>
      <c r="D11" s="36">
        <f>ROUND((C11-C6)/C6*100,1)</f>
        <v>3.5</v>
      </c>
      <c r="F11" s="97">
        <f t="shared" si="0"/>
        <v>3.5</v>
      </c>
      <c r="H11" s="37">
        <f t="shared" si="1"/>
        <v>0</v>
      </c>
    </row>
    <row r="12" spans="1:8" ht="15" customHeight="1">
      <c r="A12" s="149"/>
      <c r="B12" s="135"/>
      <c r="C12" s="51">
        <v>102151.35400000001</v>
      </c>
      <c r="D12" s="36">
        <f>ROUND((C12-C6)/C6*100,1)</f>
        <v>2.2000000000000002</v>
      </c>
      <c r="F12" s="97">
        <f t="shared" si="0"/>
        <v>2.2000000000000002</v>
      </c>
      <c r="H12" s="37">
        <f t="shared" si="1"/>
        <v>0</v>
      </c>
    </row>
    <row r="13" spans="1:8" ht="15" customHeight="1">
      <c r="A13" s="149"/>
      <c r="B13" s="136"/>
      <c r="C13" s="51">
        <v>105582.678</v>
      </c>
      <c r="D13" s="36">
        <f>ROUND((C13-C6)/C6*100,1)</f>
        <v>5.6</v>
      </c>
      <c r="F13" s="97">
        <f t="shared" si="0"/>
        <v>5.6</v>
      </c>
      <c r="H13" s="37">
        <f t="shared" si="1"/>
        <v>0</v>
      </c>
    </row>
    <row r="14" spans="1:8" ht="15" customHeight="1">
      <c r="A14" s="29" t="s">
        <v>121</v>
      </c>
      <c r="B14" s="146"/>
      <c r="C14" s="24">
        <f>ROUND(AVERAGE(C8:C13),3)</f>
        <v>105553.863</v>
      </c>
      <c r="D14" s="191"/>
      <c r="E14" s="6">
        <f>ROUND(AVERAGEA(C8:C13),3)</f>
        <v>105553.863</v>
      </c>
      <c r="G14" s="112">
        <f>C14-E14</f>
        <v>0</v>
      </c>
    </row>
    <row r="15" spans="1:8" ht="15" customHeight="1">
      <c r="A15" s="29" t="s">
        <v>4</v>
      </c>
      <c r="B15" s="147"/>
      <c r="C15" s="24">
        <f>ROUND(STDEV(C8:C13),3)</f>
        <v>5594.0929999999998</v>
      </c>
      <c r="D15" s="192"/>
      <c r="E15" s="6">
        <f>ROUND(STDEVA(C8:C13),3)</f>
        <v>5594.0929999999998</v>
      </c>
      <c r="G15" s="112">
        <f t="shared" ref="G15:G17" si="2">C15-E15</f>
        <v>0</v>
      </c>
    </row>
    <row r="16" spans="1:8" ht="15" customHeight="1">
      <c r="A16" s="29" t="s">
        <v>39</v>
      </c>
      <c r="B16" s="147"/>
      <c r="C16" s="36">
        <f>ROUND(C15/C14*100,1)</f>
        <v>5.3</v>
      </c>
      <c r="D16" s="192"/>
      <c r="E16" s="97">
        <f>ROUND(E15/E14*100,1)</f>
        <v>5.3</v>
      </c>
      <c r="G16" s="112">
        <f t="shared" si="2"/>
        <v>0</v>
      </c>
    </row>
    <row r="17" spans="1:8" ht="15" customHeight="1">
      <c r="A17" s="29" t="s">
        <v>40</v>
      </c>
      <c r="B17" s="147"/>
      <c r="C17" s="36">
        <f>ROUND(C14/C6*100,1)</f>
        <v>105.6</v>
      </c>
      <c r="D17" s="192"/>
      <c r="E17" s="97">
        <f>ROUND(C14/C6*100,1)</f>
        <v>105.6</v>
      </c>
      <c r="G17" s="112">
        <f t="shared" si="2"/>
        <v>0</v>
      </c>
    </row>
    <row r="18" spans="1:8" ht="15" customHeight="1">
      <c r="A18" s="29" t="s">
        <v>5</v>
      </c>
      <c r="B18" s="148"/>
      <c r="C18" s="38">
        <v>6</v>
      </c>
      <c r="D18" s="193"/>
    </row>
    <row r="19" spans="1:8">
      <c r="A19" s="6"/>
      <c r="B19" s="6"/>
      <c r="C19" s="6"/>
      <c r="D19" s="15"/>
    </row>
    <row r="21" spans="1:8">
      <c r="A21" s="5" t="s">
        <v>99</v>
      </c>
    </row>
    <row r="22" spans="1:8" ht="15" customHeight="1">
      <c r="A22" s="134" t="s">
        <v>26</v>
      </c>
      <c r="B22" s="134" t="s">
        <v>9</v>
      </c>
      <c r="C22" s="29" t="s">
        <v>120</v>
      </c>
      <c r="D22" s="188" t="s">
        <v>86</v>
      </c>
    </row>
    <row r="23" spans="1:8" ht="15" customHeight="1">
      <c r="A23" s="135"/>
      <c r="B23" s="135"/>
      <c r="C23" s="52">
        <v>100000</v>
      </c>
      <c r="D23" s="189"/>
    </row>
    <row r="24" spans="1:8" ht="15" customHeight="1">
      <c r="A24" s="136"/>
      <c r="B24" s="136"/>
      <c r="C24" s="46" t="s">
        <v>6</v>
      </c>
      <c r="D24" s="190"/>
    </row>
    <row r="25" spans="1:8" ht="15" customHeight="1">
      <c r="A25" s="149">
        <v>45807</v>
      </c>
      <c r="B25" s="134">
        <v>5</v>
      </c>
      <c r="C25" s="51">
        <v>117736.965</v>
      </c>
      <c r="D25" s="36">
        <f>ROUND((C25-C23)/C23*100,1)</f>
        <v>17.7</v>
      </c>
      <c r="F25" s="97">
        <f>ROUND((C25-C$23)/C$23*100,1)</f>
        <v>17.7</v>
      </c>
      <c r="H25" s="37">
        <f>D25-F25</f>
        <v>0</v>
      </c>
    </row>
    <row r="26" spans="1:8" ht="15" customHeight="1">
      <c r="A26" s="149"/>
      <c r="B26" s="135"/>
      <c r="C26" s="51">
        <v>104446.24</v>
      </c>
      <c r="D26" s="36">
        <f>ROUND((C26-C23)/C23*100,1)</f>
        <v>4.4000000000000004</v>
      </c>
      <c r="F26" s="97">
        <f t="shared" ref="F26:F30" si="3">ROUND((C26-C$23)/C$23*100,1)</f>
        <v>4.4000000000000004</v>
      </c>
      <c r="H26" s="37">
        <f t="shared" ref="H26:H30" si="4">D26-F26</f>
        <v>0</v>
      </c>
    </row>
    <row r="27" spans="1:8" ht="15" customHeight="1">
      <c r="A27" s="149"/>
      <c r="B27" s="135"/>
      <c r="C27" s="51">
        <v>106306.556</v>
      </c>
      <c r="D27" s="36">
        <f>ROUND((C27-C23)/C23*100,1)</f>
        <v>6.3</v>
      </c>
      <c r="F27" s="97">
        <f t="shared" si="3"/>
        <v>6.3</v>
      </c>
      <c r="H27" s="37">
        <f t="shared" si="4"/>
        <v>0</v>
      </c>
    </row>
    <row r="28" spans="1:8" ht="15" customHeight="1">
      <c r="A28" s="149"/>
      <c r="B28" s="135"/>
      <c r="C28" s="51">
        <v>103723.868</v>
      </c>
      <c r="D28" s="36">
        <f>ROUND((C28-C23)/C23*100,1)</f>
        <v>3.7</v>
      </c>
      <c r="F28" s="97">
        <f t="shared" si="3"/>
        <v>3.7</v>
      </c>
      <c r="H28" s="37">
        <f t="shared" si="4"/>
        <v>0</v>
      </c>
    </row>
    <row r="29" spans="1:8" ht="15" customHeight="1">
      <c r="A29" s="149"/>
      <c r="B29" s="135"/>
      <c r="C29" s="51">
        <v>100803.19500000001</v>
      </c>
      <c r="D29" s="36">
        <f>ROUND((C29-C23)/C23*100,1)</f>
        <v>0.8</v>
      </c>
      <c r="F29" s="97">
        <f t="shared" si="3"/>
        <v>0.8</v>
      </c>
      <c r="H29" s="37">
        <f t="shared" si="4"/>
        <v>0</v>
      </c>
    </row>
    <row r="30" spans="1:8" ht="15" customHeight="1">
      <c r="A30" s="149"/>
      <c r="B30" s="136"/>
      <c r="C30" s="51">
        <v>104685.84699999999</v>
      </c>
      <c r="D30" s="36">
        <f>ROUND((C30-C23)/C23*100,1)</f>
        <v>4.7</v>
      </c>
      <c r="F30" s="97">
        <f t="shared" si="3"/>
        <v>4.7</v>
      </c>
      <c r="H30" s="37">
        <f t="shared" si="4"/>
        <v>0</v>
      </c>
    </row>
    <row r="31" spans="1:8" ht="15" customHeight="1">
      <c r="A31" s="29" t="s">
        <v>121</v>
      </c>
      <c r="B31" s="146"/>
      <c r="C31" s="24">
        <f>ROUND(AVERAGE(C25:C30),3)</f>
        <v>106283.77899999999</v>
      </c>
      <c r="D31" s="191"/>
      <c r="E31" s="6">
        <f>ROUND(AVERAGEA(C25:C30),3)</f>
        <v>106283.77899999999</v>
      </c>
      <c r="G31" s="112">
        <f>C31-E31</f>
        <v>0</v>
      </c>
    </row>
    <row r="32" spans="1:8" ht="15" customHeight="1">
      <c r="A32" s="29" t="s">
        <v>4</v>
      </c>
      <c r="B32" s="147"/>
      <c r="C32" s="24">
        <f>ROUND(STDEV(C25:C30),3)</f>
        <v>5893.9949999999999</v>
      </c>
      <c r="D32" s="192"/>
      <c r="E32" s="6">
        <f>ROUND(STDEVA(C25:C30),3)</f>
        <v>5893.9949999999999</v>
      </c>
      <c r="G32" s="112">
        <f t="shared" ref="G32:G34" si="5">C32-E32</f>
        <v>0</v>
      </c>
    </row>
    <row r="33" spans="1:7" ht="15" customHeight="1">
      <c r="A33" s="29" t="s">
        <v>91</v>
      </c>
      <c r="B33" s="147"/>
      <c r="C33" s="36">
        <f>ROUND(C32/C31*100,1)</f>
        <v>5.5</v>
      </c>
      <c r="D33" s="192"/>
      <c r="E33" s="97">
        <f>ROUND(E32/E31*100,1)</f>
        <v>5.5</v>
      </c>
      <c r="G33" s="112">
        <f t="shared" si="5"/>
        <v>0</v>
      </c>
    </row>
    <row r="34" spans="1:7" ht="15" customHeight="1">
      <c r="A34" s="29" t="s">
        <v>92</v>
      </c>
      <c r="B34" s="147"/>
      <c r="C34" s="36">
        <f>ROUND(C31/C23*100,1)</f>
        <v>106.3</v>
      </c>
      <c r="D34" s="192"/>
      <c r="E34" s="97">
        <f>ROUND(C31/C23*100,1)</f>
        <v>106.3</v>
      </c>
      <c r="G34" s="112">
        <f t="shared" si="5"/>
        <v>0</v>
      </c>
    </row>
    <row r="35" spans="1:7" ht="15" customHeight="1">
      <c r="A35" s="29" t="s">
        <v>5</v>
      </c>
      <c r="B35" s="148"/>
      <c r="C35" s="38">
        <v>6</v>
      </c>
      <c r="D35" s="193"/>
    </row>
    <row r="36" spans="1:7">
      <c r="A36" s="6"/>
      <c r="B36" s="6"/>
      <c r="C36" s="6"/>
      <c r="D36" s="15"/>
    </row>
  </sheetData>
  <mergeCells count="15">
    <mergeCell ref="B31:B35"/>
    <mergeCell ref="D31:D35"/>
    <mergeCell ref="A22:A24"/>
    <mergeCell ref="B22:B24"/>
    <mergeCell ref="D22:D24"/>
    <mergeCell ref="A25:A30"/>
    <mergeCell ref="B25:B30"/>
    <mergeCell ref="A2:D2"/>
    <mergeCell ref="B14:B18"/>
    <mergeCell ref="D5:D7"/>
    <mergeCell ref="B5:B7"/>
    <mergeCell ref="A5:A7"/>
    <mergeCell ref="A8:A13"/>
    <mergeCell ref="B8:B13"/>
    <mergeCell ref="D14:D18"/>
  </mergeCells>
  <phoneticPr fontId="6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2:Q38"/>
  <sheetViews>
    <sheetView view="pageBreakPreview" zoomScaleNormal="100" zoomScaleSheetLayoutView="100" workbookViewId="0">
      <selection activeCell="A98" sqref="A98:A103"/>
    </sheetView>
  </sheetViews>
  <sheetFormatPr defaultColWidth="8.875" defaultRowHeight="13.5"/>
  <cols>
    <col min="1" max="6" width="14.625" style="5" customWidth="1"/>
    <col min="7" max="7" width="12.375" style="5" customWidth="1"/>
    <col min="8" max="8" width="8.875" style="5"/>
    <col min="9" max="9" width="16.875" style="5" customWidth="1"/>
    <col min="10" max="16384" width="8.875" style="5"/>
  </cols>
  <sheetData>
    <row r="2" spans="1:17">
      <c r="A2" s="118" t="s">
        <v>32</v>
      </c>
      <c r="B2" s="118"/>
      <c r="C2" s="118"/>
    </row>
    <row r="3" spans="1:17">
      <c r="A3" s="7"/>
      <c r="B3" s="7"/>
      <c r="C3" s="7"/>
    </row>
    <row r="4" spans="1:17">
      <c r="A4" s="7"/>
      <c r="B4" s="7"/>
      <c r="C4" s="7"/>
    </row>
    <row r="5" spans="1:17">
      <c r="A5" s="5" t="s">
        <v>97</v>
      </c>
      <c r="H5" s="103" t="s">
        <v>52</v>
      </c>
      <c r="I5" s="92">
        <v>45800.722222222219</v>
      </c>
    </row>
    <row r="6" spans="1:17" ht="14.25" customHeight="1">
      <c r="A6" s="194" t="s">
        <v>178</v>
      </c>
      <c r="B6" s="194"/>
      <c r="C6" s="194"/>
      <c r="D6" s="194"/>
      <c r="E6" s="194"/>
      <c r="F6" s="194"/>
      <c r="H6" s="103" t="s">
        <v>103</v>
      </c>
      <c r="I6" s="92">
        <v>45801.438194444447</v>
      </c>
    </row>
    <row r="7" spans="1:17" ht="13.5" customHeight="1">
      <c r="A7" s="134" t="s">
        <v>26</v>
      </c>
      <c r="B7" s="134" t="s">
        <v>9</v>
      </c>
      <c r="C7" s="29" t="s">
        <v>3</v>
      </c>
      <c r="D7" s="127" t="s">
        <v>86</v>
      </c>
      <c r="E7" s="29" t="s">
        <v>1</v>
      </c>
      <c r="F7" s="127" t="s">
        <v>86</v>
      </c>
      <c r="H7" s="69" t="s">
        <v>47</v>
      </c>
      <c r="I7" s="89">
        <f>(I6-I5)*24</f>
        <v>17.183333333465271</v>
      </c>
    </row>
    <row r="8" spans="1:17">
      <c r="A8" s="135"/>
      <c r="B8" s="135"/>
      <c r="C8" s="52">
        <v>30</v>
      </c>
      <c r="D8" s="127"/>
      <c r="E8" s="52">
        <v>7500</v>
      </c>
      <c r="F8" s="127"/>
    </row>
    <row r="9" spans="1:17">
      <c r="A9" s="136"/>
      <c r="B9" s="136"/>
      <c r="C9" s="46" t="s">
        <v>6</v>
      </c>
      <c r="D9" s="127"/>
      <c r="E9" s="46" t="s">
        <v>6</v>
      </c>
      <c r="F9" s="127"/>
    </row>
    <row r="10" spans="1:17" ht="14.25">
      <c r="A10" s="195">
        <v>45807</v>
      </c>
      <c r="B10" s="134">
        <v>5</v>
      </c>
      <c r="C10" s="51">
        <v>29.042999999999999</v>
      </c>
      <c r="D10" s="36">
        <f>ROUND((C10-C8)/C8*100,1)</f>
        <v>-3.2</v>
      </c>
      <c r="E10" s="51">
        <v>6821.2389999999996</v>
      </c>
      <c r="F10" s="36">
        <f>ROUND((E10-E8)/E8*100,1)</f>
        <v>-9.1</v>
      </c>
      <c r="G10" s="104"/>
      <c r="H10" s="104"/>
      <c r="K10" s="97">
        <f>ROUND((C10-C$8)/C$8*100,1)</f>
        <v>-3.2</v>
      </c>
      <c r="M10" s="97">
        <f>ROUND((E10-E$8)/E$8*100,1)</f>
        <v>-9.1</v>
      </c>
      <c r="O10" s="37">
        <f>D10-K10</f>
        <v>0</v>
      </c>
      <c r="Q10" s="37">
        <f>F10-M10</f>
        <v>0</v>
      </c>
    </row>
    <row r="11" spans="1:17" ht="14.25">
      <c r="A11" s="196"/>
      <c r="B11" s="135"/>
      <c r="C11" s="51">
        <v>28.731000000000002</v>
      </c>
      <c r="D11" s="36">
        <f>ROUND((C11-C8)/C8*100,1)</f>
        <v>-4.2</v>
      </c>
      <c r="E11" s="51">
        <v>7213.0739999999996</v>
      </c>
      <c r="F11" s="36">
        <f>ROUND((E11-E8)/E8*100,1)</f>
        <v>-3.8</v>
      </c>
      <c r="G11" s="104"/>
      <c r="H11" s="104"/>
      <c r="K11" s="97">
        <f t="shared" ref="K11:M15" si="0">ROUND((C11-C$8)/C$8*100,1)</f>
        <v>-4.2</v>
      </c>
      <c r="M11" s="97">
        <f t="shared" si="0"/>
        <v>-3.8</v>
      </c>
      <c r="O11" s="37">
        <f t="shared" ref="O11:O15" si="1">D11-K11</f>
        <v>0</v>
      </c>
      <c r="Q11" s="37">
        <f t="shared" ref="Q11:Q15" si="2">F11-M11</f>
        <v>0</v>
      </c>
    </row>
    <row r="12" spans="1:17" ht="14.25">
      <c r="A12" s="196"/>
      <c r="B12" s="135"/>
      <c r="C12" s="51">
        <v>27.280999999999999</v>
      </c>
      <c r="D12" s="36">
        <f>ROUND((C12-C8)/C8*100,1)</f>
        <v>-9.1</v>
      </c>
      <c r="E12" s="51">
        <v>7069.9089999999997</v>
      </c>
      <c r="F12" s="36">
        <f>ROUND((E12-E8)/E8*100,1)</f>
        <v>-5.7</v>
      </c>
      <c r="G12" s="104"/>
      <c r="H12" s="104"/>
      <c r="K12" s="97">
        <f t="shared" si="0"/>
        <v>-9.1</v>
      </c>
      <c r="M12" s="97">
        <f t="shared" si="0"/>
        <v>-5.7</v>
      </c>
      <c r="O12" s="37">
        <f t="shared" si="1"/>
        <v>0</v>
      </c>
      <c r="Q12" s="37">
        <f t="shared" si="2"/>
        <v>0</v>
      </c>
    </row>
    <row r="13" spans="1:17" ht="14.25">
      <c r="A13" s="196"/>
      <c r="B13" s="135"/>
      <c r="C13" s="51">
        <v>31.475000000000001</v>
      </c>
      <c r="D13" s="36">
        <f>ROUND((C13-C8)/C8*100,1)</f>
        <v>4.9000000000000004</v>
      </c>
      <c r="E13" s="51">
        <v>7257.451</v>
      </c>
      <c r="F13" s="36">
        <f>ROUND((E13-E8)/E8*100,1)</f>
        <v>-3.2</v>
      </c>
      <c r="G13" s="104"/>
      <c r="H13" s="104"/>
      <c r="K13" s="97">
        <f t="shared" si="0"/>
        <v>4.9000000000000004</v>
      </c>
      <c r="M13" s="97">
        <f t="shared" si="0"/>
        <v>-3.2</v>
      </c>
      <c r="O13" s="37">
        <f t="shared" si="1"/>
        <v>0</v>
      </c>
      <c r="Q13" s="37">
        <f t="shared" si="2"/>
        <v>0</v>
      </c>
    </row>
    <row r="14" spans="1:17" ht="14.25">
      <c r="A14" s="196"/>
      <c r="B14" s="135"/>
      <c r="C14" s="51">
        <v>28.577999999999999</v>
      </c>
      <c r="D14" s="36">
        <f>ROUND((C14-C8)/C8*100,1)</f>
        <v>-4.7</v>
      </c>
      <c r="E14" s="51">
        <v>7269.0810000000001</v>
      </c>
      <c r="F14" s="36">
        <f>ROUND((E14-E8)/E8*100,1)</f>
        <v>-3.1</v>
      </c>
      <c r="G14" s="104"/>
      <c r="H14" s="104"/>
      <c r="K14" s="97">
        <f t="shared" si="0"/>
        <v>-4.7</v>
      </c>
      <c r="M14" s="97">
        <f t="shared" si="0"/>
        <v>-3.1</v>
      </c>
      <c r="O14" s="37">
        <f t="shared" si="1"/>
        <v>0</v>
      </c>
      <c r="Q14" s="37">
        <f t="shared" si="2"/>
        <v>0</v>
      </c>
    </row>
    <row r="15" spans="1:17" ht="14.25">
      <c r="A15" s="196"/>
      <c r="B15" s="136"/>
      <c r="C15" s="51">
        <v>25.815999999999999</v>
      </c>
      <c r="D15" s="36">
        <f>ROUND((C15-C8)/C8*100,1)</f>
        <v>-13.9</v>
      </c>
      <c r="E15" s="51">
        <v>7246.875</v>
      </c>
      <c r="F15" s="36">
        <f>ROUND((E15-E8)/E8*100,1)</f>
        <v>-3.4</v>
      </c>
      <c r="G15" s="104"/>
      <c r="H15" s="104"/>
      <c r="K15" s="97">
        <f t="shared" si="0"/>
        <v>-13.9</v>
      </c>
      <c r="M15" s="97">
        <f t="shared" si="0"/>
        <v>-3.4</v>
      </c>
      <c r="O15" s="37">
        <f t="shared" si="1"/>
        <v>0</v>
      </c>
      <c r="Q15" s="37">
        <f t="shared" si="2"/>
        <v>0</v>
      </c>
    </row>
    <row r="16" spans="1:17">
      <c r="A16" s="29" t="s">
        <v>16</v>
      </c>
      <c r="B16" s="146"/>
      <c r="C16" s="24">
        <f>ROUND(AVERAGE(C10:C15),3)</f>
        <v>28.486999999999998</v>
      </c>
      <c r="D16" s="191"/>
      <c r="E16" s="24">
        <f>ROUND(AVERAGE(E10:E15),3)</f>
        <v>7146.2719999999999</v>
      </c>
      <c r="F16" s="191"/>
      <c r="J16" s="6">
        <f>ROUND(AVERAGEA(C10:C15),3)</f>
        <v>28.486999999999998</v>
      </c>
      <c r="L16" s="6">
        <f>ROUND(AVERAGEA(E10:E15),3)</f>
        <v>7146.2719999999999</v>
      </c>
      <c r="N16" s="112">
        <f>C16-J16</f>
        <v>0</v>
      </c>
      <c r="P16" s="112">
        <f>E16-L16</f>
        <v>0</v>
      </c>
    </row>
    <row r="17" spans="1:17">
      <c r="A17" s="29" t="s">
        <v>4</v>
      </c>
      <c r="B17" s="147"/>
      <c r="C17" s="24">
        <f>ROUND(STDEV(C10:C15),3)</f>
        <v>1.8919999999999999</v>
      </c>
      <c r="D17" s="192"/>
      <c r="E17" s="24">
        <f>ROUND(STDEV(E10:E15),3)</f>
        <v>175.21600000000001</v>
      </c>
      <c r="F17" s="192"/>
      <c r="J17" s="6">
        <f>ROUND(STDEVA(C10:C15),3)</f>
        <v>1.8919999999999999</v>
      </c>
      <c r="L17" s="6">
        <f>ROUND(STDEVA(E10:E15),3)</f>
        <v>175.21600000000001</v>
      </c>
      <c r="N17" s="112">
        <f t="shared" ref="N17:P19" si="3">C17-J17</f>
        <v>0</v>
      </c>
      <c r="P17" s="112">
        <f t="shared" si="3"/>
        <v>0</v>
      </c>
    </row>
    <row r="18" spans="1:17">
      <c r="A18" s="29" t="s">
        <v>39</v>
      </c>
      <c r="B18" s="147"/>
      <c r="C18" s="36">
        <f>ROUND(C17/C16*100,1)</f>
        <v>6.6</v>
      </c>
      <c r="D18" s="192"/>
      <c r="E18" s="36">
        <f>ROUND(E17/E16*100,1)</f>
        <v>2.5</v>
      </c>
      <c r="F18" s="192"/>
      <c r="J18" s="97">
        <f>ROUND(J17/J16*100,1)</f>
        <v>6.6</v>
      </c>
      <c r="L18" s="97">
        <f>ROUND(L17/L16*100,1)</f>
        <v>2.5</v>
      </c>
      <c r="N18" s="112">
        <f t="shared" si="3"/>
        <v>0</v>
      </c>
      <c r="P18" s="112">
        <f t="shared" si="3"/>
        <v>0</v>
      </c>
    </row>
    <row r="19" spans="1:17">
      <c r="A19" s="29" t="s">
        <v>40</v>
      </c>
      <c r="B19" s="147"/>
      <c r="C19" s="36">
        <f>ROUND(C16/C8*100,1)</f>
        <v>95</v>
      </c>
      <c r="D19" s="192"/>
      <c r="E19" s="36">
        <f>ROUND(E16/E8*100,1)</f>
        <v>95.3</v>
      </c>
      <c r="F19" s="192"/>
      <c r="J19" s="97">
        <f>ROUND(C16/C8*100,1)</f>
        <v>95</v>
      </c>
      <c r="L19" s="97">
        <f>ROUND(E16/E8*100,1)</f>
        <v>95.3</v>
      </c>
      <c r="N19" s="112">
        <f t="shared" si="3"/>
        <v>0</v>
      </c>
      <c r="P19" s="112">
        <f t="shared" si="3"/>
        <v>0</v>
      </c>
    </row>
    <row r="20" spans="1:17">
      <c r="A20" s="29" t="s">
        <v>5</v>
      </c>
      <c r="B20" s="148"/>
      <c r="C20" s="38">
        <v>6</v>
      </c>
      <c r="D20" s="193"/>
      <c r="E20" s="38">
        <v>6</v>
      </c>
      <c r="F20" s="193"/>
    </row>
    <row r="21" spans="1:17">
      <c r="A21" s="9"/>
      <c r="B21" s="9"/>
      <c r="C21" s="9"/>
      <c r="D21" s="9"/>
      <c r="E21" s="9"/>
    </row>
    <row r="23" spans="1:17">
      <c r="A23" s="5" t="s">
        <v>99</v>
      </c>
      <c r="H23" s="103" t="s">
        <v>52</v>
      </c>
      <c r="I23" s="92">
        <v>45800.722222222219</v>
      </c>
    </row>
    <row r="24" spans="1:17">
      <c r="A24" s="194" t="s">
        <v>179</v>
      </c>
      <c r="B24" s="194"/>
      <c r="C24" s="194"/>
      <c r="D24" s="194"/>
      <c r="E24" s="194"/>
      <c r="F24" s="194"/>
      <c r="H24" s="103" t="s">
        <v>103</v>
      </c>
      <c r="I24" s="92">
        <v>45801.438194444447</v>
      </c>
    </row>
    <row r="25" spans="1:17" ht="13.5" customHeight="1">
      <c r="A25" s="134" t="s">
        <v>26</v>
      </c>
      <c r="B25" s="134" t="s">
        <v>9</v>
      </c>
      <c r="C25" s="29" t="s">
        <v>3</v>
      </c>
      <c r="D25" s="127" t="s">
        <v>86</v>
      </c>
      <c r="E25" s="29" t="s">
        <v>1</v>
      </c>
      <c r="F25" s="127" t="s">
        <v>86</v>
      </c>
      <c r="H25" s="69" t="s">
        <v>47</v>
      </c>
      <c r="I25" s="89">
        <f>(I24-I23)*24</f>
        <v>17.183333333465271</v>
      </c>
    </row>
    <row r="26" spans="1:17">
      <c r="A26" s="135"/>
      <c r="B26" s="135"/>
      <c r="C26" s="52">
        <v>30</v>
      </c>
      <c r="D26" s="127"/>
      <c r="E26" s="52">
        <v>7500</v>
      </c>
      <c r="F26" s="127"/>
    </row>
    <row r="27" spans="1:17">
      <c r="A27" s="136"/>
      <c r="B27" s="136"/>
      <c r="C27" s="46" t="s">
        <v>6</v>
      </c>
      <c r="D27" s="127"/>
      <c r="E27" s="46" t="s">
        <v>6</v>
      </c>
      <c r="F27" s="127"/>
    </row>
    <row r="28" spans="1:17" ht="14.25">
      <c r="A28" s="195">
        <v>45807</v>
      </c>
      <c r="B28" s="134">
        <v>5</v>
      </c>
      <c r="C28" s="51">
        <v>27.170999999999999</v>
      </c>
      <c r="D28" s="36">
        <f>ROUND((C28-C26)/C26*100,1)</f>
        <v>-9.4</v>
      </c>
      <c r="E28" s="51">
        <v>7169.4359999999997</v>
      </c>
      <c r="F28" s="36">
        <f>ROUND((E28-E26)/E26*100,1)</f>
        <v>-4.4000000000000004</v>
      </c>
      <c r="G28" s="104"/>
      <c r="H28" s="104"/>
      <c r="K28" s="97">
        <f>ROUND((C28-C$26)/C$26*100,1)</f>
        <v>-9.4</v>
      </c>
      <c r="M28" s="97">
        <f>ROUND((E28-E$26)/E$26*100,1)</f>
        <v>-4.4000000000000004</v>
      </c>
      <c r="O28" s="37">
        <f>D28-K28</f>
        <v>0</v>
      </c>
      <c r="Q28" s="37">
        <f>F28-M28</f>
        <v>0</v>
      </c>
    </row>
    <row r="29" spans="1:17" ht="14.25">
      <c r="A29" s="196"/>
      <c r="B29" s="135"/>
      <c r="C29" s="51">
        <v>27.966999999999999</v>
      </c>
      <c r="D29" s="36">
        <f>ROUND((C29-C26)/C26*100,1)</f>
        <v>-6.8</v>
      </c>
      <c r="E29" s="51">
        <v>7082.9849999999997</v>
      </c>
      <c r="F29" s="36">
        <f>ROUND((E29-E26)/E26*100,1)</f>
        <v>-5.6</v>
      </c>
      <c r="G29" s="104"/>
      <c r="H29" s="104"/>
      <c r="K29" s="97">
        <f t="shared" ref="K29:M33" si="4">ROUND((C29-C$26)/C$26*100,1)</f>
        <v>-6.8</v>
      </c>
      <c r="M29" s="97">
        <f t="shared" si="4"/>
        <v>-5.6</v>
      </c>
      <c r="O29" s="37">
        <f t="shared" ref="O29:O33" si="5">D29-K29</f>
        <v>0</v>
      </c>
      <c r="Q29" s="37">
        <f t="shared" ref="Q29:Q33" si="6">F29-M29</f>
        <v>0</v>
      </c>
    </row>
    <row r="30" spans="1:17" ht="14.25">
      <c r="A30" s="196"/>
      <c r="B30" s="135"/>
      <c r="C30" s="51">
        <v>28.454000000000001</v>
      </c>
      <c r="D30" s="36">
        <f>ROUND((C30-C26)/C26*100,1)</f>
        <v>-5.2</v>
      </c>
      <c r="E30" s="51">
        <v>7157.6660000000002</v>
      </c>
      <c r="F30" s="36">
        <f>ROUND((E30-E26)/E26*100,1)</f>
        <v>-4.5999999999999996</v>
      </c>
      <c r="G30" s="104"/>
      <c r="H30" s="104"/>
      <c r="K30" s="97">
        <f t="shared" si="4"/>
        <v>-5.2</v>
      </c>
      <c r="M30" s="97">
        <f t="shared" si="4"/>
        <v>-4.5999999999999996</v>
      </c>
      <c r="O30" s="37">
        <f t="shared" si="5"/>
        <v>0</v>
      </c>
      <c r="Q30" s="37">
        <f t="shared" si="6"/>
        <v>0</v>
      </c>
    </row>
    <row r="31" spans="1:17" ht="14.25">
      <c r="A31" s="196"/>
      <c r="B31" s="135"/>
      <c r="C31" s="51">
        <v>25.827000000000002</v>
      </c>
      <c r="D31" s="36">
        <f>ROUND((C31-C26)/C26*100,1)</f>
        <v>-13.9</v>
      </c>
      <c r="E31" s="51">
        <v>7356.3450000000003</v>
      </c>
      <c r="F31" s="36">
        <f>ROUND((E31-E26)/E26*100,1)</f>
        <v>-1.9</v>
      </c>
      <c r="G31" s="104"/>
      <c r="H31" s="104"/>
      <c r="K31" s="97">
        <f t="shared" si="4"/>
        <v>-13.9</v>
      </c>
      <c r="M31" s="97">
        <f t="shared" si="4"/>
        <v>-1.9</v>
      </c>
      <c r="O31" s="37">
        <f t="shared" si="5"/>
        <v>0</v>
      </c>
      <c r="Q31" s="37">
        <f t="shared" si="6"/>
        <v>0</v>
      </c>
    </row>
    <row r="32" spans="1:17" ht="14.25">
      <c r="A32" s="196"/>
      <c r="B32" s="135"/>
      <c r="C32" s="51">
        <v>26.050999999999998</v>
      </c>
      <c r="D32" s="36">
        <f>ROUND((C32-C26)/C26*100,1)</f>
        <v>-13.2</v>
      </c>
      <c r="E32" s="51">
        <v>7250.826</v>
      </c>
      <c r="F32" s="36">
        <f>ROUND((E32-E26)/E26*100,1)</f>
        <v>-3.3</v>
      </c>
      <c r="G32" s="104"/>
      <c r="H32" s="104"/>
      <c r="K32" s="97">
        <f t="shared" si="4"/>
        <v>-13.2</v>
      </c>
      <c r="M32" s="97">
        <f t="shared" si="4"/>
        <v>-3.3</v>
      </c>
      <c r="O32" s="37">
        <f t="shared" si="5"/>
        <v>0</v>
      </c>
      <c r="Q32" s="37">
        <f t="shared" si="6"/>
        <v>0</v>
      </c>
    </row>
    <row r="33" spans="1:17" ht="14.25">
      <c r="A33" s="196"/>
      <c r="B33" s="136"/>
      <c r="C33" s="51">
        <v>27.207000000000001</v>
      </c>
      <c r="D33" s="36">
        <f>ROUND((C33-C26)/C26*100,1)</f>
        <v>-9.3000000000000007</v>
      </c>
      <c r="E33" s="51">
        <v>7286.1559999999999</v>
      </c>
      <c r="F33" s="36">
        <f>ROUND((E33-E26)/E26*100,1)</f>
        <v>-2.9</v>
      </c>
      <c r="G33" s="104"/>
      <c r="H33" s="104"/>
      <c r="K33" s="97">
        <f t="shared" si="4"/>
        <v>-9.3000000000000007</v>
      </c>
      <c r="M33" s="97">
        <f t="shared" si="4"/>
        <v>-2.9</v>
      </c>
      <c r="O33" s="37">
        <f t="shared" si="5"/>
        <v>0</v>
      </c>
      <c r="Q33" s="37">
        <f t="shared" si="6"/>
        <v>0</v>
      </c>
    </row>
    <row r="34" spans="1:17">
      <c r="A34" s="29" t="s">
        <v>16</v>
      </c>
      <c r="B34" s="146"/>
      <c r="C34" s="24">
        <f>ROUND(AVERAGE(C28:C33),3)</f>
        <v>27.113</v>
      </c>
      <c r="D34" s="191"/>
      <c r="E34" s="24">
        <f>ROUND(AVERAGE(E28:E33),3)</f>
        <v>7217.2359999999999</v>
      </c>
      <c r="F34" s="191"/>
      <c r="J34" s="6">
        <f>ROUND(AVERAGEA(C28:C33),3)</f>
        <v>27.113</v>
      </c>
      <c r="L34" s="6">
        <f>ROUND(AVERAGEA(E28:E33),3)</f>
        <v>7217.2359999999999</v>
      </c>
      <c r="N34" s="112">
        <f>C34-J34</f>
        <v>0</v>
      </c>
      <c r="P34" s="112">
        <f>E34-L34</f>
        <v>0</v>
      </c>
    </row>
    <row r="35" spans="1:17">
      <c r="A35" s="29" t="s">
        <v>4</v>
      </c>
      <c r="B35" s="147"/>
      <c r="C35" s="24">
        <f>ROUND(STDEV(C28:C33),3)</f>
        <v>1.032</v>
      </c>
      <c r="D35" s="192"/>
      <c r="E35" s="24">
        <f>ROUND(STDEV(E28:E33),3)</f>
        <v>99.081999999999994</v>
      </c>
      <c r="F35" s="192"/>
      <c r="J35" s="6">
        <f>ROUND(STDEVA(C28:C33),3)</f>
        <v>1.032</v>
      </c>
      <c r="L35" s="6">
        <f>ROUND(STDEVA(E28:E33),3)</f>
        <v>99.081999999999994</v>
      </c>
      <c r="N35" s="112">
        <f t="shared" ref="N35:P37" si="7">C35-J35</f>
        <v>0</v>
      </c>
      <c r="P35" s="112">
        <f t="shared" si="7"/>
        <v>0</v>
      </c>
    </row>
    <row r="36" spans="1:17">
      <c r="A36" s="29" t="s">
        <v>91</v>
      </c>
      <c r="B36" s="147"/>
      <c r="C36" s="36">
        <f>ROUND(C35/C34*100,1)</f>
        <v>3.8</v>
      </c>
      <c r="D36" s="192"/>
      <c r="E36" s="36">
        <f>ROUND(E35/E34*100,1)</f>
        <v>1.4</v>
      </c>
      <c r="F36" s="192"/>
      <c r="J36" s="97">
        <f>ROUND(J35/J34*100,1)</f>
        <v>3.8</v>
      </c>
      <c r="L36" s="97">
        <f>ROUND(L35/L34*100,1)</f>
        <v>1.4</v>
      </c>
      <c r="N36" s="112">
        <f t="shared" si="7"/>
        <v>0</v>
      </c>
      <c r="P36" s="112">
        <f t="shared" si="7"/>
        <v>0</v>
      </c>
    </row>
    <row r="37" spans="1:17">
      <c r="A37" s="29" t="s">
        <v>92</v>
      </c>
      <c r="B37" s="147"/>
      <c r="C37" s="36">
        <f>ROUND(C34/C26*100,1)</f>
        <v>90.4</v>
      </c>
      <c r="D37" s="192"/>
      <c r="E37" s="36">
        <f>ROUND(E34/E26*100,1)</f>
        <v>96.2</v>
      </c>
      <c r="F37" s="192"/>
      <c r="J37" s="97">
        <f>ROUND(C34/C26*100,1)</f>
        <v>90.4</v>
      </c>
      <c r="L37" s="97">
        <f>ROUND(E34/E26*100,1)</f>
        <v>96.2</v>
      </c>
      <c r="N37" s="112">
        <f t="shared" si="7"/>
        <v>0</v>
      </c>
      <c r="P37" s="112">
        <f t="shared" si="7"/>
        <v>0</v>
      </c>
    </row>
    <row r="38" spans="1:17">
      <c r="A38" s="29" t="s">
        <v>5</v>
      </c>
      <c r="B38" s="148"/>
      <c r="C38" s="38">
        <v>6</v>
      </c>
      <c r="D38" s="193"/>
      <c r="E38" s="38">
        <v>6</v>
      </c>
      <c r="F38" s="193"/>
    </row>
  </sheetData>
  <mergeCells count="21">
    <mergeCell ref="B34:B38"/>
    <mergeCell ref="D34:D38"/>
    <mergeCell ref="F34:F38"/>
    <mergeCell ref="A25:A27"/>
    <mergeCell ref="B25:B27"/>
    <mergeCell ref="D25:D27"/>
    <mergeCell ref="F25:F27"/>
    <mergeCell ref="A28:A33"/>
    <mergeCell ref="B28:B33"/>
    <mergeCell ref="A24:F24"/>
    <mergeCell ref="A2:C2"/>
    <mergeCell ref="A7:A9"/>
    <mergeCell ref="B7:B9"/>
    <mergeCell ref="D16:D20"/>
    <mergeCell ref="F16:F20"/>
    <mergeCell ref="D7:D9"/>
    <mergeCell ref="F7:F9"/>
    <mergeCell ref="B16:B20"/>
    <mergeCell ref="A10:A15"/>
    <mergeCell ref="B10:B15"/>
    <mergeCell ref="A6:F6"/>
  </mergeCells>
  <phoneticPr fontId="6" type="noConversion"/>
  <printOptions headings="1" gridLines="1"/>
  <pageMargins left="0.70866141732283472" right="0.70866141732283472" top="0.74803149606299213" bottom="0.74803149606299213" header="0.31496062992125984" footer="0.31496062992125984"/>
  <pageSetup scale="67" orientation="portrait" r:id="rId1"/>
  <headerFooter>
    <oddHeader>&amp;C 1632MV7生物分析方法学验证数据</oddHeader>
    <oddFooter>&amp;C第&amp;P页，共&amp;N页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pageSetUpPr fitToPage="1"/>
  </sheetPr>
  <dimension ref="A2:R39"/>
  <sheetViews>
    <sheetView view="pageBreakPreview" topLeftCell="A2" zoomScaleNormal="100" zoomScaleSheetLayoutView="100" workbookViewId="0">
      <selection activeCell="A98" sqref="A98:A103"/>
    </sheetView>
  </sheetViews>
  <sheetFormatPr defaultColWidth="8.875" defaultRowHeight="13.5"/>
  <cols>
    <col min="1" max="7" width="12.875" style="5" customWidth="1"/>
    <col min="8" max="8" width="13.5" style="3" customWidth="1"/>
    <col min="9" max="16384" width="8.875" style="3"/>
  </cols>
  <sheetData>
    <row r="2" spans="1:18">
      <c r="A2" s="118" t="s">
        <v>31</v>
      </c>
      <c r="B2" s="118"/>
      <c r="C2" s="118"/>
      <c r="D2" s="118"/>
      <c r="E2" s="118"/>
      <c r="F2" s="118"/>
    </row>
    <row r="3" spans="1:18">
      <c r="A3" s="7"/>
      <c r="B3" s="7"/>
      <c r="C3" s="7"/>
      <c r="D3" s="7"/>
      <c r="E3" s="7"/>
      <c r="F3" s="7"/>
    </row>
    <row r="4" spans="1:18">
      <c r="A4" s="7"/>
      <c r="B4" s="7"/>
      <c r="C4" s="7"/>
      <c r="D4" s="7"/>
      <c r="E4" s="7"/>
      <c r="F4" s="7"/>
    </row>
    <row r="5" spans="1:18" s="5" customFormat="1">
      <c r="A5" s="5" t="s">
        <v>97</v>
      </c>
      <c r="B5" s="7"/>
      <c r="C5" s="7"/>
      <c r="D5" s="7"/>
      <c r="E5" s="7"/>
      <c r="F5" s="7"/>
    </row>
    <row r="6" spans="1:18">
      <c r="A6" s="194" t="s">
        <v>95</v>
      </c>
      <c r="B6" s="194"/>
      <c r="C6" s="194"/>
      <c r="D6" s="194"/>
      <c r="E6" s="194"/>
      <c r="F6" s="194"/>
      <c r="G6" s="194"/>
    </row>
    <row r="7" spans="1:18" s="1" customFormat="1">
      <c r="A7" s="134" t="s">
        <v>26</v>
      </c>
      <c r="B7" s="134" t="s">
        <v>9</v>
      </c>
      <c r="C7" s="134" t="s">
        <v>101</v>
      </c>
      <c r="D7" s="29" t="s">
        <v>3</v>
      </c>
      <c r="E7" s="127" t="s">
        <v>86</v>
      </c>
      <c r="F7" s="29" t="s">
        <v>1</v>
      </c>
      <c r="G7" s="127" t="s">
        <v>86</v>
      </c>
    </row>
    <row r="8" spans="1:18" s="1" customFormat="1">
      <c r="A8" s="135"/>
      <c r="B8" s="135"/>
      <c r="C8" s="135"/>
      <c r="D8" s="52">
        <v>30</v>
      </c>
      <c r="E8" s="127"/>
      <c r="F8" s="52">
        <v>7500</v>
      </c>
      <c r="G8" s="127"/>
    </row>
    <row r="9" spans="1:18" s="1" customFormat="1">
      <c r="A9" s="136"/>
      <c r="B9" s="136"/>
      <c r="C9" s="136"/>
      <c r="D9" s="46" t="s">
        <v>6</v>
      </c>
      <c r="E9" s="127"/>
      <c r="F9" s="46" t="s">
        <v>6</v>
      </c>
      <c r="G9" s="127"/>
    </row>
    <row r="10" spans="1:18" s="1" customFormat="1" ht="14.25">
      <c r="A10" s="195">
        <v>45807</v>
      </c>
      <c r="B10" s="134">
        <v>5</v>
      </c>
      <c r="C10" s="134" t="s">
        <v>102</v>
      </c>
      <c r="D10" s="51">
        <v>27.913</v>
      </c>
      <c r="E10" s="36">
        <f>ROUND((D10-D8)/D8*100,1)</f>
        <v>-7</v>
      </c>
      <c r="F10" s="51">
        <v>7123.0730000000003</v>
      </c>
      <c r="G10" s="36">
        <f>ROUND((F10-F8)/F8*100,1)</f>
        <v>-5</v>
      </c>
      <c r="H10"/>
      <c r="I10"/>
      <c r="K10" s="5"/>
      <c r="L10" s="97">
        <f>ROUND((D10-D$8)/D$8*100,1)</f>
        <v>-7</v>
      </c>
      <c r="M10" s="5"/>
      <c r="N10" s="97">
        <f>ROUND((F10-F$8)/F$8*100,1)</f>
        <v>-5</v>
      </c>
      <c r="O10" s="5"/>
      <c r="P10" s="37">
        <f>E10-L10</f>
        <v>0</v>
      </c>
      <c r="Q10" s="5"/>
      <c r="R10" s="37">
        <f>G10-N10</f>
        <v>0</v>
      </c>
    </row>
    <row r="11" spans="1:18" s="1" customFormat="1" ht="14.25">
      <c r="A11" s="196"/>
      <c r="B11" s="135"/>
      <c r="C11" s="135"/>
      <c r="D11" s="51">
        <v>28.51</v>
      </c>
      <c r="E11" s="36">
        <f>ROUND((D11-D8)/D8*100,1)</f>
        <v>-5</v>
      </c>
      <c r="F11" s="51">
        <v>7207.6229999999996</v>
      </c>
      <c r="G11" s="36">
        <f>ROUND((F11-F8)/F8*100,1)</f>
        <v>-3.9</v>
      </c>
      <c r="H11"/>
      <c r="I11"/>
      <c r="K11" s="5"/>
      <c r="L11" s="97">
        <f t="shared" ref="L11:N15" si="0">ROUND((D11-D$8)/D$8*100,1)</f>
        <v>-5</v>
      </c>
      <c r="M11" s="5"/>
      <c r="N11" s="97">
        <f t="shared" si="0"/>
        <v>-3.9</v>
      </c>
      <c r="O11" s="5"/>
      <c r="P11" s="37">
        <f t="shared" ref="P11:P15" si="1">E11-L11</f>
        <v>0</v>
      </c>
      <c r="Q11" s="5"/>
      <c r="R11" s="37">
        <f t="shared" ref="R11:R15" si="2">G11-N11</f>
        <v>0</v>
      </c>
    </row>
    <row r="12" spans="1:18" s="1" customFormat="1" ht="14.25">
      <c r="A12" s="196"/>
      <c r="B12" s="135"/>
      <c r="C12" s="135"/>
      <c r="D12" s="51">
        <v>28.812999999999999</v>
      </c>
      <c r="E12" s="36">
        <f>ROUND((D12-D8)/D8*100,1)</f>
        <v>-4</v>
      </c>
      <c r="F12" s="51">
        <v>7355.3490000000002</v>
      </c>
      <c r="G12" s="36">
        <f>ROUND((F12-F8)/F8*100,1)</f>
        <v>-1.9</v>
      </c>
      <c r="H12"/>
      <c r="I12"/>
      <c r="K12" s="5"/>
      <c r="L12" s="97">
        <f t="shared" si="0"/>
        <v>-4</v>
      </c>
      <c r="M12" s="5"/>
      <c r="N12" s="97">
        <f t="shared" si="0"/>
        <v>-1.9</v>
      </c>
      <c r="O12" s="5"/>
      <c r="P12" s="37">
        <f t="shared" si="1"/>
        <v>0</v>
      </c>
      <c r="Q12" s="5"/>
      <c r="R12" s="37">
        <f t="shared" si="2"/>
        <v>0</v>
      </c>
    </row>
    <row r="13" spans="1:18" s="1" customFormat="1" ht="14.25">
      <c r="A13" s="196"/>
      <c r="B13" s="135"/>
      <c r="C13" s="135"/>
      <c r="D13" s="51">
        <v>29.033999999999999</v>
      </c>
      <c r="E13" s="36">
        <f>ROUND((D13-D8)/D8*100,1)</f>
        <v>-3.2</v>
      </c>
      <c r="F13" s="51">
        <v>7263.924</v>
      </c>
      <c r="G13" s="36">
        <f>ROUND((F13-F8)/F8*100,1)</f>
        <v>-3.1</v>
      </c>
      <c r="H13"/>
      <c r="I13"/>
      <c r="K13" s="5"/>
      <c r="L13" s="97">
        <f t="shared" si="0"/>
        <v>-3.2</v>
      </c>
      <c r="M13" s="5"/>
      <c r="N13" s="97">
        <f t="shared" si="0"/>
        <v>-3.1</v>
      </c>
      <c r="O13" s="5"/>
      <c r="P13" s="37">
        <f t="shared" si="1"/>
        <v>0</v>
      </c>
      <c r="Q13" s="5"/>
      <c r="R13" s="37">
        <f t="shared" si="2"/>
        <v>0</v>
      </c>
    </row>
    <row r="14" spans="1:18" s="1" customFormat="1" ht="14.25">
      <c r="A14" s="196"/>
      <c r="B14" s="135"/>
      <c r="C14" s="135"/>
      <c r="D14" s="51">
        <v>29.757999999999999</v>
      </c>
      <c r="E14" s="36">
        <f>ROUND((D14-D8)/D8*100,1)</f>
        <v>-0.8</v>
      </c>
      <c r="F14" s="51">
        <v>7236.1170000000002</v>
      </c>
      <c r="G14" s="36">
        <f>ROUND((F14-F8)/F8*100,1)</f>
        <v>-3.5</v>
      </c>
      <c r="H14"/>
      <c r="I14"/>
      <c r="K14" s="5"/>
      <c r="L14" s="97">
        <f t="shared" si="0"/>
        <v>-0.8</v>
      </c>
      <c r="M14" s="5"/>
      <c r="N14" s="97">
        <f t="shared" si="0"/>
        <v>-3.5</v>
      </c>
      <c r="O14" s="5"/>
      <c r="P14" s="37">
        <f t="shared" si="1"/>
        <v>0</v>
      </c>
      <c r="Q14" s="5"/>
      <c r="R14" s="37">
        <f t="shared" si="2"/>
        <v>0</v>
      </c>
    </row>
    <row r="15" spans="1:18" s="1" customFormat="1" ht="14.25">
      <c r="A15" s="196"/>
      <c r="B15" s="136"/>
      <c r="C15" s="136"/>
      <c r="D15" s="51">
        <v>28.93</v>
      </c>
      <c r="E15" s="36">
        <f>ROUND((D15-D8)/D8*100,1)</f>
        <v>-3.6</v>
      </c>
      <c r="F15" s="51">
        <v>7288.7430000000004</v>
      </c>
      <c r="G15" s="36">
        <f>ROUND((F15-F8)/F8*100,1)</f>
        <v>-2.8</v>
      </c>
      <c r="H15"/>
      <c r="I15"/>
      <c r="K15" s="5"/>
      <c r="L15" s="97">
        <f t="shared" si="0"/>
        <v>-3.6</v>
      </c>
      <c r="M15" s="5"/>
      <c r="N15" s="97">
        <f t="shared" si="0"/>
        <v>-2.8</v>
      </c>
      <c r="O15" s="5"/>
      <c r="P15" s="37">
        <f t="shared" si="1"/>
        <v>0</v>
      </c>
      <c r="Q15" s="5"/>
      <c r="R15" s="37">
        <f t="shared" si="2"/>
        <v>0</v>
      </c>
    </row>
    <row r="16" spans="1:18" s="1" customFormat="1" ht="14.25">
      <c r="A16" s="29" t="s">
        <v>16</v>
      </c>
      <c r="B16" s="146"/>
      <c r="C16" s="146"/>
      <c r="D16" s="24">
        <f>ROUND(AVERAGE(D10:D15),3)</f>
        <v>28.826000000000001</v>
      </c>
      <c r="E16" s="191"/>
      <c r="F16" s="24">
        <f>ROUND(AVERAGE(F10:F15),3)</f>
        <v>7245.8050000000003</v>
      </c>
      <c r="G16" s="191"/>
      <c r="H16"/>
      <c r="K16" s="6">
        <f>ROUND(AVERAGEA(D10:D15),3)</f>
        <v>28.826000000000001</v>
      </c>
      <c r="L16" s="5"/>
      <c r="M16" s="6">
        <f>ROUND(AVERAGEA(F10:F15),3)</f>
        <v>7245.8050000000003</v>
      </c>
      <c r="N16" s="5"/>
      <c r="O16" s="112">
        <f>D16-K16</f>
        <v>0</v>
      </c>
      <c r="P16" s="5"/>
      <c r="Q16" s="112">
        <f>F16-M16</f>
        <v>0</v>
      </c>
      <c r="R16" s="5"/>
    </row>
    <row r="17" spans="1:18" s="1" customFormat="1" ht="14.25">
      <c r="A17" s="29" t="s">
        <v>4</v>
      </c>
      <c r="B17" s="147"/>
      <c r="C17" s="147"/>
      <c r="D17" s="24">
        <f>ROUND(STDEV(D10:D15),3)</f>
        <v>0.60899999999999999</v>
      </c>
      <c r="E17" s="192"/>
      <c r="F17" s="24">
        <f>ROUND(STDEV(F10:F15),3)</f>
        <v>78.468999999999994</v>
      </c>
      <c r="G17" s="192"/>
      <c r="H17"/>
      <c r="K17" s="6">
        <f>ROUND(STDEVA(D10:D15),3)</f>
        <v>0.60899999999999999</v>
      </c>
      <c r="L17" s="5"/>
      <c r="M17" s="6">
        <f>ROUND(STDEVA(F10:F15),3)</f>
        <v>78.468999999999994</v>
      </c>
      <c r="N17" s="5"/>
      <c r="O17" s="112">
        <f t="shared" ref="O17:Q19" si="3">D17-K17</f>
        <v>0</v>
      </c>
      <c r="P17" s="5"/>
      <c r="Q17" s="112">
        <f t="shared" si="3"/>
        <v>0</v>
      </c>
      <c r="R17" s="5"/>
    </row>
    <row r="18" spans="1:18" s="1" customFormat="1" ht="14.25">
      <c r="A18" s="29" t="s">
        <v>39</v>
      </c>
      <c r="B18" s="147"/>
      <c r="C18" s="147"/>
      <c r="D18" s="36">
        <f>ROUND(D17/D16*100,1)</f>
        <v>2.1</v>
      </c>
      <c r="E18" s="192"/>
      <c r="F18" s="36">
        <f>ROUND(F17/F16*100,1)</f>
        <v>1.1000000000000001</v>
      </c>
      <c r="G18" s="192"/>
      <c r="H18"/>
      <c r="K18" s="97">
        <f>ROUND(K17/K16*100,1)</f>
        <v>2.1</v>
      </c>
      <c r="L18" s="5"/>
      <c r="M18" s="97">
        <f>ROUND(M17/M16*100,1)</f>
        <v>1.1000000000000001</v>
      </c>
      <c r="N18" s="5"/>
      <c r="O18" s="112">
        <f t="shared" si="3"/>
        <v>0</v>
      </c>
      <c r="P18" s="5"/>
      <c r="Q18" s="112">
        <f t="shared" si="3"/>
        <v>0</v>
      </c>
      <c r="R18" s="5"/>
    </row>
    <row r="19" spans="1:18" s="1" customFormat="1" ht="14.25">
      <c r="A19" s="29" t="s">
        <v>40</v>
      </c>
      <c r="B19" s="147"/>
      <c r="C19" s="147"/>
      <c r="D19" s="36">
        <f>ROUND(D16/D8*100,1)</f>
        <v>96.1</v>
      </c>
      <c r="E19" s="192"/>
      <c r="F19" s="36">
        <f>ROUND(F16/F8*100,1)</f>
        <v>96.6</v>
      </c>
      <c r="G19" s="192"/>
      <c r="H19"/>
      <c r="K19" s="97">
        <f>ROUND(D16/D8*100,1)</f>
        <v>96.1</v>
      </c>
      <c r="L19" s="5"/>
      <c r="M19" s="97">
        <f>ROUND(F16/F8*100,1)</f>
        <v>96.6</v>
      </c>
      <c r="N19" s="5"/>
      <c r="O19" s="112">
        <f t="shared" si="3"/>
        <v>0</v>
      </c>
      <c r="P19" s="5"/>
      <c r="Q19" s="112">
        <f t="shared" si="3"/>
        <v>0</v>
      </c>
      <c r="R19" s="5"/>
    </row>
    <row r="20" spans="1:18" s="1" customFormat="1" ht="14.25">
      <c r="A20" s="29" t="s">
        <v>5</v>
      </c>
      <c r="B20" s="148"/>
      <c r="C20" s="148"/>
      <c r="D20" s="38">
        <v>6</v>
      </c>
      <c r="E20" s="193"/>
      <c r="F20" s="38">
        <v>6</v>
      </c>
      <c r="G20" s="193"/>
      <c r="H20"/>
      <c r="K20"/>
      <c r="L20" s="5"/>
      <c r="M20" s="5"/>
      <c r="N20" s="5"/>
      <c r="O20" s="5"/>
      <c r="P20" s="5"/>
      <c r="Q20" s="5"/>
      <c r="R20" s="5"/>
    </row>
    <row r="21" spans="1:18" ht="15">
      <c r="A21" s="9"/>
      <c r="B21" s="9"/>
      <c r="C21" s="9"/>
      <c r="D21" s="9"/>
      <c r="E21" s="9"/>
      <c r="F21" s="53"/>
      <c r="H21"/>
      <c r="K21"/>
      <c r="L21" s="5"/>
      <c r="M21" s="5"/>
      <c r="N21" s="5"/>
      <c r="O21" s="5"/>
      <c r="P21" s="5"/>
      <c r="Q21" s="5"/>
      <c r="R21" s="5"/>
    </row>
    <row r="22" spans="1:18" ht="14.25">
      <c r="A22" s="197"/>
      <c r="B22" s="197"/>
      <c r="C22" s="197"/>
      <c r="D22" s="197"/>
      <c r="H22"/>
      <c r="K22"/>
      <c r="L22" s="5"/>
      <c r="M22" s="5"/>
      <c r="N22" s="5"/>
      <c r="O22" s="5"/>
      <c r="P22" s="5"/>
      <c r="Q22" s="5"/>
      <c r="R22" s="5"/>
    </row>
    <row r="23" spans="1:18" s="5" customFormat="1" ht="14.25">
      <c r="A23" s="5" t="s">
        <v>99</v>
      </c>
      <c r="B23" s="7"/>
      <c r="C23" s="7"/>
      <c r="D23" s="7"/>
      <c r="E23" s="7"/>
      <c r="F23" s="7"/>
      <c r="H23"/>
      <c r="K23"/>
    </row>
    <row r="24" spans="1:18" ht="14.25">
      <c r="A24" s="194" t="s">
        <v>95</v>
      </c>
      <c r="B24" s="194"/>
      <c r="C24" s="194"/>
      <c r="D24" s="194"/>
      <c r="E24" s="194"/>
      <c r="F24" s="194"/>
      <c r="G24" s="194"/>
      <c r="H24"/>
      <c r="K24"/>
      <c r="L24" s="5"/>
      <c r="M24" s="5"/>
      <c r="N24" s="5"/>
      <c r="O24" s="5"/>
      <c r="P24" s="5"/>
      <c r="Q24" s="5"/>
      <c r="R24" s="5"/>
    </row>
    <row r="25" spans="1:18" s="1" customFormat="1" ht="14.25" customHeight="1">
      <c r="A25" s="134" t="s">
        <v>26</v>
      </c>
      <c r="B25" s="134" t="s">
        <v>9</v>
      </c>
      <c r="C25" s="134" t="s">
        <v>101</v>
      </c>
      <c r="D25" s="29" t="s">
        <v>3</v>
      </c>
      <c r="E25" s="127" t="s">
        <v>86</v>
      </c>
      <c r="F25" s="29" t="s">
        <v>1</v>
      </c>
      <c r="G25" s="127" t="s">
        <v>86</v>
      </c>
      <c r="H25"/>
      <c r="K25"/>
      <c r="L25" s="5"/>
      <c r="M25" s="5"/>
      <c r="N25" s="5"/>
      <c r="O25" s="5"/>
      <c r="P25" s="5"/>
      <c r="Q25" s="5"/>
      <c r="R25" s="5"/>
    </row>
    <row r="26" spans="1:18" s="1" customFormat="1" ht="14.25">
      <c r="A26" s="135"/>
      <c r="B26" s="135"/>
      <c r="C26" s="135"/>
      <c r="D26" s="52">
        <v>30</v>
      </c>
      <c r="E26" s="127"/>
      <c r="F26" s="52">
        <v>7500</v>
      </c>
      <c r="G26" s="127"/>
      <c r="H26"/>
      <c r="K26"/>
      <c r="L26" s="5"/>
      <c r="M26" s="5"/>
      <c r="N26" s="5"/>
      <c r="O26" s="5"/>
      <c r="P26" s="5"/>
      <c r="Q26" s="5"/>
      <c r="R26" s="5"/>
    </row>
    <row r="27" spans="1:18" s="1" customFormat="1" ht="14.25">
      <c r="A27" s="136"/>
      <c r="B27" s="136"/>
      <c r="C27" s="136"/>
      <c r="D27" s="46" t="s">
        <v>6</v>
      </c>
      <c r="E27" s="127"/>
      <c r="F27" s="46" t="s">
        <v>6</v>
      </c>
      <c r="G27" s="127"/>
      <c r="H27"/>
      <c r="K27"/>
      <c r="L27" s="5"/>
      <c r="M27" s="5"/>
      <c r="N27" s="5"/>
      <c r="O27" s="5"/>
      <c r="P27" s="5"/>
      <c r="Q27" s="5"/>
      <c r="R27" s="5"/>
    </row>
    <row r="28" spans="1:18" s="1" customFormat="1" ht="14.25">
      <c r="A28" s="195">
        <v>45807</v>
      </c>
      <c r="B28" s="134">
        <v>5</v>
      </c>
      <c r="C28" s="134" t="s">
        <v>102</v>
      </c>
      <c r="D28" s="51">
        <v>26.908000000000001</v>
      </c>
      <c r="E28" s="36">
        <f>ROUND((D28-D26)/D26*100,1)</f>
        <v>-10.3</v>
      </c>
      <c r="F28" s="51">
        <v>7231.607</v>
      </c>
      <c r="G28" s="36">
        <f>ROUND((F28-F26)/F26*100,1)</f>
        <v>-3.6</v>
      </c>
      <c r="H28"/>
      <c r="K28" s="5"/>
      <c r="L28" s="97">
        <f>ROUND((D28-D$26)/D$26*100,1)</f>
        <v>-10.3</v>
      </c>
      <c r="M28" s="5"/>
      <c r="N28" s="97">
        <f>ROUND((F28-F$26)/F$26*100,1)</f>
        <v>-3.6</v>
      </c>
      <c r="O28" s="5"/>
      <c r="P28" s="37">
        <f>E28-L28</f>
        <v>0</v>
      </c>
      <c r="Q28" s="5"/>
      <c r="R28" s="37">
        <f>G28-N28</f>
        <v>0</v>
      </c>
    </row>
    <row r="29" spans="1:18" s="1" customFormat="1" ht="14.25">
      <c r="A29" s="196"/>
      <c r="B29" s="135"/>
      <c r="C29" s="135"/>
      <c r="D29" s="51">
        <v>29.768000000000001</v>
      </c>
      <c r="E29" s="36">
        <f>ROUND((D29-D26)/D26*100,1)</f>
        <v>-0.8</v>
      </c>
      <c r="F29" s="51">
        <v>7431.2650000000003</v>
      </c>
      <c r="G29" s="36">
        <f>ROUND((F29-F26)/F26*100,1)</f>
        <v>-0.9</v>
      </c>
      <c r="H29"/>
      <c r="K29" s="5"/>
      <c r="L29" s="97">
        <f t="shared" ref="L29:N33" si="4">ROUND((D29-D$26)/D$26*100,1)</f>
        <v>-0.8</v>
      </c>
      <c r="M29" s="5"/>
      <c r="N29" s="97">
        <f t="shared" si="4"/>
        <v>-0.9</v>
      </c>
      <c r="O29" s="5"/>
      <c r="P29" s="37">
        <f t="shared" ref="P29:P33" si="5">E29-L29</f>
        <v>0</v>
      </c>
      <c r="Q29" s="5"/>
      <c r="R29" s="37">
        <f t="shared" ref="R29:R33" si="6">G29-N29</f>
        <v>0</v>
      </c>
    </row>
    <row r="30" spans="1:18" s="1" customFormat="1" ht="14.25">
      <c r="A30" s="196"/>
      <c r="B30" s="135"/>
      <c r="C30" s="135"/>
      <c r="D30" s="51">
        <v>29.184999999999999</v>
      </c>
      <c r="E30" s="36">
        <f>ROUND((D30-D26)/D26*100,1)</f>
        <v>-2.7</v>
      </c>
      <c r="F30" s="51">
        <v>7426.1880000000001</v>
      </c>
      <c r="G30" s="36">
        <f>ROUND((F30-F26)/F26*100,1)</f>
        <v>-1</v>
      </c>
      <c r="H30"/>
      <c r="K30" s="5"/>
      <c r="L30" s="97">
        <f t="shared" si="4"/>
        <v>-2.7</v>
      </c>
      <c r="M30" s="5"/>
      <c r="N30" s="97">
        <f t="shared" si="4"/>
        <v>-1</v>
      </c>
      <c r="O30" s="5"/>
      <c r="P30" s="37">
        <f t="shared" si="5"/>
        <v>0</v>
      </c>
      <c r="Q30" s="5"/>
      <c r="R30" s="37">
        <f t="shared" si="6"/>
        <v>0</v>
      </c>
    </row>
    <row r="31" spans="1:18" s="1" customFormat="1" ht="14.25">
      <c r="A31" s="196"/>
      <c r="B31" s="135"/>
      <c r="C31" s="135"/>
      <c r="D31" s="51">
        <v>26.806000000000001</v>
      </c>
      <c r="E31" s="36">
        <f>ROUND((D31-D26)/D26*100,1)</f>
        <v>-10.6</v>
      </c>
      <c r="F31" s="51">
        <v>7388.9719999999998</v>
      </c>
      <c r="G31" s="36">
        <f>ROUND((F31-F26)/F26*100,1)</f>
        <v>-1.5</v>
      </c>
      <c r="H31"/>
      <c r="K31" s="5"/>
      <c r="L31" s="97">
        <f t="shared" si="4"/>
        <v>-10.6</v>
      </c>
      <c r="M31" s="5"/>
      <c r="N31" s="97">
        <f t="shared" si="4"/>
        <v>-1.5</v>
      </c>
      <c r="O31" s="5"/>
      <c r="P31" s="37">
        <f t="shared" si="5"/>
        <v>0</v>
      </c>
      <c r="Q31" s="5"/>
      <c r="R31" s="37">
        <f t="shared" si="6"/>
        <v>0</v>
      </c>
    </row>
    <row r="32" spans="1:18" s="1" customFormat="1" ht="14.25">
      <c r="A32" s="196"/>
      <c r="B32" s="135"/>
      <c r="C32" s="135"/>
      <c r="D32" s="51">
        <v>30.152999999999999</v>
      </c>
      <c r="E32" s="36">
        <f>ROUND((D32-D26)/D26*100,1)</f>
        <v>0.5</v>
      </c>
      <c r="F32" s="51">
        <v>7285.33</v>
      </c>
      <c r="G32" s="36">
        <f>ROUND((F32-F26)/F26*100,1)</f>
        <v>-2.9</v>
      </c>
      <c r="H32"/>
      <c r="K32" s="5"/>
      <c r="L32" s="97">
        <f t="shared" si="4"/>
        <v>0.5</v>
      </c>
      <c r="M32" s="5"/>
      <c r="N32" s="97">
        <f t="shared" si="4"/>
        <v>-2.9</v>
      </c>
      <c r="O32" s="5"/>
      <c r="P32" s="37">
        <f t="shared" si="5"/>
        <v>0</v>
      </c>
      <c r="Q32" s="5"/>
      <c r="R32" s="37">
        <f t="shared" si="6"/>
        <v>0</v>
      </c>
    </row>
    <row r="33" spans="1:18" s="1" customFormat="1" ht="14.25">
      <c r="A33" s="196"/>
      <c r="B33" s="136"/>
      <c r="C33" s="136"/>
      <c r="D33" s="51">
        <v>29.068000000000001</v>
      </c>
      <c r="E33" s="36">
        <f>ROUND((D33-D26)/D26*100,1)</f>
        <v>-3.1</v>
      </c>
      <c r="F33" s="51">
        <v>7397.3289999999997</v>
      </c>
      <c r="G33" s="36">
        <f>ROUND((F33-F26)/F26*100,1)</f>
        <v>-1.4</v>
      </c>
      <c r="H33"/>
      <c r="K33" s="5"/>
      <c r="L33" s="97">
        <f t="shared" si="4"/>
        <v>-3.1</v>
      </c>
      <c r="M33" s="5"/>
      <c r="N33" s="97">
        <f t="shared" si="4"/>
        <v>-1.4</v>
      </c>
      <c r="O33" s="5"/>
      <c r="P33" s="37">
        <f t="shared" si="5"/>
        <v>0</v>
      </c>
      <c r="Q33" s="5"/>
      <c r="R33" s="37">
        <f t="shared" si="6"/>
        <v>0</v>
      </c>
    </row>
    <row r="34" spans="1:18" s="1" customFormat="1">
      <c r="A34" s="29" t="s">
        <v>16</v>
      </c>
      <c r="B34" s="146"/>
      <c r="C34" s="146"/>
      <c r="D34" s="24">
        <f>ROUND(AVERAGE(D28:D33),3)</f>
        <v>28.648</v>
      </c>
      <c r="E34" s="191"/>
      <c r="F34" s="24">
        <f>ROUND(AVERAGE(F28:F33),3)</f>
        <v>7360.1149999999998</v>
      </c>
      <c r="G34" s="191"/>
      <c r="K34" s="6">
        <f>ROUND(AVERAGEA(D28:D33),3)</f>
        <v>28.648</v>
      </c>
      <c r="L34" s="5"/>
      <c r="M34" s="6">
        <f>ROUND(AVERAGEA(F28:F33),3)</f>
        <v>7360.1149999999998</v>
      </c>
      <c r="N34" s="5"/>
      <c r="O34" s="112">
        <f>D34-K34</f>
        <v>0</v>
      </c>
      <c r="P34" s="5"/>
      <c r="Q34" s="112">
        <f>F34-M34</f>
        <v>0</v>
      </c>
      <c r="R34" s="5"/>
    </row>
    <row r="35" spans="1:18" s="1" customFormat="1">
      <c r="A35" s="29" t="s">
        <v>4</v>
      </c>
      <c r="B35" s="147"/>
      <c r="C35" s="147"/>
      <c r="D35" s="24">
        <f>ROUND(STDEV(D28:D33),3)</f>
        <v>1.4430000000000001</v>
      </c>
      <c r="E35" s="192"/>
      <c r="F35" s="24">
        <f>ROUND(STDEV(F28:F33),3)</f>
        <v>82.162000000000006</v>
      </c>
      <c r="G35" s="192"/>
      <c r="K35" s="6">
        <f>ROUND(STDEVA(D28:D33),3)</f>
        <v>1.4430000000000001</v>
      </c>
      <c r="L35" s="5"/>
      <c r="M35" s="6">
        <f>ROUND(STDEVA(F28:F33),3)</f>
        <v>82.162000000000006</v>
      </c>
      <c r="N35" s="5"/>
      <c r="O35" s="112">
        <f t="shared" ref="O35:O37" si="7">D35-K35</f>
        <v>0</v>
      </c>
      <c r="P35" s="5"/>
      <c r="Q35" s="112">
        <f t="shared" ref="Q35:Q37" si="8">F35-M35</f>
        <v>0</v>
      </c>
      <c r="R35" s="5"/>
    </row>
    <row r="36" spans="1:18" s="1" customFormat="1">
      <c r="A36" s="29" t="s">
        <v>91</v>
      </c>
      <c r="B36" s="147"/>
      <c r="C36" s="147"/>
      <c r="D36" s="36">
        <f>ROUND(D35/D34*100,1)</f>
        <v>5</v>
      </c>
      <c r="E36" s="192"/>
      <c r="F36" s="36">
        <f>ROUND(F35/F34*100,1)</f>
        <v>1.1000000000000001</v>
      </c>
      <c r="G36" s="192"/>
      <c r="K36" s="97">
        <f>ROUND(K35/K34*100,1)</f>
        <v>5</v>
      </c>
      <c r="L36" s="5"/>
      <c r="M36" s="97">
        <f>ROUND(M35/M34*100,1)</f>
        <v>1.1000000000000001</v>
      </c>
      <c r="N36" s="5"/>
      <c r="O36" s="112">
        <f t="shared" si="7"/>
        <v>0</v>
      </c>
      <c r="P36" s="5"/>
      <c r="Q36" s="112">
        <f t="shared" si="8"/>
        <v>0</v>
      </c>
      <c r="R36" s="5"/>
    </row>
    <row r="37" spans="1:18" s="1" customFormat="1">
      <c r="A37" s="29" t="s">
        <v>92</v>
      </c>
      <c r="B37" s="147"/>
      <c r="C37" s="147"/>
      <c r="D37" s="36">
        <f>ROUND(D34/D26*100,1)</f>
        <v>95.5</v>
      </c>
      <c r="E37" s="192"/>
      <c r="F37" s="36">
        <f>ROUND(F34/F26*100,1)</f>
        <v>98.1</v>
      </c>
      <c r="G37" s="192"/>
      <c r="K37" s="97">
        <f>ROUND(D34/D26*100,1)</f>
        <v>95.5</v>
      </c>
      <c r="L37" s="5"/>
      <c r="M37" s="97">
        <f>ROUND(F34/F26*100,1)</f>
        <v>98.1</v>
      </c>
      <c r="N37" s="5"/>
      <c r="O37" s="112">
        <f t="shared" si="7"/>
        <v>0</v>
      </c>
      <c r="P37" s="5"/>
      <c r="Q37" s="112">
        <f t="shared" si="8"/>
        <v>0</v>
      </c>
      <c r="R37" s="5"/>
    </row>
    <row r="38" spans="1:18" s="1" customFormat="1">
      <c r="A38" s="29" t="s">
        <v>5</v>
      </c>
      <c r="B38" s="148"/>
      <c r="C38" s="148"/>
      <c r="D38" s="38">
        <v>6</v>
      </c>
      <c r="E38" s="193"/>
      <c r="F38" s="38">
        <v>6</v>
      </c>
      <c r="G38" s="193"/>
      <c r="K38" s="97"/>
      <c r="L38" s="5"/>
      <c r="M38" s="97"/>
      <c r="N38" s="5"/>
      <c r="O38" s="112"/>
      <c r="P38" s="5"/>
      <c r="Q38" s="112"/>
      <c r="R38" s="5"/>
    </row>
    <row r="39" spans="1:18" ht="15">
      <c r="A39" s="9"/>
      <c r="B39" s="9"/>
      <c r="C39" s="9"/>
      <c r="D39" s="9"/>
      <c r="E39" s="9"/>
      <c r="F39" s="53"/>
    </row>
  </sheetData>
  <mergeCells count="28">
    <mergeCell ref="E34:E38"/>
    <mergeCell ref="G34:G38"/>
    <mergeCell ref="A28:A33"/>
    <mergeCell ref="B28:B33"/>
    <mergeCell ref="C28:C33"/>
    <mergeCell ref="B34:B38"/>
    <mergeCell ref="C34:C38"/>
    <mergeCell ref="A25:A27"/>
    <mergeCell ref="B25:B27"/>
    <mergeCell ref="C25:C27"/>
    <mergeCell ref="E25:E27"/>
    <mergeCell ref="G25:G27"/>
    <mergeCell ref="A2:F2"/>
    <mergeCell ref="A7:A9"/>
    <mergeCell ref="B7:B9"/>
    <mergeCell ref="E7:E9"/>
    <mergeCell ref="A22:D22"/>
    <mergeCell ref="A6:G6"/>
    <mergeCell ref="A24:G24"/>
    <mergeCell ref="G7:G9"/>
    <mergeCell ref="C7:C9"/>
    <mergeCell ref="G16:G20"/>
    <mergeCell ref="A10:A15"/>
    <mergeCell ref="C10:C15"/>
    <mergeCell ref="B16:B20"/>
    <mergeCell ref="C16:C20"/>
    <mergeCell ref="E16:E20"/>
    <mergeCell ref="B10:B15"/>
  </mergeCells>
  <phoneticPr fontId="6" type="noConversion"/>
  <printOptions headings="1" gridLines="1"/>
  <pageMargins left="0.70866141732283472" right="0.70866141732283472" top="0.74803149606299213" bottom="0.74803149606299213" header="0.31496062992125984" footer="0.31496062992125984"/>
  <pageSetup scale="94" orientation="portrait" r:id="rId1"/>
  <headerFooter>
    <oddHeader>&amp;C 1632MV7生物分析方法学验证数据</oddHeader>
    <oddFooter>&amp;C第&amp;P页，共&amp;N页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2:R39"/>
  <sheetViews>
    <sheetView view="pageBreakPreview" zoomScaleNormal="100" zoomScaleSheetLayoutView="100" workbookViewId="0">
      <selection activeCell="A98" sqref="A98:A103"/>
    </sheetView>
  </sheetViews>
  <sheetFormatPr defaultColWidth="8.875" defaultRowHeight="13.5"/>
  <cols>
    <col min="1" max="2" width="14.125" style="5" customWidth="1"/>
    <col min="3" max="3" width="17.5" style="5" customWidth="1"/>
    <col min="4" max="6" width="14.125" style="5" customWidth="1"/>
    <col min="7" max="7" width="14" style="5" customWidth="1"/>
    <col min="8" max="8" width="8.875" style="5"/>
    <col min="9" max="9" width="16.75" style="5" customWidth="1"/>
    <col min="10" max="16384" width="8.875" style="5"/>
  </cols>
  <sheetData>
    <row r="2" spans="1:18">
      <c r="A2" s="5" t="s">
        <v>30</v>
      </c>
    </row>
    <row r="4" spans="1:18">
      <c r="A4" s="5" t="s">
        <v>97</v>
      </c>
    </row>
    <row r="5" spans="1:18">
      <c r="A5" s="194" t="s">
        <v>181</v>
      </c>
      <c r="B5" s="194"/>
      <c r="C5" s="194"/>
      <c r="D5" s="194"/>
      <c r="E5" s="194"/>
      <c r="F5" s="194"/>
      <c r="H5" s="69" t="s">
        <v>50</v>
      </c>
      <c r="I5" s="92">
        <v>45800.781944444447</v>
      </c>
    </row>
    <row r="6" spans="1:18" ht="15.75" customHeight="1">
      <c r="A6" s="134" t="s">
        <v>161</v>
      </c>
      <c r="B6" s="134" t="s">
        <v>9</v>
      </c>
      <c r="C6" s="29" t="s">
        <v>7</v>
      </c>
      <c r="D6" s="127" t="s">
        <v>86</v>
      </c>
      <c r="E6" s="65" t="s">
        <v>1</v>
      </c>
      <c r="F6" s="127" t="s">
        <v>86</v>
      </c>
      <c r="H6" s="69" t="s">
        <v>51</v>
      </c>
      <c r="I6" s="92">
        <v>45807.371527777781</v>
      </c>
    </row>
    <row r="7" spans="1:18" ht="15.75" customHeight="1">
      <c r="A7" s="135"/>
      <c r="B7" s="135"/>
      <c r="C7" s="52">
        <v>30</v>
      </c>
      <c r="D7" s="127"/>
      <c r="E7" s="52">
        <v>7500</v>
      </c>
      <c r="F7" s="127"/>
      <c r="H7" s="69" t="s">
        <v>27</v>
      </c>
      <c r="I7" s="89">
        <f>(I6-I5)*24</f>
        <v>158.15000000002328</v>
      </c>
    </row>
    <row r="8" spans="1:18" ht="15.75" customHeight="1">
      <c r="A8" s="136"/>
      <c r="B8" s="136"/>
      <c r="C8" s="46" t="s">
        <v>6</v>
      </c>
      <c r="D8" s="127"/>
      <c r="E8" s="46" t="s">
        <v>6</v>
      </c>
      <c r="F8" s="127"/>
    </row>
    <row r="9" spans="1:18" ht="15.75" customHeight="1">
      <c r="A9" s="195">
        <v>45807</v>
      </c>
      <c r="B9" s="134">
        <v>5</v>
      </c>
      <c r="C9" s="51">
        <v>32.302</v>
      </c>
      <c r="D9" s="36">
        <f>ROUND((C9-C7)/C7*100,1)</f>
        <v>7.7</v>
      </c>
      <c r="E9" s="51">
        <v>7569.5950000000003</v>
      </c>
      <c r="F9" s="36">
        <f>ROUND((E9-E7)/E7*100,1)</f>
        <v>0.9</v>
      </c>
      <c r="I9" s="93"/>
      <c r="L9" s="97">
        <f>ROUND((C9-C$7)/C$7*100,1)</f>
        <v>7.7</v>
      </c>
      <c r="N9" s="97">
        <f>ROUND((E9-E$7)/E$7*100,1)</f>
        <v>0.9</v>
      </c>
      <c r="P9" s="37">
        <f>D9-L9</f>
        <v>0</v>
      </c>
      <c r="R9" s="37">
        <f>F9-N9</f>
        <v>0</v>
      </c>
    </row>
    <row r="10" spans="1:18" ht="15.75" customHeight="1">
      <c r="A10" s="196"/>
      <c r="B10" s="135"/>
      <c r="C10" s="51">
        <v>30.376999999999999</v>
      </c>
      <c r="D10" s="36">
        <f>ROUND((C10-C7)/C7*100,1)</f>
        <v>1.3</v>
      </c>
      <c r="E10" s="51">
        <v>7653.6610000000001</v>
      </c>
      <c r="F10" s="36">
        <f>ROUND((E10-E7)/E7*100,1)</f>
        <v>2</v>
      </c>
      <c r="L10" s="97">
        <f t="shared" ref="L10:N14" si="0">ROUND((C10-C$7)/C$7*100,1)</f>
        <v>1.3</v>
      </c>
      <c r="N10" s="97">
        <f t="shared" si="0"/>
        <v>2</v>
      </c>
      <c r="P10" s="37">
        <f t="shared" ref="P10:R14" si="1">D10-L10</f>
        <v>0</v>
      </c>
      <c r="R10" s="37">
        <f t="shared" si="1"/>
        <v>0</v>
      </c>
    </row>
    <row r="11" spans="1:18" ht="15.75" customHeight="1">
      <c r="A11" s="196"/>
      <c r="B11" s="135"/>
      <c r="C11" s="51">
        <v>35.506999999999998</v>
      </c>
      <c r="D11" s="36">
        <f>ROUND((C11-C7)/C7*100,1)</f>
        <v>18.399999999999999</v>
      </c>
      <c r="E11" s="51">
        <v>7776.1120000000001</v>
      </c>
      <c r="F11" s="36">
        <f>ROUND((E11-E7)/E7*100,1)</f>
        <v>3.7</v>
      </c>
      <c r="L11" s="97">
        <f t="shared" si="0"/>
        <v>18.399999999999999</v>
      </c>
      <c r="N11" s="97">
        <f t="shared" si="0"/>
        <v>3.7</v>
      </c>
      <c r="P11" s="37">
        <f t="shared" si="1"/>
        <v>0</v>
      </c>
      <c r="R11" s="37">
        <f t="shared" si="1"/>
        <v>0</v>
      </c>
    </row>
    <row r="12" spans="1:18" ht="15.75" customHeight="1">
      <c r="A12" s="196"/>
      <c r="B12" s="135"/>
      <c r="C12" s="51">
        <v>31.706</v>
      </c>
      <c r="D12" s="36">
        <f>ROUND((C12-C7)/C7*100,1)</f>
        <v>5.7</v>
      </c>
      <c r="E12" s="51">
        <v>7951.3590000000004</v>
      </c>
      <c r="F12" s="36">
        <f>ROUND((E12-E7)/E7*100,1)</f>
        <v>6</v>
      </c>
      <c r="L12" s="97">
        <f t="shared" si="0"/>
        <v>5.7</v>
      </c>
      <c r="N12" s="97">
        <f t="shared" si="0"/>
        <v>6</v>
      </c>
      <c r="P12" s="37">
        <f t="shared" si="1"/>
        <v>0</v>
      </c>
      <c r="R12" s="37">
        <f t="shared" si="1"/>
        <v>0</v>
      </c>
    </row>
    <row r="13" spans="1:18" ht="15.75" customHeight="1">
      <c r="A13" s="196"/>
      <c r="B13" s="135"/>
      <c r="C13" s="51">
        <v>33.383000000000003</v>
      </c>
      <c r="D13" s="36">
        <f>ROUND((C13-C7)/C7*100,1)</f>
        <v>11.3</v>
      </c>
      <c r="E13" s="51">
        <v>7686.8559999999998</v>
      </c>
      <c r="F13" s="36">
        <f>ROUND((E13-E7)/E7*100,1)</f>
        <v>2.5</v>
      </c>
      <c r="L13" s="97">
        <f t="shared" si="0"/>
        <v>11.3</v>
      </c>
      <c r="N13" s="97">
        <f t="shared" si="0"/>
        <v>2.5</v>
      </c>
      <c r="P13" s="37">
        <f t="shared" si="1"/>
        <v>0</v>
      </c>
      <c r="R13" s="37">
        <f t="shared" si="1"/>
        <v>0</v>
      </c>
    </row>
    <row r="14" spans="1:18" ht="15.75" customHeight="1">
      <c r="A14" s="196"/>
      <c r="B14" s="136"/>
      <c r="C14" s="51">
        <v>32.112000000000002</v>
      </c>
      <c r="D14" s="36">
        <f>ROUND((C14-C7)/C7*100,1)</f>
        <v>7</v>
      </c>
      <c r="E14" s="51">
        <v>8120.5370000000003</v>
      </c>
      <c r="F14" s="36">
        <f>ROUND((E14-E7)/E7*100,1)</f>
        <v>8.3000000000000007</v>
      </c>
      <c r="L14" s="97">
        <f t="shared" si="0"/>
        <v>7</v>
      </c>
      <c r="N14" s="97">
        <f t="shared" si="0"/>
        <v>8.3000000000000007</v>
      </c>
      <c r="P14" s="37">
        <f t="shared" si="1"/>
        <v>0</v>
      </c>
      <c r="R14" s="37">
        <f t="shared" si="1"/>
        <v>0</v>
      </c>
    </row>
    <row r="15" spans="1:18" ht="15.75" customHeight="1">
      <c r="A15" s="29" t="s">
        <v>16</v>
      </c>
      <c r="B15" s="146"/>
      <c r="C15" s="24">
        <f>ROUND(AVERAGE(C9:C14),3)</f>
        <v>32.564999999999998</v>
      </c>
      <c r="D15" s="191"/>
      <c r="E15" s="24">
        <f>ROUND(AVERAGE(E9:E14),3)</f>
        <v>7793.02</v>
      </c>
      <c r="F15" s="191"/>
      <c r="K15" s="6">
        <f>ROUND(AVERAGEA(C9:C14),3)</f>
        <v>32.564999999999998</v>
      </c>
      <c r="M15" s="6">
        <f>ROUND(AVERAGEA(E9:E14),3)</f>
        <v>7793.02</v>
      </c>
      <c r="O15" s="112">
        <f>C15-K15</f>
        <v>0</v>
      </c>
      <c r="Q15" s="112">
        <f>E15-M15</f>
        <v>0</v>
      </c>
    </row>
    <row r="16" spans="1:18" ht="15.75" customHeight="1">
      <c r="A16" s="29" t="s">
        <v>4</v>
      </c>
      <c r="B16" s="147"/>
      <c r="C16" s="24">
        <f>ROUND(STDEV(C9:C14),3)</f>
        <v>1.7390000000000001</v>
      </c>
      <c r="D16" s="192"/>
      <c r="E16" s="24">
        <f>ROUND(STDEV(E9:E14),3)</f>
        <v>206.511</v>
      </c>
      <c r="F16" s="192"/>
      <c r="K16" s="6">
        <f>ROUND(STDEVA(C9:C14),3)</f>
        <v>1.7390000000000001</v>
      </c>
      <c r="M16" s="6">
        <f>ROUND(STDEVA(E9:E14),3)</f>
        <v>206.511</v>
      </c>
      <c r="O16" s="112">
        <f t="shared" ref="O16:Q18" si="2">C16-K16</f>
        <v>0</v>
      </c>
      <c r="Q16" s="112">
        <f t="shared" si="2"/>
        <v>0</v>
      </c>
    </row>
    <row r="17" spans="1:18" ht="15.75" customHeight="1">
      <c r="A17" s="29" t="s">
        <v>39</v>
      </c>
      <c r="B17" s="147"/>
      <c r="C17" s="36">
        <f>ROUND(C16/C15*100,1)</f>
        <v>5.3</v>
      </c>
      <c r="D17" s="192"/>
      <c r="E17" s="36">
        <f>ROUND(E16/E15*100,1)</f>
        <v>2.6</v>
      </c>
      <c r="F17" s="192"/>
      <c r="K17" s="97">
        <f>ROUND(K16/K15*100,1)</f>
        <v>5.3</v>
      </c>
      <c r="M17" s="97">
        <f>ROUND(M16/M15*100,1)</f>
        <v>2.6</v>
      </c>
      <c r="O17" s="112">
        <f t="shared" si="2"/>
        <v>0</v>
      </c>
      <c r="Q17" s="112">
        <f t="shared" si="2"/>
        <v>0</v>
      </c>
    </row>
    <row r="18" spans="1:18" ht="15.75" customHeight="1">
      <c r="A18" s="29" t="s">
        <v>40</v>
      </c>
      <c r="B18" s="147"/>
      <c r="C18" s="36">
        <f>ROUND(C15/C7*100,1)</f>
        <v>108.6</v>
      </c>
      <c r="D18" s="192"/>
      <c r="E18" s="36">
        <f>ROUND(E15/E7*100,1)</f>
        <v>103.9</v>
      </c>
      <c r="F18" s="192"/>
      <c r="K18" s="97">
        <f>ROUND(C15/C7*100,1)</f>
        <v>108.6</v>
      </c>
      <c r="M18" s="97">
        <f>ROUND(E15/E7*100,1)</f>
        <v>103.9</v>
      </c>
      <c r="O18" s="112">
        <f t="shared" si="2"/>
        <v>0</v>
      </c>
      <c r="Q18" s="112">
        <f t="shared" si="2"/>
        <v>0</v>
      </c>
    </row>
    <row r="19" spans="1:18" ht="15.75" customHeight="1">
      <c r="A19" s="29" t="s">
        <v>5</v>
      </c>
      <c r="B19" s="148"/>
      <c r="C19" s="38">
        <v>6</v>
      </c>
      <c r="D19" s="193"/>
      <c r="E19" s="38">
        <v>6</v>
      </c>
      <c r="F19" s="193"/>
    </row>
    <row r="20" spans="1:18" ht="15.75" customHeight="1">
      <c r="A20" s="10"/>
      <c r="D20" s="10"/>
      <c r="E20" s="10"/>
      <c r="F20" s="10"/>
      <c r="H20" s="90"/>
      <c r="I20" s="94"/>
    </row>
    <row r="21" spans="1:18">
      <c r="A21" s="198"/>
      <c r="B21" s="198"/>
      <c r="C21" s="198"/>
      <c r="D21" s="198"/>
      <c r="E21" s="9"/>
      <c r="H21" s="91"/>
      <c r="I21" s="95"/>
    </row>
    <row r="22" spans="1:18">
      <c r="A22" s="5" t="s">
        <v>160</v>
      </c>
    </row>
    <row r="23" spans="1:18">
      <c r="A23" s="194" t="s">
        <v>181</v>
      </c>
      <c r="B23" s="194"/>
      <c r="C23" s="194"/>
      <c r="D23" s="194"/>
      <c r="E23" s="194"/>
      <c r="F23" s="194"/>
    </row>
    <row r="24" spans="1:18" ht="15.75" customHeight="1">
      <c r="A24" s="134" t="s">
        <v>26</v>
      </c>
      <c r="B24" s="134" t="s">
        <v>9</v>
      </c>
      <c r="C24" s="29" t="s">
        <v>7</v>
      </c>
      <c r="D24" s="127" t="s">
        <v>86</v>
      </c>
      <c r="E24" s="65" t="s">
        <v>1</v>
      </c>
      <c r="F24" s="127" t="s">
        <v>86</v>
      </c>
      <c r="H24" s="69" t="s">
        <v>50</v>
      </c>
      <c r="I24" s="92">
        <v>45800.781944444447</v>
      </c>
    </row>
    <row r="25" spans="1:18" ht="15.75" customHeight="1">
      <c r="A25" s="135"/>
      <c r="B25" s="135"/>
      <c r="C25" s="52">
        <v>30</v>
      </c>
      <c r="D25" s="127"/>
      <c r="E25" s="52">
        <v>7500</v>
      </c>
      <c r="F25" s="127"/>
      <c r="H25" s="69" t="s">
        <v>51</v>
      </c>
      <c r="I25" s="92">
        <v>45807.371527777781</v>
      </c>
    </row>
    <row r="26" spans="1:18" ht="15.75" customHeight="1">
      <c r="A26" s="136"/>
      <c r="B26" s="136"/>
      <c r="C26" s="46" t="s">
        <v>6</v>
      </c>
      <c r="D26" s="127"/>
      <c r="E26" s="46" t="s">
        <v>6</v>
      </c>
      <c r="F26" s="127"/>
      <c r="H26" s="69" t="s">
        <v>27</v>
      </c>
      <c r="I26" s="89">
        <f>(I25-I24)*24</f>
        <v>158.15000000002328</v>
      </c>
    </row>
    <row r="27" spans="1:18" ht="15.75" customHeight="1">
      <c r="A27" s="195">
        <v>45807</v>
      </c>
      <c r="B27" s="134">
        <v>5</v>
      </c>
      <c r="C27" s="51">
        <v>32.258000000000003</v>
      </c>
      <c r="D27" s="36">
        <f>ROUND((C27-C25)/C25*100,1)</f>
        <v>7.5</v>
      </c>
      <c r="E27" s="51">
        <v>7886.6</v>
      </c>
      <c r="F27" s="36">
        <f>ROUND((E27-E25)/E25*100,1)</f>
        <v>5.2</v>
      </c>
      <c r="L27" s="97">
        <f>ROUND((C27-C$25)/C$25*100,1)</f>
        <v>7.5</v>
      </c>
      <c r="N27" s="97">
        <f>ROUND((E27-E$25)/E$25*100,1)</f>
        <v>5.2</v>
      </c>
      <c r="P27" s="37">
        <f>D27-L27</f>
        <v>0</v>
      </c>
      <c r="R27" s="37">
        <f>F27-N27</f>
        <v>0</v>
      </c>
    </row>
    <row r="28" spans="1:18" ht="15.75" customHeight="1">
      <c r="A28" s="196"/>
      <c r="B28" s="135"/>
      <c r="C28" s="51">
        <v>31.913</v>
      </c>
      <c r="D28" s="36">
        <f>ROUND((C28-C25)/C25*100,1)</f>
        <v>6.4</v>
      </c>
      <c r="E28" s="51">
        <v>7957.0969999999998</v>
      </c>
      <c r="F28" s="36">
        <f>ROUND((E28-E25)/E25*100,1)</f>
        <v>6.1</v>
      </c>
      <c r="L28" s="97">
        <f t="shared" ref="L28:N32" si="3">ROUND((C28-C$25)/C$25*100,1)</f>
        <v>6.4</v>
      </c>
      <c r="N28" s="97">
        <f t="shared" si="3"/>
        <v>6.1</v>
      </c>
      <c r="P28" s="37">
        <f t="shared" ref="P28:R32" si="4">D28-L28</f>
        <v>0</v>
      </c>
      <c r="R28" s="37">
        <f t="shared" si="4"/>
        <v>0</v>
      </c>
    </row>
    <row r="29" spans="1:18" ht="15.75" customHeight="1">
      <c r="A29" s="196"/>
      <c r="B29" s="135"/>
      <c r="C29" s="51">
        <v>31.137</v>
      </c>
      <c r="D29" s="36">
        <f>ROUND((C29-C25)/C25*100,1)</f>
        <v>3.8</v>
      </c>
      <c r="E29" s="51">
        <v>7993.7460000000001</v>
      </c>
      <c r="F29" s="36">
        <f>ROUND((E29-E25)/E25*100,1)</f>
        <v>6.6</v>
      </c>
      <c r="L29" s="97">
        <f t="shared" si="3"/>
        <v>3.8</v>
      </c>
      <c r="N29" s="97">
        <f t="shared" si="3"/>
        <v>6.6</v>
      </c>
      <c r="P29" s="37">
        <f t="shared" si="4"/>
        <v>0</v>
      </c>
      <c r="R29" s="37">
        <f t="shared" si="4"/>
        <v>0</v>
      </c>
    </row>
    <row r="30" spans="1:18" ht="15.75" customHeight="1">
      <c r="A30" s="196"/>
      <c r="B30" s="135"/>
      <c r="C30" s="51">
        <v>32.567</v>
      </c>
      <c r="D30" s="36">
        <f>ROUND((C30-C25)/C25*100,1)</f>
        <v>8.6</v>
      </c>
      <c r="E30" s="51">
        <v>8172.8149999999996</v>
      </c>
      <c r="F30" s="36">
        <f>ROUND((E30-E25)/E25*100,1)</f>
        <v>9</v>
      </c>
      <c r="L30" s="97">
        <f t="shared" si="3"/>
        <v>8.6</v>
      </c>
      <c r="N30" s="97">
        <f t="shared" si="3"/>
        <v>9</v>
      </c>
      <c r="P30" s="37">
        <f t="shared" si="4"/>
        <v>0</v>
      </c>
      <c r="R30" s="37">
        <f t="shared" si="4"/>
        <v>0</v>
      </c>
    </row>
    <row r="31" spans="1:18" ht="15.75" customHeight="1">
      <c r="A31" s="196"/>
      <c r="B31" s="135"/>
      <c r="C31" s="51">
        <v>32.601999999999997</v>
      </c>
      <c r="D31" s="36">
        <f>ROUND((C31-C25)/C25*100,1)</f>
        <v>8.6999999999999993</v>
      </c>
      <c r="E31" s="51">
        <v>8089.3860000000004</v>
      </c>
      <c r="F31" s="36">
        <f>ROUND((E31-E25)/E25*100,1)</f>
        <v>7.9</v>
      </c>
      <c r="L31" s="97">
        <f t="shared" si="3"/>
        <v>8.6999999999999993</v>
      </c>
      <c r="N31" s="97">
        <f t="shared" si="3"/>
        <v>7.9</v>
      </c>
      <c r="P31" s="37">
        <f t="shared" si="4"/>
        <v>0</v>
      </c>
      <c r="R31" s="37">
        <f t="shared" si="4"/>
        <v>0</v>
      </c>
    </row>
    <row r="32" spans="1:18" ht="15.75" customHeight="1">
      <c r="A32" s="196"/>
      <c r="B32" s="136"/>
      <c r="C32" s="51">
        <v>33.130000000000003</v>
      </c>
      <c r="D32" s="36">
        <f>ROUND((C32-C25)/C25*100,1)</f>
        <v>10.4</v>
      </c>
      <c r="E32" s="51">
        <v>8275.4380000000001</v>
      </c>
      <c r="F32" s="36">
        <f>ROUND((E32-E25)/E25*100,1)</f>
        <v>10.3</v>
      </c>
      <c r="L32" s="97">
        <f t="shared" si="3"/>
        <v>10.4</v>
      </c>
      <c r="N32" s="97">
        <f t="shared" si="3"/>
        <v>10.3</v>
      </c>
      <c r="P32" s="37">
        <f t="shared" si="4"/>
        <v>0</v>
      </c>
      <c r="R32" s="37">
        <f t="shared" si="4"/>
        <v>0</v>
      </c>
    </row>
    <row r="33" spans="1:17" ht="15.75" customHeight="1">
      <c r="A33" s="29" t="s">
        <v>16</v>
      </c>
      <c r="B33" s="146"/>
      <c r="C33" s="24">
        <f>ROUND(AVERAGE(C27:C32),3)</f>
        <v>32.268000000000001</v>
      </c>
      <c r="D33" s="191"/>
      <c r="E33" s="24">
        <f>ROUND(AVERAGE(E27:E32),3)</f>
        <v>8062.5140000000001</v>
      </c>
      <c r="F33" s="191"/>
      <c r="K33" s="6">
        <f>ROUND(AVERAGEA(C27:C32),3)</f>
        <v>32.268000000000001</v>
      </c>
      <c r="M33" s="6">
        <f>ROUND(AVERAGEA(E27:E32),3)</f>
        <v>8062.5140000000001</v>
      </c>
      <c r="O33" s="112">
        <f>C33-K33</f>
        <v>0</v>
      </c>
      <c r="Q33" s="112">
        <f>E33-M33</f>
        <v>0</v>
      </c>
    </row>
    <row r="34" spans="1:17" ht="15.75" customHeight="1">
      <c r="A34" s="29" t="s">
        <v>4</v>
      </c>
      <c r="B34" s="147"/>
      <c r="C34" s="24">
        <f>ROUND(STDEV(C27:C32),3)</f>
        <v>0.68500000000000005</v>
      </c>
      <c r="D34" s="192"/>
      <c r="E34" s="24">
        <f>ROUND(STDEV(E27:E32),3)</f>
        <v>144.922</v>
      </c>
      <c r="F34" s="192"/>
      <c r="K34" s="6">
        <f>ROUND(STDEVA(C27:C32),3)</f>
        <v>0.68500000000000005</v>
      </c>
      <c r="M34" s="6">
        <f>ROUND(STDEVA(E27:E32),3)</f>
        <v>144.922</v>
      </c>
      <c r="O34" s="112">
        <f t="shared" ref="O34:Q36" si="5">C34-K34</f>
        <v>0</v>
      </c>
      <c r="Q34" s="112">
        <f t="shared" si="5"/>
        <v>0</v>
      </c>
    </row>
    <row r="35" spans="1:17" ht="15.75" customHeight="1">
      <c r="A35" s="29" t="s">
        <v>91</v>
      </c>
      <c r="B35" s="147"/>
      <c r="C35" s="36">
        <f>ROUND(C34/C33*100,1)</f>
        <v>2.1</v>
      </c>
      <c r="D35" s="192"/>
      <c r="E35" s="36">
        <f>ROUND(E34/E33*100,1)</f>
        <v>1.8</v>
      </c>
      <c r="F35" s="192"/>
      <c r="K35" s="97">
        <f>ROUND(K34/K33*100,1)</f>
        <v>2.1</v>
      </c>
      <c r="M35" s="97">
        <f>ROUND(M34/M33*100,1)</f>
        <v>1.8</v>
      </c>
      <c r="O35" s="112">
        <f t="shared" si="5"/>
        <v>0</v>
      </c>
      <c r="Q35" s="112">
        <f t="shared" si="5"/>
        <v>0</v>
      </c>
    </row>
    <row r="36" spans="1:17" ht="15.75" customHeight="1">
      <c r="A36" s="29" t="s">
        <v>92</v>
      </c>
      <c r="B36" s="147"/>
      <c r="C36" s="36">
        <f>ROUND(C33/C25*100,1)</f>
        <v>107.6</v>
      </c>
      <c r="D36" s="192"/>
      <c r="E36" s="36">
        <f>ROUND(E33/E25*100,1)</f>
        <v>107.5</v>
      </c>
      <c r="F36" s="192"/>
      <c r="K36" s="97">
        <f>ROUND(C33/C25*100,1)</f>
        <v>107.6</v>
      </c>
      <c r="M36" s="97">
        <f>ROUND(E33/E25*100,1)</f>
        <v>107.5</v>
      </c>
      <c r="O36" s="112">
        <f t="shared" si="5"/>
        <v>0</v>
      </c>
      <c r="Q36" s="112">
        <f t="shared" si="5"/>
        <v>0</v>
      </c>
    </row>
    <row r="37" spans="1:17" ht="15.75" customHeight="1">
      <c r="A37" s="29" t="s">
        <v>5</v>
      </c>
      <c r="B37" s="148"/>
      <c r="C37" s="38">
        <v>6</v>
      </c>
      <c r="D37" s="193"/>
      <c r="E37" s="38">
        <v>6</v>
      </c>
      <c r="F37" s="193"/>
    </row>
    <row r="38" spans="1:17">
      <c r="A38" s="198"/>
      <c r="B38" s="198"/>
      <c r="C38" s="198"/>
      <c r="D38" s="198"/>
      <c r="E38" s="9"/>
    </row>
    <row r="39" spans="1:17">
      <c r="C39" s="96"/>
    </row>
  </sheetData>
  <mergeCells count="22">
    <mergeCell ref="B33:B37"/>
    <mergeCell ref="D33:D37"/>
    <mergeCell ref="F33:F37"/>
    <mergeCell ref="A38:D38"/>
    <mergeCell ref="A24:A26"/>
    <mergeCell ref="B24:B26"/>
    <mergeCell ref="D24:D26"/>
    <mergeCell ref="F24:F26"/>
    <mergeCell ref="A27:A32"/>
    <mergeCell ref="B27:B32"/>
    <mergeCell ref="A5:F5"/>
    <mergeCell ref="A23:F23"/>
    <mergeCell ref="F6:F8"/>
    <mergeCell ref="D15:D19"/>
    <mergeCell ref="F15:F19"/>
    <mergeCell ref="A21:D21"/>
    <mergeCell ref="D6:D8"/>
    <mergeCell ref="B15:B19"/>
    <mergeCell ref="A9:A14"/>
    <mergeCell ref="B9:B14"/>
    <mergeCell ref="A6:A8"/>
    <mergeCell ref="B6:B8"/>
  </mergeCells>
  <phoneticPr fontId="6" type="noConversion"/>
  <printOptions headings="1" gridLines="1"/>
  <pageMargins left="0.70866141732283472" right="0.70866141732283472" top="0.74803149606299213" bottom="0.74803149606299213" header="0.31496062992125984" footer="0.31496062992125984"/>
  <pageSetup scale="67" orientation="portrait" r:id="rId1"/>
  <headerFooter>
    <oddHeader>&amp;C 1632MV7生物分析方法学验证数据</oddHeader>
    <oddFooter>&amp;C第&amp;P页，共&amp;N页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2:O64"/>
  <sheetViews>
    <sheetView view="pageBreakPreview" zoomScaleNormal="100" zoomScaleSheetLayoutView="100" workbookViewId="0">
      <selection activeCell="A98" sqref="A98:A103"/>
    </sheetView>
  </sheetViews>
  <sheetFormatPr defaultColWidth="8.875" defaultRowHeight="13.5"/>
  <cols>
    <col min="1" max="7" width="12.125" style="3" customWidth="1"/>
    <col min="8" max="16384" width="8.875" style="3"/>
  </cols>
  <sheetData>
    <row r="2" spans="1:15">
      <c r="A2" s="199" t="s">
        <v>29</v>
      </c>
      <c r="B2" s="199"/>
      <c r="C2" s="199"/>
      <c r="D2" s="199"/>
      <c r="E2" s="199"/>
      <c r="F2" s="199"/>
    </row>
    <row r="3" spans="1:15" ht="13.5" customHeight="1">
      <c r="A3" s="18"/>
      <c r="B3" s="18"/>
      <c r="C3" s="18"/>
      <c r="D3" s="18"/>
      <c r="E3" s="18"/>
      <c r="F3" s="18"/>
    </row>
    <row r="4" spans="1:15" ht="13.5" customHeight="1">
      <c r="A4" s="5" t="s">
        <v>97</v>
      </c>
      <c r="B4" s="5"/>
      <c r="C4" s="5"/>
      <c r="D4" s="5"/>
      <c r="E4" s="5"/>
      <c r="F4" s="5"/>
      <c r="G4" s="5"/>
    </row>
    <row r="5" spans="1:15">
      <c r="A5" s="194" t="s">
        <v>100</v>
      </c>
      <c r="B5" s="194"/>
      <c r="C5" s="194"/>
      <c r="D5" s="194"/>
      <c r="E5" s="194"/>
      <c r="F5" s="194"/>
      <c r="G5" s="194"/>
      <c r="H5" s="5"/>
    </row>
    <row r="6" spans="1:15" ht="15" customHeight="1">
      <c r="A6" s="134" t="s">
        <v>26</v>
      </c>
      <c r="B6" s="134" t="s">
        <v>9</v>
      </c>
      <c r="C6" s="134" t="s">
        <v>19</v>
      </c>
      <c r="D6" s="200" t="s">
        <v>24</v>
      </c>
      <c r="E6" s="200"/>
      <c r="F6" s="200"/>
      <c r="G6" s="200"/>
      <c r="H6" s="5"/>
    </row>
    <row r="7" spans="1:15">
      <c r="A7" s="135"/>
      <c r="B7" s="135"/>
      <c r="C7" s="135"/>
      <c r="D7" s="48">
        <v>30</v>
      </c>
      <c r="E7" s="49" t="s">
        <v>23</v>
      </c>
      <c r="F7" s="48">
        <v>7500</v>
      </c>
      <c r="G7" s="50" t="s">
        <v>23</v>
      </c>
      <c r="H7" s="5"/>
    </row>
    <row r="8" spans="1:15" ht="15" customHeight="1">
      <c r="A8" s="135"/>
      <c r="B8" s="135"/>
      <c r="C8" s="135"/>
      <c r="D8" s="136" t="s">
        <v>25</v>
      </c>
      <c r="E8" s="201"/>
      <c r="F8" s="136" t="s">
        <v>25</v>
      </c>
      <c r="G8" s="136"/>
      <c r="H8" s="5"/>
    </row>
    <row r="9" spans="1:15" ht="15" customHeight="1">
      <c r="A9" s="136"/>
      <c r="B9" s="136"/>
      <c r="C9" s="136"/>
      <c r="D9" s="29" t="s">
        <v>22</v>
      </c>
      <c r="E9" s="29" t="s">
        <v>20</v>
      </c>
      <c r="F9" s="29" t="s">
        <v>22</v>
      </c>
      <c r="G9" s="29" t="s">
        <v>20</v>
      </c>
      <c r="H9" s="5"/>
    </row>
    <row r="10" spans="1:15" ht="15" customHeight="1">
      <c r="A10" s="195">
        <v>45806</v>
      </c>
      <c r="B10" s="134">
        <v>4</v>
      </c>
      <c r="C10" s="29">
        <v>1</v>
      </c>
      <c r="D10" s="47">
        <v>1.1598000000000001E-2</v>
      </c>
      <c r="E10" s="47">
        <v>1.1771E-2</v>
      </c>
      <c r="F10" s="47">
        <v>2.7124030000000001</v>
      </c>
      <c r="G10" s="47">
        <v>2.5890569999999999</v>
      </c>
      <c r="H10"/>
    </row>
    <row r="11" spans="1:15" ht="15" customHeight="1">
      <c r="A11" s="196"/>
      <c r="B11" s="135"/>
      <c r="C11" s="29">
        <v>2</v>
      </c>
      <c r="D11" s="47">
        <v>1.1635E-2</v>
      </c>
      <c r="E11" s="47">
        <v>1.1745E-2</v>
      </c>
      <c r="F11" s="47">
        <v>2.6982140000000001</v>
      </c>
      <c r="G11" s="47">
        <v>2.652336</v>
      </c>
      <c r="H11"/>
    </row>
    <row r="12" spans="1:15" ht="15" customHeight="1">
      <c r="A12" s="196"/>
      <c r="B12" s="135"/>
      <c r="C12" s="29">
        <v>3</v>
      </c>
      <c r="D12" s="47">
        <v>1.1381E-2</v>
      </c>
      <c r="E12" s="47">
        <v>1.1662E-2</v>
      </c>
      <c r="F12" s="47">
        <v>2.598452</v>
      </c>
      <c r="G12" s="47">
        <v>2.6982110000000001</v>
      </c>
      <c r="H12"/>
    </row>
    <row r="13" spans="1:15" ht="15" customHeight="1">
      <c r="A13" s="196"/>
      <c r="B13" s="135"/>
      <c r="C13" s="29">
        <v>4</v>
      </c>
      <c r="D13" s="47">
        <v>1.1459E-2</v>
      </c>
      <c r="E13" s="47">
        <v>1.2139E-2</v>
      </c>
      <c r="F13" s="47">
        <v>2.618287</v>
      </c>
      <c r="G13" s="47">
        <v>2.686194</v>
      </c>
      <c r="H13"/>
    </row>
    <row r="14" spans="1:15" ht="15" customHeight="1">
      <c r="A14" s="196"/>
      <c r="B14" s="135"/>
      <c r="C14" s="29">
        <v>5</v>
      </c>
      <c r="D14" s="47">
        <v>1.2014E-2</v>
      </c>
      <c r="E14" s="47">
        <v>1.1834000000000001E-2</v>
      </c>
      <c r="F14" s="47">
        <v>2.7137660000000001</v>
      </c>
      <c r="G14" s="47">
        <v>2.61015</v>
      </c>
      <c r="H14"/>
    </row>
    <row r="15" spans="1:15" ht="15" customHeight="1">
      <c r="A15" s="196"/>
      <c r="B15" s="135"/>
      <c r="C15" s="30">
        <v>6</v>
      </c>
      <c r="D15" s="47">
        <v>1.1309E-2</v>
      </c>
      <c r="E15" s="47">
        <v>1.1240999999999999E-2</v>
      </c>
      <c r="F15" s="47">
        <v>2.634449</v>
      </c>
      <c r="G15" s="47">
        <v>2.6605370000000002</v>
      </c>
      <c r="H15"/>
    </row>
    <row r="16" spans="1:15" ht="15" customHeight="1">
      <c r="A16" s="29" t="s">
        <v>16</v>
      </c>
      <c r="B16" s="203"/>
      <c r="C16" s="204"/>
      <c r="D16" s="44">
        <f>ROUND(AVERAGE(D10:D15),6)</f>
        <v>1.1566E-2</v>
      </c>
      <c r="E16" s="44">
        <f>ROUND(AVERAGE(E10:E15),6)</f>
        <v>1.1731999999999999E-2</v>
      </c>
      <c r="F16" s="44">
        <f>ROUND(AVERAGE(F10:F15),6)</f>
        <v>2.662595</v>
      </c>
      <c r="G16" s="44">
        <f>ROUND(AVERAGE(G10:G15),6)</f>
        <v>2.6494140000000002</v>
      </c>
      <c r="H16" s="6">
        <f>ROUND(AVERAGEA(D10:D15),6)</f>
        <v>1.1566E-2</v>
      </c>
      <c r="I16" s="6">
        <f>ROUND(AVERAGEA(E10:E15),6)</f>
        <v>1.1731999999999999E-2</v>
      </c>
      <c r="J16" s="6">
        <f>ROUND(AVERAGEA(F10:F15),6)</f>
        <v>2.662595</v>
      </c>
      <c r="K16" s="6">
        <f>ROUND(AVERAGEA(G10:G15),6)</f>
        <v>2.6494140000000002</v>
      </c>
      <c r="L16" s="113">
        <f>D16-H16</f>
        <v>0</v>
      </c>
      <c r="M16" s="113">
        <f t="shared" ref="M16:O18" si="0">E16-I16</f>
        <v>0</v>
      </c>
      <c r="N16" s="113">
        <f t="shared" si="0"/>
        <v>0</v>
      </c>
      <c r="O16" s="113">
        <f t="shared" si="0"/>
        <v>0</v>
      </c>
    </row>
    <row r="17" spans="1:15" ht="15" customHeight="1">
      <c r="A17" s="29" t="s">
        <v>4</v>
      </c>
      <c r="B17" s="205"/>
      <c r="C17" s="206"/>
      <c r="D17" s="44">
        <f>ROUND(STDEV(D10:D15),6)</f>
        <v>2.52E-4</v>
      </c>
      <c r="E17" s="44">
        <f>ROUND(STDEV(E10:E15),6)</f>
        <v>2.9100000000000003E-4</v>
      </c>
      <c r="F17" s="44">
        <f>ROUND(STDEV(F10:F15),6)</f>
        <v>5.1454E-2</v>
      </c>
      <c r="G17" s="44">
        <f>ROUND(STDEV(G10:G15),6)</f>
        <v>4.2546E-2</v>
      </c>
      <c r="H17" s="6">
        <f>ROUND(STDEVA(D10:D15),6)</f>
        <v>2.52E-4</v>
      </c>
      <c r="I17" s="6">
        <f>ROUND(STDEVA(E10:E15),6)</f>
        <v>2.9100000000000003E-4</v>
      </c>
      <c r="J17" s="6">
        <f>ROUND(STDEVA(F10:F15),6)</f>
        <v>5.1454E-2</v>
      </c>
      <c r="K17" s="6">
        <f>ROUND(STDEVA(G10:G15),6)</f>
        <v>4.2546E-2</v>
      </c>
      <c r="L17" s="113">
        <f t="shared" ref="L17:L18" si="1">D17-H17</f>
        <v>0</v>
      </c>
      <c r="M17" s="113">
        <f t="shared" si="0"/>
        <v>0</v>
      </c>
      <c r="N17" s="113">
        <f t="shared" si="0"/>
        <v>0</v>
      </c>
      <c r="O17" s="113">
        <f t="shared" si="0"/>
        <v>0</v>
      </c>
    </row>
    <row r="18" spans="1:15" ht="15" customHeight="1">
      <c r="A18" s="29" t="s">
        <v>39</v>
      </c>
      <c r="B18" s="205"/>
      <c r="C18" s="206"/>
      <c r="D18" s="45">
        <f>ROUND(D17/D16*100,1)</f>
        <v>2.2000000000000002</v>
      </c>
      <c r="E18" s="45">
        <f>ROUND(E17/E16*100,1)</f>
        <v>2.5</v>
      </c>
      <c r="F18" s="45">
        <f>ROUND(F17/F16*100,1)</f>
        <v>1.9</v>
      </c>
      <c r="G18" s="45">
        <f>ROUND(G17/G16*100,1)</f>
        <v>1.6</v>
      </c>
      <c r="H18" s="97">
        <f t="shared" ref="H18:K18" si="2">ROUND(H17/H16*100,1)</f>
        <v>2.2000000000000002</v>
      </c>
      <c r="I18" s="97">
        <f t="shared" si="2"/>
        <v>2.5</v>
      </c>
      <c r="J18" s="97">
        <f t="shared" si="2"/>
        <v>1.9</v>
      </c>
      <c r="K18" s="97">
        <f t="shared" si="2"/>
        <v>1.6</v>
      </c>
      <c r="L18" s="113">
        <f t="shared" si="1"/>
        <v>0</v>
      </c>
      <c r="M18" s="113">
        <f t="shared" si="0"/>
        <v>0</v>
      </c>
      <c r="N18" s="113">
        <f t="shared" si="0"/>
        <v>0</v>
      </c>
      <c r="O18" s="113">
        <f t="shared" si="0"/>
        <v>0</v>
      </c>
    </row>
    <row r="19" spans="1:15" ht="15" customHeight="1">
      <c r="A19" s="29" t="s">
        <v>41</v>
      </c>
      <c r="B19" s="207"/>
      <c r="C19" s="208"/>
      <c r="D19" s="202">
        <f>ROUND((D16-E16)/E16*100,1)</f>
        <v>-1.4</v>
      </c>
      <c r="E19" s="202"/>
      <c r="F19" s="202">
        <f>ROUND((F16-G16)/G16*100,1)</f>
        <v>0.5</v>
      </c>
      <c r="G19" s="202"/>
      <c r="H19" s="97">
        <f>ROUND((D16-E16)/E16*100,1)</f>
        <v>-1.4</v>
      </c>
      <c r="I19" s="97"/>
      <c r="J19" s="97">
        <f>ROUND((F16-G16)/G16*100,1)</f>
        <v>0.5</v>
      </c>
      <c r="K19" s="97"/>
      <c r="L19" s="113">
        <f>D19-H19</f>
        <v>0</v>
      </c>
      <c r="M19" s="113"/>
      <c r="N19" s="113">
        <f>F19-J19</f>
        <v>0</v>
      </c>
      <c r="O19" s="113"/>
    </row>
    <row r="20" spans="1:15" ht="15" customHeight="1">
      <c r="A20" s="10"/>
      <c r="B20" s="10"/>
      <c r="C20" s="10"/>
      <c r="D20" s="9"/>
      <c r="E20" s="9"/>
      <c r="F20" s="9"/>
      <c r="G20" s="9"/>
      <c r="H20"/>
    </row>
    <row r="21" spans="1:15" ht="15" customHeight="1">
      <c r="A21" s="5"/>
      <c r="B21" s="5"/>
      <c r="C21" s="5"/>
      <c r="D21" s="5"/>
      <c r="E21" s="5"/>
      <c r="F21" s="5"/>
      <c r="G21" s="5"/>
      <c r="H21"/>
    </row>
    <row r="22" spans="1:15" ht="14.25">
      <c r="A22" s="5" t="s">
        <v>99</v>
      </c>
      <c r="B22" s="7"/>
      <c r="C22" s="7"/>
      <c r="D22" s="7"/>
      <c r="E22" s="7"/>
      <c r="F22" s="7"/>
      <c r="G22" s="5"/>
      <c r="H22"/>
    </row>
    <row r="23" spans="1:15" ht="14.25">
      <c r="A23" s="194" t="s">
        <v>100</v>
      </c>
      <c r="B23" s="194"/>
      <c r="C23" s="194"/>
      <c r="D23" s="194"/>
      <c r="E23" s="194"/>
      <c r="F23" s="194"/>
      <c r="G23" s="194"/>
      <c r="H23"/>
    </row>
    <row r="24" spans="1:15" ht="15" customHeight="1">
      <c r="A24" s="209" t="s">
        <v>48</v>
      </c>
      <c r="B24" s="134" t="s">
        <v>9</v>
      </c>
      <c r="C24" s="134" t="s">
        <v>19</v>
      </c>
      <c r="D24" s="200" t="s">
        <v>49</v>
      </c>
      <c r="E24" s="200"/>
      <c r="F24" s="200"/>
      <c r="G24" s="200"/>
      <c r="H24"/>
    </row>
    <row r="25" spans="1:15" ht="14.25">
      <c r="A25" s="210"/>
      <c r="B25" s="135"/>
      <c r="C25" s="135"/>
      <c r="D25" s="48">
        <v>30</v>
      </c>
      <c r="E25" s="49" t="s">
        <v>17</v>
      </c>
      <c r="F25" s="48">
        <v>7500</v>
      </c>
      <c r="G25" s="50" t="s">
        <v>17</v>
      </c>
      <c r="H25"/>
    </row>
    <row r="26" spans="1:15" ht="15" customHeight="1">
      <c r="A26" s="210"/>
      <c r="B26" s="135"/>
      <c r="C26" s="135"/>
      <c r="D26" s="136" t="s">
        <v>25</v>
      </c>
      <c r="E26" s="201"/>
      <c r="F26" s="136" t="s">
        <v>25</v>
      </c>
      <c r="G26" s="136"/>
      <c r="H26"/>
    </row>
    <row r="27" spans="1:15" ht="15" customHeight="1">
      <c r="A27" s="211"/>
      <c r="B27" s="136"/>
      <c r="C27" s="136"/>
      <c r="D27" s="29" t="s">
        <v>22</v>
      </c>
      <c r="E27" s="29" t="s">
        <v>20</v>
      </c>
      <c r="F27" s="29" t="s">
        <v>22</v>
      </c>
      <c r="G27" s="29" t="s">
        <v>20</v>
      </c>
      <c r="H27"/>
    </row>
    <row r="28" spans="1:15" ht="15" customHeight="1">
      <c r="A28" s="195">
        <v>45806</v>
      </c>
      <c r="B28" s="134">
        <v>4</v>
      </c>
      <c r="C28" s="29">
        <v>1</v>
      </c>
      <c r="D28" s="47">
        <v>1.0012E-2</v>
      </c>
      <c r="E28" s="47">
        <v>1.0090999999999999E-2</v>
      </c>
      <c r="F28" s="47">
        <v>2.5285329999999999</v>
      </c>
      <c r="G28" s="47">
        <v>2.389643</v>
      </c>
      <c r="H28"/>
    </row>
    <row r="29" spans="1:15" ht="15" customHeight="1">
      <c r="A29" s="196"/>
      <c r="B29" s="135"/>
      <c r="C29" s="29">
        <v>2</v>
      </c>
      <c r="D29" s="47">
        <v>1.044E-2</v>
      </c>
      <c r="E29" s="47">
        <v>9.9109999999999997E-3</v>
      </c>
      <c r="F29" s="47">
        <v>2.4537469999999999</v>
      </c>
      <c r="G29" s="47">
        <v>2.4571510000000001</v>
      </c>
      <c r="H29"/>
    </row>
    <row r="30" spans="1:15" ht="15" customHeight="1">
      <c r="A30" s="196"/>
      <c r="B30" s="135"/>
      <c r="C30" s="29">
        <v>3</v>
      </c>
      <c r="D30" s="47">
        <v>1.0156E-2</v>
      </c>
      <c r="E30" s="47">
        <v>1.0555E-2</v>
      </c>
      <c r="F30" s="47">
        <v>2.4530050000000001</v>
      </c>
      <c r="G30" s="47">
        <v>2.4793270000000001</v>
      </c>
      <c r="H30"/>
    </row>
    <row r="31" spans="1:15" ht="15" customHeight="1">
      <c r="A31" s="196"/>
      <c r="B31" s="135"/>
      <c r="C31" s="29">
        <v>4</v>
      </c>
      <c r="D31" s="47">
        <v>9.9670000000000002E-3</v>
      </c>
      <c r="E31" s="47">
        <v>9.946E-3</v>
      </c>
      <c r="F31" s="47">
        <v>2.4717959999999999</v>
      </c>
      <c r="G31" s="47">
        <v>2.4566690000000002</v>
      </c>
      <c r="H31"/>
    </row>
    <row r="32" spans="1:15" ht="15" customHeight="1">
      <c r="A32" s="196"/>
      <c r="B32" s="135"/>
      <c r="C32" s="29">
        <v>5</v>
      </c>
      <c r="D32" s="47">
        <v>1.0246E-2</v>
      </c>
      <c r="E32" s="47">
        <v>1.0056000000000001E-2</v>
      </c>
      <c r="F32" s="47">
        <v>2.4987430000000002</v>
      </c>
      <c r="G32" s="47">
        <v>2.5022829999999998</v>
      </c>
      <c r="H32"/>
    </row>
    <row r="33" spans="1:15" ht="15" customHeight="1">
      <c r="A33" s="196"/>
      <c r="B33" s="135"/>
      <c r="C33" s="30">
        <v>6</v>
      </c>
      <c r="D33" s="47">
        <v>9.9179999999999997E-3</v>
      </c>
      <c r="E33" s="47">
        <v>9.9159999999999995E-3</v>
      </c>
      <c r="F33" s="47">
        <v>2.4501330000000001</v>
      </c>
      <c r="G33" s="47">
        <v>2.4697480000000001</v>
      </c>
      <c r="H33"/>
    </row>
    <row r="34" spans="1:15" ht="15" customHeight="1">
      <c r="A34" s="22" t="s">
        <v>18</v>
      </c>
      <c r="B34" s="212"/>
      <c r="C34" s="213"/>
      <c r="D34" s="44">
        <f>ROUND(AVERAGE(D28:D33),6)</f>
        <v>1.0123E-2</v>
      </c>
      <c r="E34" s="44">
        <f>ROUND(AVERAGE(E28:E33),6)</f>
        <v>1.0078999999999999E-2</v>
      </c>
      <c r="F34" s="44">
        <f>ROUND(AVERAGE(F28:F33),6)</f>
        <v>2.4759929999999999</v>
      </c>
      <c r="G34" s="44">
        <f>ROUND(AVERAGE(G28:G33),6)</f>
        <v>2.4591370000000001</v>
      </c>
      <c r="H34" s="6">
        <f>ROUND(AVERAGEA(D28:D33),6)</f>
        <v>1.0123E-2</v>
      </c>
      <c r="I34" s="6">
        <f>ROUND(AVERAGEA(E28:E33),6)</f>
        <v>1.0078999999999999E-2</v>
      </c>
      <c r="J34" s="6">
        <f>ROUND(AVERAGEA(F28:F33),6)</f>
        <v>2.4759929999999999</v>
      </c>
      <c r="K34" s="6">
        <f>ROUND(AVERAGEA(G28:G33),6)</f>
        <v>2.4591370000000001</v>
      </c>
      <c r="L34" s="113">
        <f>D34-H34</f>
        <v>0</v>
      </c>
      <c r="M34" s="113">
        <f t="shared" ref="M34:O36" si="3">E34-I34</f>
        <v>0</v>
      </c>
      <c r="N34" s="113">
        <f t="shared" si="3"/>
        <v>0</v>
      </c>
      <c r="O34" s="113">
        <f t="shared" si="3"/>
        <v>0</v>
      </c>
    </row>
    <row r="35" spans="1:15" ht="15" customHeight="1">
      <c r="A35" s="21" t="s">
        <v>4</v>
      </c>
      <c r="B35" s="214"/>
      <c r="C35" s="215"/>
      <c r="D35" s="44">
        <f>ROUND(STDEV(D28:D33),6)</f>
        <v>1.9799999999999999E-4</v>
      </c>
      <c r="E35" s="44">
        <f>ROUND(STDEV(E28:E33),6)</f>
        <v>2.4499999999999999E-4</v>
      </c>
      <c r="F35" s="44">
        <f>ROUND(STDEV(F28:F33),6)</f>
        <v>3.1584000000000001E-2</v>
      </c>
      <c r="G35" s="44">
        <f>ROUND(STDEV(G28:G33),6)</f>
        <v>3.8003000000000002E-2</v>
      </c>
      <c r="H35" s="6">
        <f>ROUND(STDEVA(D28:D33),6)</f>
        <v>1.9799999999999999E-4</v>
      </c>
      <c r="I35" s="6">
        <f>ROUND(STDEVA(E28:E33),6)</f>
        <v>2.4499999999999999E-4</v>
      </c>
      <c r="J35" s="6">
        <f>ROUND(STDEVA(F28:F33),6)</f>
        <v>3.1584000000000001E-2</v>
      </c>
      <c r="K35" s="6">
        <f>ROUND(STDEVA(G28:G33),6)</f>
        <v>3.8003000000000002E-2</v>
      </c>
      <c r="L35" s="113">
        <f t="shared" ref="L35:L36" si="4">D35-H35</f>
        <v>0</v>
      </c>
      <c r="M35" s="113">
        <f t="shared" si="3"/>
        <v>0</v>
      </c>
      <c r="N35" s="113">
        <f t="shared" si="3"/>
        <v>0</v>
      </c>
      <c r="O35" s="113">
        <f t="shared" si="3"/>
        <v>0</v>
      </c>
    </row>
    <row r="36" spans="1:15" ht="15" customHeight="1">
      <c r="A36" s="29" t="s">
        <v>91</v>
      </c>
      <c r="B36" s="214"/>
      <c r="C36" s="215"/>
      <c r="D36" s="45">
        <f>ROUND(D35/D34*100,1)</f>
        <v>2</v>
      </c>
      <c r="E36" s="45">
        <f>ROUND(E35/E34*100,1)</f>
        <v>2.4</v>
      </c>
      <c r="F36" s="45">
        <f>ROUND(F35/F34*100,1)</f>
        <v>1.3</v>
      </c>
      <c r="G36" s="45">
        <f>ROUND(G35/G34*100,1)</f>
        <v>1.5</v>
      </c>
      <c r="H36" s="97">
        <f t="shared" ref="H36:K36" si="5">ROUND(H35/H34*100,1)</f>
        <v>2</v>
      </c>
      <c r="I36" s="97">
        <f t="shared" si="5"/>
        <v>2.4</v>
      </c>
      <c r="J36" s="97">
        <f t="shared" si="5"/>
        <v>1.3</v>
      </c>
      <c r="K36" s="97">
        <f t="shared" si="5"/>
        <v>1.5</v>
      </c>
      <c r="L36" s="113">
        <f t="shared" si="4"/>
        <v>0</v>
      </c>
      <c r="M36" s="113">
        <f t="shared" si="3"/>
        <v>0</v>
      </c>
      <c r="N36" s="113">
        <f t="shared" si="3"/>
        <v>0</v>
      </c>
      <c r="O36" s="113">
        <f t="shared" si="3"/>
        <v>0</v>
      </c>
    </row>
    <row r="37" spans="1:15" ht="15" customHeight="1">
      <c r="A37" s="29" t="s">
        <v>93</v>
      </c>
      <c r="B37" s="216"/>
      <c r="C37" s="217"/>
      <c r="D37" s="202">
        <f>ROUND((D34-E34)/E34*100,1)</f>
        <v>0.4</v>
      </c>
      <c r="E37" s="202"/>
      <c r="F37" s="202">
        <f>ROUND((F34-G34)/G34*100,1)</f>
        <v>0.7</v>
      </c>
      <c r="G37" s="202"/>
      <c r="H37" s="97">
        <f>ROUND((D34-E34)/E34*100,1)</f>
        <v>0.4</v>
      </c>
      <c r="I37" s="97"/>
      <c r="J37" s="97">
        <f>ROUND((F34-G34)/G34*100,1)</f>
        <v>0.7</v>
      </c>
      <c r="K37" s="97"/>
      <c r="L37" s="113">
        <f>D37-H37</f>
        <v>0</v>
      </c>
      <c r="M37" s="113"/>
      <c r="N37" s="113">
        <f>F37-J37</f>
        <v>0</v>
      </c>
      <c r="O37" s="113"/>
    </row>
    <row r="38" spans="1:15" ht="14.25">
      <c r="H38"/>
    </row>
    <row r="39" spans="1:15" ht="14.25">
      <c r="H39"/>
    </row>
    <row r="40" spans="1:15" ht="14.25">
      <c r="H40"/>
    </row>
    <row r="41" spans="1:15" ht="14.25">
      <c r="H41"/>
    </row>
    <row r="42" spans="1:15" ht="14.25">
      <c r="H42"/>
    </row>
    <row r="43" spans="1:15" ht="14.25">
      <c r="H43"/>
    </row>
    <row r="44" spans="1:15" ht="14.25">
      <c r="H44"/>
    </row>
    <row r="45" spans="1:15" ht="14.25">
      <c r="H45"/>
    </row>
    <row r="46" spans="1:15" ht="14.25">
      <c r="H46"/>
    </row>
    <row r="47" spans="1:15" ht="14.25">
      <c r="H47"/>
    </row>
    <row r="48" spans="1:15" ht="14.25">
      <c r="H48"/>
    </row>
    <row r="49" spans="2:8" ht="14.25">
      <c r="H49"/>
    </row>
    <row r="50" spans="2:8" ht="14.25">
      <c r="H50"/>
    </row>
    <row r="51" spans="2:8" ht="14.25">
      <c r="H51"/>
    </row>
    <row r="63" spans="2:8">
      <c r="B63" s="5"/>
    </row>
    <row r="64" spans="2:8">
      <c r="B64" s="5"/>
    </row>
  </sheetData>
  <mergeCells count="25">
    <mergeCell ref="F37:G37"/>
    <mergeCell ref="A10:A15"/>
    <mergeCell ref="B10:B15"/>
    <mergeCell ref="D19:E19"/>
    <mergeCell ref="B16:C19"/>
    <mergeCell ref="D37:E37"/>
    <mergeCell ref="C24:C27"/>
    <mergeCell ref="D24:G24"/>
    <mergeCell ref="D26:E26"/>
    <mergeCell ref="F26:G26"/>
    <mergeCell ref="F19:G19"/>
    <mergeCell ref="A24:A27"/>
    <mergeCell ref="B24:B27"/>
    <mergeCell ref="A28:A33"/>
    <mergeCell ref="B28:B33"/>
    <mergeCell ref="B34:C37"/>
    <mergeCell ref="A23:G23"/>
    <mergeCell ref="A2:F2"/>
    <mergeCell ref="A6:A9"/>
    <mergeCell ref="B6:B9"/>
    <mergeCell ref="C6:C9"/>
    <mergeCell ref="F8:G8"/>
    <mergeCell ref="D6:G6"/>
    <mergeCell ref="D8:E8"/>
    <mergeCell ref="A5:G5"/>
  </mergeCells>
  <phoneticPr fontId="6" type="noConversion"/>
  <printOptions headings="1" gridLines="1"/>
  <pageMargins left="0.70866141732283472" right="0.70866141732283472" top="0.74803149606299213" bottom="0.74803149606299213" header="0.31496062992125984" footer="0.31496062992125984"/>
  <pageSetup scale="98" orientation="portrait" r:id="rId1"/>
  <headerFooter>
    <oddHeader>&amp;C 1632MV7生物分析方法学验证数据</oddHeader>
    <oddFooter>&amp;C第&amp;P页，共&amp;N页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2:N30"/>
  <sheetViews>
    <sheetView view="pageBreakPreview" zoomScaleNormal="100" zoomScaleSheetLayoutView="100" workbookViewId="0">
      <selection activeCell="A98" sqref="A98:A103"/>
    </sheetView>
  </sheetViews>
  <sheetFormatPr defaultColWidth="8.875" defaultRowHeight="13.5"/>
  <cols>
    <col min="1" max="1" width="13.5" style="5" customWidth="1"/>
    <col min="2" max="2" width="14.375" style="5" customWidth="1"/>
    <col min="3" max="3" width="12.75" style="5" customWidth="1"/>
    <col min="4" max="4" width="11.625" style="5" customWidth="1"/>
    <col min="5" max="5" width="12.75" style="5" customWidth="1"/>
    <col min="6" max="6" width="11.625" style="5" customWidth="1"/>
    <col min="7" max="16384" width="8.875" style="5"/>
  </cols>
  <sheetData>
    <row r="2" spans="1:14">
      <c r="A2" s="5" t="s">
        <v>28</v>
      </c>
    </row>
    <row r="3" spans="1:14">
      <c r="A3" s="7"/>
      <c r="B3" s="7"/>
      <c r="C3" s="7"/>
    </row>
    <row r="4" spans="1:14" ht="15.75" customHeight="1">
      <c r="A4" s="5" t="s">
        <v>97</v>
      </c>
    </row>
    <row r="5" spans="1:14" s="6" customFormat="1">
      <c r="A5" s="134" t="s">
        <v>162</v>
      </c>
      <c r="B5" s="134" t="s">
        <v>9</v>
      </c>
      <c r="C5" s="29" t="s">
        <v>7</v>
      </c>
      <c r="D5" s="127" t="s">
        <v>86</v>
      </c>
      <c r="E5" s="65" t="s">
        <v>1</v>
      </c>
      <c r="F5" s="127" t="s">
        <v>86</v>
      </c>
    </row>
    <row r="6" spans="1:14" s="6" customFormat="1">
      <c r="A6" s="135"/>
      <c r="B6" s="135"/>
      <c r="C6" s="52">
        <v>30</v>
      </c>
      <c r="D6" s="127"/>
      <c r="E6" s="52">
        <v>7500</v>
      </c>
      <c r="F6" s="127"/>
    </row>
    <row r="7" spans="1:14" s="6" customFormat="1">
      <c r="A7" s="136"/>
      <c r="B7" s="136"/>
      <c r="C7" s="46" t="s">
        <v>6</v>
      </c>
      <c r="D7" s="127"/>
      <c r="E7" s="97" t="s">
        <v>6</v>
      </c>
      <c r="F7" s="127"/>
    </row>
    <row r="8" spans="1:14" s="6" customFormat="1" ht="14.25">
      <c r="A8" s="149">
        <v>45800</v>
      </c>
      <c r="B8" s="134">
        <v>2</v>
      </c>
      <c r="C8" s="51">
        <v>27.17</v>
      </c>
      <c r="D8" s="36">
        <f>ROUND((C8-C6)/C6*100,1)</f>
        <v>-9.4</v>
      </c>
      <c r="E8" s="51">
        <v>7198.1329999999998</v>
      </c>
      <c r="F8" s="36">
        <f>ROUND((E8-E6)/E6*100,1)</f>
        <v>-4</v>
      </c>
      <c r="H8" s="104">
        <f>ROUND((C8-C$6)/C$6*100,1)</f>
        <v>-9.4</v>
      </c>
      <c r="J8" s="104">
        <f>ROUND((E8-E$6)/E$6*100,1)</f>
        <v>-4</v>
      </c>
      <c r="L8" s="15">
        <f>D8-H8</f>
        <v>0</v>
      </c>
      <c r="N8" s="15">
        <f>F8-J8</f>
        <v>0</v>
      </c>
    </row>
    <row r="9" spans="1:14" s="6" customFormat="1" ht="14.25">
      <c r="A9" s="149"/>
      <c r="B9" s="135"/>
      <c r="C9" s="51">
        <v>25.85</v>
      </c>
      <c r="D9" s="36">
        <f>ROUND((C9-C6)/C6*100,1)</f>
        <v>-13.8</v>
      </c>
      <c r="E9" s="51">
        <v>7515.2539999999999</v>
      </c>
      <c r="F9" s="36">
        <f>ROUND((E9-E6)/E6*100,1)</f>
        <v>0.2</v>
      </c>
      <c r="H9" s="104">
        <f t="shared" ref="H9:J10" si="0">ROUND((C9-C$6)/C$6*100,1)</f>
        <v>-13.8</v>
      </c>
      <c r="J9" s="104">
        <f t="shared" si="0"/>
        <v>0.2</v>
      </c>
      <c r="L9" s="15">
        <f t="shared" ref="L9:L10" si="1">D9-H9</f>
        <v>0</v>
      </c>
      <c r="N9" s="15">
        <f t="shared" ref="N9:N10" si="2">F9-J9</f>
        <v>0</v>
      </c>
    </row>
    <row r="10" spans="1:14" s="6" customFormat="1" ht="14.25">
      <c r="A10" s="149"/>
      <c r="B10" s="135"/>
      <c r="C10" s="51">
        <v>29.584</v>
      </c>
      <c r="D10" s="36">
        <f>ROUND((C10-C6)/C6*100,1)</f>
        <v>-1.4</v>
      </c>
      <c r="E10" s="51">
        <v>7704.7709999999997</v>
      </c>
      <c r="F10" s="36">
        <f>ROUND((E10-E6)/E6*100,1)</f>
        <v>2.7</v>
      </c>
      <c r="H10" s="104">
        <f t="shared" si="0"/>
        <v>-1.4</v>
      </c>
      <c r="J10" s="104">
        <f t="shared" si="0"/>
        <v>2.7</v>
      </c>
      <c r="L10" s="15">
        <f t="shared" si="1"/>
        <v>0</v>
      </c>
      <c r="N10" s="15">
        <f t="shared" si="2"/>
        <v>0</v>
      </c>
    </row>
    <row r="11" spans="1:14" s="6" customFormat="1" ht="14.25">
      <c r="A11" s="29" t="s">
        <v>16</v>
      </c>
      <c r="B11" s="146"/>
      <c r="C11" s="24">
        <f>ROUND(AVERAGE(C8:C10),3)</f>
        <v>27.535</v>
      </c>
      <c r="D11" s="191"/>
      <c r="E11" s="24">
        <f>ROUND(AVERAGE(E8:E10),3)</f>
        <v>7472.7190000000001</v>
      </c>
      <c r="F11" s="191"/>
      <c r="G11" s="6">
        <f>ROUND(AVERAGEA(C8:C10),3)</f>
        <v>27.535</v>
      </c>
      <c r="H11" s="104"/>
      <c r="I11" s="6">
        <f>ROUND(AVERAGEA(E8:E10),3)</f>
        <v>7472.7190000000001</v>
      </c>
      <c r="K11" s="114">
        <f>C11-G11</f>
        <v>0</v>
      </c>
      <c r="L11" s="15"/>
      <c r="M11" s="114">
        <f>E11-I11</f>
        <v>0</v>
      </c>
      <c r="N11" s="15"/>
    </row>
    <row r="12" spans="1:14" s="6" customFormat="1" ht="14.25">
      <c r="A12" s="29" t="s">
        <v>4</v>
      </c>
      <c r="B12" s="147"/>
      <c r="C12" s="24">
        <f>ROUND(STDEV(C8:C10),3)</f>
        <v>1.8939999999999999</v>
      </c>
      <c r="D12" s="192"/>
      <c r="E12" s="24">
        <f>ROUND(STDEV(E8:E10),3)</f>
        <v>255.983</v>
      </c>
      <c r="F12" s="192"/>
      <c r="G12" s="6">
        <f>ROUND(STDEVA(C8:C10),3)</f>
        <v>1.8939999999999999</v>
      </c>
      <c r="H12" s="104"/>
      <c r="I12" s="6">
        <f>ROUND(STDEVA(E8:E10),3)</f>
        <v>255.983</v>
      </c>
      <c r="K12" s="114">
        <f t="shared" ref="K12:K14" si="3">C12-G12</f>
        <v>0</v>
      </c>
      <c r="M12" s="114">
        <f t="shared" ref="M12:M14" si="4">E12-I12</f>
        <v>0</v>
      </c>
    </row>
    <row r="13" spans="1:14" s="6" customFormat="1" ht="14.25">
      <c r="A13" s="29" t="s">
        <v>39</v>
      </c>
      <c r="B13" s="147"/>
      <c r="C13" s="36">
        <f>ROUND(C12/C11*100,1)</f>
        <v>6.9</v>
      </c>
      <c r="D13" s="192"/>
      <c r="E13" s="36">
        <f>ROUND(E12/E11*100,1)</f>
        <v>3.4</v>
      </c>
      <c r="F13" s="192"/>
      <c r="G13" s="97">
        <f>ROUND(G12/G11*100,1)</f>
        <v>6.9</v>
      </c>
      <c r="H13" s="104"/>
      <c r="I13" s="97">
        <f>ROUND(I12/I11*100,1)</f>
        <v>3.4</v>
      </c>
      <c r="K13" s="114">
        <f t="shared" si="3"/>
        <v>0</v>
      </c>
      <c r="M13" s="114">
        <f t="shared" si="4"/>
        <v>0</v>
      </c>
    </row>
    <row r="14" spans="1:14" s="6" customFormat="1">
      <c r="A14" s="29" t="s">
        <v>40</v>
      </c>
      <c r="B14" s="147"/>
      <c r="C14" s="36">
        <f>ROUND(C11/C6*100,1)</f>
        <v>91.8</v>
      </c>
      <c r="D14" s="192"/>
      <c r="E14" s="36">
        <f>ROUND(E11/E6*100,1)</f>
        <v>99.6</v>
      </c>
      <c r="F14" s="192"/>
      <c r="G14" s="97">
        <f>ROUND(C11/C6*100,1)</f>
        <v>91.8</v>
      </c>
      <c r="I14" s="97">
        <f>ROUND(E11/E6*100,1)</f>
        <v>99.6</v>
      </c>
      <c r="K14" s="114">
        <f t="shared" si="3"/>
        <v>0</v>
      </c>
      <c r="M14" s="114">
        <f t="shared" si="4"/>
        <v>0</v>
      </c>
    </row>
    <row r="15" spans="1:14" s="6" customFormat="1">
      <c r="A15" s="29" t="s">
        <v>5</v>
      </c>
      <c r="B15" s="148"/>
      <c r="C15" s="38">
        <v>3</v>
      </c>
      <c r="D15" s="193"/>
      <c r="E15" s="38">
        <v>3</v>
      </c>
      <c r="F15" s="193"/>
      <c r="G15" s="97"/>
    </row>
    <row r="16" spans="1:14" s="6" customFormat="1">
      <c r="A16" s="198"/>
      <c r="B16" s="198"/>
      <c r="C16" s="198"/>
      <c r="D16" s="198"/>
      <c r="G16" s="97"/>
    </row>
    <row r="17" spans="1:14">
      <c r="A17" s="9"/>
      <c r="B17" s="9"/>
      <c r="C17" s="9"/>
      <c r="D17" s="9"/>
      <c r="E17" s="9"/>
    </row>
    <row r="18" spans="1:14" ht="15.75" customHeight="1">
      <c r="A18" s="5" t="s">
        <v>99</v>
      </c>
    </row>
    <row r="19" spans="1:14" s="6" customFormat="1" ht="13.5" customHeight="1">
      <c r="A19" s="134" t="s">
        <v>26</v>
      </c>
      <c r="B19" s="134" t="s">
        <v>9</v>
      </c>
      <c r="C19" s="29" t="s">
        <v>7</v>
      </c>
      <c r="D19" s="127" t="s">
        <v>86</v>
      </c>
      <c r="E19" s="65" t="s">
        <v>1</v>
      </c>
      <c r="F19" s="127" t="s">
        <v>86</v>
      </c>
    </row>
    <row r="20" spans="1:14" s="6" customFormat="1">
      <c r="A20" s="135"/>
      <c r="B20" s="135"/>
      <c r="C20" s="52">
        <v>30</v>
      </c>
      <c r="D20" s="127"/>
      <c r="E20" s="52">
        <v>7500</v>
      </c>
      <c r="F20" s="127"/>
    </row>
    <row r="21" spans="1:14" s="6" customFormat="1">
      <c r="A21" s="136"/>
      <c r="B21" s="136"/>
      <c r="C21" s="46" t="s">
        <v>6</v>
      </c>
      <c r="D21" s="127"/>
      <c r="E21" s="97" t="s">
        <v>6</v>
      </c>
      <c r="F21" s="127"/>
    </row>
    <row r="22" spans="1:14" s="6" customFormat="1" ht="14.25">
      <c r="A22" s="149">
        <v>45800</v>
      </c>
      <c r="B22" s="134">
        <v>2</v>
      </c>
      <c r="C22" s="51">
        <v>28.491</v>
      </c>
      <c r="D22" s="36">
        <f>ROUND((C22-C20)/C20*100,1)</f>
        <v>-5</v>
      </c>
      <c r="E22" s="51">
        <v>7514.2910000000002</v>
      </c>
      <c r="F22" s="36">
        <f>ROUND((E22-E20)/E20*100,1)</f>
        <v>0.2</v>
      </c>
      <c r="H22" s="104">
        <f>ROUND((C22-C$20)/C$20*100,1)</f>
        <v>-5</v>
      </c>
      <c r="J22" s="104">
        <f>ROUND((E22-E$20)/E$20*100,1)</f>
        <v>0.2</v>
      </c>
      <c r="L22" s="15">
        <f>D22-H22</f>
        <v>0</v>
      </c>
      <c r="N22" s="15">
        <f>F22-J22</f>
        <v>0</v>
      </c>
    </row>
    <row r="23" spans="1:14" s="6" customFormat="1" ht="14.25">
      <c r="A23" s="149"/>
      <c r="B23" s="135"/>
      <c r="C23" s="51">
        <v>26.597999999999999</v>
      </c>
      <c r="D23" s="36">
        <f>ROUND((C23-C20)/C20*100,1)</f>
        <v>-11.3</v>
      </c>
      <c r="E23" s="51">
        <v>7478.5959999999995</v>
      </c>
      <c r="F23" s="36">
        <f>ROUND((E23-E20)/E20*100,1)</f>
        <v>-0.3</v>
      </c>
      <c r="H23" s="104">
        <f t="shared" ref="H23:J24" si="5">ROUND((C23-C$20)/C$20*100,1)</f>
        <v>-11.3</v>
      </c>
      <c r="J23" s="104">
        <f t="shared" si="5"/>
        <v>-0.3</v>
      </c>
      <c r="L23" s="15">
        <f t="shared" ref="L23:L24" si="6">D23-H23</f>
        <v>0</v>
      </c>
      <c r="N23" s="15">
        <f t="shared" ref="N23:N24" si="7">F23-J23</f>
        <v>0</v>
      </c>
    </row>
    <row r="24" spans="1:14" s="6" customFormat="1" ht="14.25">
      <c r="A24" s="149"/>
      <c r="B24" s="135"/>
      <c r="C24" s="51">
        <v>29.233000000000001</v>
      </c>
      <c r="D24" s="36">
        <f>ROUND((C24-C20)/C20*100,1)</f>
        <v>-2.6</v>
      </c>
      <c r="E24" s="51">
        <v>7622.1610000000001</v>
      </c>
      <c r="F24" s="36">
        <f>ROUND((E24-E20)/E20*100,1)</f>
        <v>1.6</v>
      </c>
      <c r="H24" s="104">
        <f t="shared" si="5"/>
        <v>-2.6</v>
      </c>
      <c r="J24" s="104">
        <f t="shared" si="5"/>
        <v>1.6</v>
      </c>
      <c r="L24" s="15">
        <f t="shared" si="6"/>
        <v>0</v>
      </c>
      <c r="N24" s="15">
        <f t="shared" si="7"/>
        <v>0</v>
      </c>
    </row>
    <row r="25" spans="1:14" s="6" customFormat="1" ht="14.25">
      <c r="A25" s="29" t="s">
        <v>16</v>
      </c>
      <c r="B25" s="146"/>
      <c r="C25" s="24">
        <f>ROUND(AVERAGE(C22:C24),3)</f>
        <v>28.106999999999999</v>
      </c>
      <c r="D25" s="191"/>
      <c r="E25" s="24">
        <f>ROUND(AVERAGE(E22:E24),3)</f>
        <v>7538.3490000000002</v>
      </c>
      <c r="F25" s="191"/>
      <c r="G25" s="6">
        <f>ROUND(AVERAGEA(C22:C24),3)</f>
        <v>28.106999999999999</v>
      </c>
      <c r="H25" s="104"/>
      <c r="I25" s="6">
        <f>ROUND(AVERAGEA(E22:E24),3)</f>
        <v>7538.3490000000002</v>
      </c>
      <c r="K25" s="114">
        <f>C25-G25</f>
        <v>0</v>
      </c>
      <c r="L25" s="15"/>
      <c r="M25" s="114">
        <f>E25-I25</f>
        <v>0</v>
      </c>
      <c r="N25" s="15"/>
    </row>
    <row r="26" spans="1:14" s="6" customFormat="1" ht="14.25">
      <c r="A26" s="29" t="s">
        <v>4</v>
      </c>
      <c r="B26" s="147"/>
      <c r="C26" s="24">
        <f>ROUND(STDEV(C22:C24),3)</f>
        <v>1.359</v>
      </c>
      <c r="D26" s="192"/>
      <c r="E26" s="24">
        <f>ROUND(STDEV(E22:E24),3)</f>
        <v>74.745000000000005</v>
      </c>
      <c r="F26" s="192"/>
      <c r="G26" s="6">
        <f>ROUND(STDEVA(C22:C24),3)</f>
        <v>1.359</v>
      </c>
      <c r="H26" s="104"/>
      <c r="I26" s="6">
        <f>ROUND(STDEVA(E22:E24),3)</f>
        <v>74.745000000000005</v>
      </c>
      <c r="K26" s="114">
        <f t="shared" ref="K26:K28" si="8">C26-G26</f>
        <v>0</v>
      </c>
      <c r="M26" s="114">
        <f t="shared" ref="M26:M28" si="9">E26-I26</f>
        <v>0</v>
      </c>
    </row>
    <row r="27" spans="1:14" s="6" customFormat="1" ht="14.25">
      <c r="A27" s="29" t="s">
        <v>91</v>
      </c>
      <c r="B27" s="147"/>
      <c r="C27" s="36">
        <f>ROUND(C26/C25*100,1)</f>
        <v>4.8</v>
      </c>
      <c r="D27" s="192"/>
      <c r="E27" s="36">
        <f>ROUND(E26/E25*100,1)</f>
        <v>1</v>
      </c>
      <c r="F27" s="192"/>
      <c r="G27" s="97">
        <f>ROUND(G26/G25*100,1)</f>
        <v>4.8</v>
      </c>
      <c r="H27" s="104"/>
      <c r="I27" s="97">
        <f>ROUND(I26/I25*100,1)</f>
        <v>1</v>
      </c>
      <c r="K27" s="114">
        <f t="shared" si="8"/>
        <v>0</v>
      </c>
      <c r="M27" s="114">
        <f t="shared" si="9"/>
        <v>0</v>
      </c>
    </row>
    <row r="28" spans="1:14" s="6" customFormat="1">
      <c r="A28" s="29" t="s">
        <v>92</v>
      </c>
      <c r="B28" s="147"/>
      <c r="C28" s="36">
        <f>ROUND(C25/C20*100,1)</f>
        <v>93.7</v>
      </c>
      <c r="D28" s="192"/>
      <c r="E28" s="36">
        <f>ROUND(E25/E20*100,1)</f>
        <v>100.5</v>
      </c>
      <c r="F28" s="192"/>
      <c r="G28" s="97">
        <f>ROUND(C25/C20*100,1)</f>
        <v>93.7</v>
      </c>
      <c r="I28" s="97">
        <f>ROUND(E25/E20*100,1)</f>
        <v>100.5</v>
      </c>
      <c r="K28" s="114">
        <f t="shared" si="8"/>
        <v>0</v>
      </c>
      <c r="M28" s="114">
        <f t="shared" si="9"/>
        <v>0</v>
      </c>
    </row>
    <row r="29" spans="1:14" s="6" customFormat="1">
      <c r="A29" s="29" t="s">
        <v>5</v>
      </c>
      <c r="B29" s="148"/>
      <c r="C29" s="38">
        <v>3</v>
      </c>
      <c r="D29" s="193"/>
      <c r="E29" s="38">
        <v>3</v>
      </c>
      <c r="F29" s="193"/>
      <c r="G29" s="97"/>
    </row>
    <row r="30" spans="1:14" s="6" customFormat="1">
      <c r="A30" s="198"/>
      <c r="B30" s="198"/>
      <c r="C30" s="198"/>
      <c r="D30" s="198"/>
      <c r="G30" s="97"/>
    </row>
  </sheetData>
  <mergeCells count="20">
    <mergeCell ref="B25:B29"/>
    <mergeCell ref="D25:D29"/>
    <mergeCell ref="F25:F29"/>
    <mergeCell ref="A30:D30"/>
    <mergeCell ref="A19:A21"/>
    <mergeCell ref="B19:B21"/>
    <mergeCell ref="D19:D21"/>
    <mergeCell ref="F19:F21"/>
    <mergeCell ref="A22:A24"/>
    <mergeCell ref="B22:B24"/>
    <mergeCell ref="A5:A7"/>
    <mergeCell ref="B5:B7"/>
    <mergeCell ref="D5:D7"/>
    <mergeCell ref="F5:F7"/>
    <mergeCell ref="F11:F15"/>
    <mergeCell ref="A16:D16"/>
    <mergeCell ref="A8:A10"/>
    <mergeCell ref="B8:B10"/>
    <mergeCell ref="B11:B15"/>
    <mergeCell ref="D11:D15"/>
  </mergeCells>
  <phoneticPr fontId="6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11</vt:i4>
      </vt:variant>
    </vt:vector>
  </HeadingPairs>
  <TitlesOfParts>
    <vt:vector size="24" baseType="lpstr">
      <vt:lpstr>表1_schedule</vt:lpstr>
      <vt:lpstr>表4_Selectivity</vt:lpstr>
      <vt:lpstr>表5_特异性</vt:lpstr>
      <vt:lpstr>表6_ME</vt:lpstr>
      <vt:lpstr>表9_Inter QC</vt:lpstr>
      <vt:lpstr>表11_Recovery</vt:lpstr>
      <vt:lpstr>表12_IS Recov</vt:lpstr>
      <vt:lpstr>表13_Dilution</vt:lpstr>
      <vt:lpstr>表18_ST</vt:lpstr>
      <vt:lpstr>表19_FT</vt:lpstr>
      <vt:lpstr>表20_PSS</vt:lpstr>
      <vt:lpstr>表22_Blood</vt:lpstr>
      <vt:lpstr>表23_溶血效应</vt:lpstr>
      <vt:lpstr>表1_schedule!Print_Area</vt:lpstr>
      <vt:lpstr>表11_Recovery!Print_Area</vt:lpstr>
      <vt:lpstr>'表12_IS Recov'!Print_Area</vt:lpstr>
      <vt:lpstr>表13_Dilution!Print_Area</vt:lpstr>
      <vt:lpstr>表18_ST!Print_Area</vt:lpstr>
      <vt:lpstr>表19_FT!Print_Area</vt:lpstr>
      <vt:lpstr>表20_PSS!Print_Area</vt:lpstr>
      <vt:lpstr>表22_Blood!Print_Area</vt:lpstr>
      <vt:lpstr>表23_溶血效应!Print_Area</vt:lpstr>
      <vt:lpstr>表6_ME!Print_Area</vt:lpstr>
      <vt:lpstr>'表9_Inter QC'!Print_Area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</dc:creator>
  <cp:lastModifiedBy>sqxue</cp:lastModifiedBy>
  <cp:lastPrinted>2025-06-12T08:23:40Z</cp:lastPrinted>
  <dcterms:created xsi:type="dcterms:W3CDTF">2016-03-17T02:40:20Z</dcterms:created>
  <dcterms:modified xsi:type="dcterms:W3CDTF">2025-06-13T02:39:01Z</dcterms:modified>
</cp:coreProperties>
</file>