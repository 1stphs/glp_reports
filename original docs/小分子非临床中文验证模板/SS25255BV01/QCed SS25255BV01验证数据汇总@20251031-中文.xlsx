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qxue\Desktop\SS25255BV01实验数据\"/>
    </mc:Choice>
  </mc:AlternateContent>
  <xr:revisionPtr revIDLastSave="0" documentId="13_ncr:1_{DC46991E-F815-452F-83F4-0EE1979C9D25}" xr6:coauthVersionLast="47" xr6:coauthVersionMax="47" xr10:uidLastSave="{00000000-0000-0000-0000-000000000000}"/>
  <bookViews>
    <workbookView xWindow="-120" yWindow="-120" windowWidth="29040" windowHeight="15840" tabRatio="852" activeTab="4" xr2:uid="{00000000-000D-0000-FFFF-FFFF00000000}"/>
  </bookViews>
  <sheets>
    <sheet name="表1_schedule" sheetId="7" r:id="rId1"/>
    <sheet name="表18_ST" sheetId="24" r:id="rId2"/>
    <sheet name="表19_FT" sheetId="23" r:id="rId3"/>
    <sheet name="表20_PSS" sheetId="25" r:id="rId4"/>
    <sheet name="表22_Blood" sheetId="26" r:id="rId5"/>
  </sheets>
  <definedNames>
    <definedName name="_xlnm.Print_Area" localSheetId="0">表1_schedule!$A$1:$F$12</definedName>
    <definedName name="_xlnm.Print_Area" localSheetId="1">表18_ST!$A$1:$J$19</definedName>
    <definedName name="_xlnm.Print_Area" localSheetId="3">表20_PSS!$A$1:$J$20</definedName>
    <definedName name="_xlnm.Print_Area" localSheetId="4">表22_Blood!$A$1:$G$19</definedName>
  </definedNames>
  <calcPr calcId="191029"/>
</workbook>
</file>

<file path=xl/calcChain.xml><?xml version="1.0" encoding="utf-8"?>
<calcChain xmlns="http://schemas.openxmlformats.org/spreadsheetml/2006/main">
  <c r="G19" i="23" l="1"/>
  <c r="E19" i="23"/>
  <c r="F19" i="24"/>
  <c r="D19" i="24"/>
  <c r="J7" i="25"/>
  <c r="G18" i="25"/>
  <c r="F18" i="25"/>
  <c r="E18" i="25"/>
  <c r="D18" i="25"/>
  <c r="G17" i="25"/>
  <c r="F17" i="25"/>
  <c r="E17" i="25"/>
  <c r="D17" i="25"/>
  <c r="H17" i="23"/>
  <c r="G17" i="23"/>
  <c r="F17" i="23"/>
  <c r="E17" i="23"/>
  <c r="H16" i="23"/>
  <c r="G16" i="23"/>
  <c r="F16" i="23"/>
  <c r="E16" i="23"/>
  <c r="G17" i="24"/>
  <c r="F17" i="24"/>
  <c r="E17" i="24"/>
  <c r="D17" i="24"/>
  <c r="G16" i="24"/>
  <c r="F16" i="24"/>
  <c r="E16" i="24"/>
  <c r="D16" i="24"/>
  <c r="D19" i="25" l="1"/>
  <c r="E19" i="25"/>
  <c r="E18" i="23"/>
  <c r="G19" i="25"/>
  <c r="F19" i="25"/>
  <c r="F18" i="23"/>
  <c r="G18" i="23"/>
  <c r="H18" i="23"/>
  <c r="E18" i="24"/>
  <c r="F18" i="24"/>
  <c r="F20" i="25"/>
  <c r="D20" i="25"/>
  <c r="D18" i="24"/>
  <c r="G18" i="24"/>
  <c r="G17" i="26" l="1"/>
  <c r="F17" i="26"/>
  <c r="E17" i="26"/>
  <c r="D17" i="26"/>
  <c r="G16" i="26"/>
  <c r="F16" i="26"/>
  <c r="E16" i="26"/>
  <c r="D16" i="26"/>
  <c r="D18" i="26" l="1"/>
  <c r="G18" i="26"/>
  <c r="F19" i="26"/>
  <c r="E18" i="26"/>
  <c r="D19" i="26"/>
  <c r="F18" i="26"/>
  <c r="J6" i="24" l="1"/>
</calcChain>
</file>

<file path=xl/sharedStrings.xml><?xml version="1.0" encoding="utf-8"?>
<sst xmlns="http://schemas.openxmlformats.org/spreadsheetml/2006/main" count="116" uniqueCount="56">
  <si>
    <t>SD</t>
  </si>
  <si>
    <r>
      <rPr>
        <sz val="10.5"/>
        <rFont val="宋体"/>
        <family val="3"/>
        <charset val="134"/>
      </rPr>
      <t>检测批次编号</t>
    </r>
  </si>
  <si>
    <r>
      <rPr>
        <sz val="10.5"/>
        <rFont val="宋体"/>
        <family val="3"/>
        <charset val="134"/>
      </rPr>
      <t>检测内容</t>
    </r>
  </si>
  <si>
    <r>
      <rPr>
        <sz val="10.5"/>
        <rFont val="宋体"/>
        <family val="3"/>
        <charset val="134"/>
      </rPr>
      <t>检测日期</t>
    </r>
  </si>
  <si>
    <r>
      <rPr>
        <sz val="10.5"/>
        <rFont val="宋体"/>
        <family val="3"/>
        <charset val="134"/>
      </rPr>
      <t>平均值</t>
    </r>
  </si>
  <si>
    <r>
      <rPr>
        <sz val="10.5"/>
        <rFont val="宋体"/>
        <family val="3"/>
        <charset val="134"/>
      </rPr>
      <t>样品编号</t>
    </r>
  </si>
  <si>
    <r>
      <t>T</t>
    </r>
    <r>
      <rPr>
        <vertAlign val="subscript"/>
        <sz val="10.5"/>
        <rFont val="Times New Roman"/>
        <family val="1"/>
      </rPr>
      <t>0</t>
    </r>
  </si>
  <si>
    <r>
      <t>T</t>
    </r>
    <r>
      <rPr>
        <vertAlign val="subscript"/>
        <sz val="10.5"/>
        <rFont val="Times New Roman"/>
        <family val="1"/>
      </rPr>
      <t>x</t>
    </r>
    <phoneticPr fontId="3" type="noConversion"/>
  </si>
  <si>
    <r>
      <rPr>
        <sz val="10.5"/>
        <rFont val="宋体"/>
        <family val="3"/>
        <charset val="134"/>
      </rPr>
      <t>浓度</t>
    </r>
    <phoneticPr fontId="3" type="noConversion"/>
  </si>
  <si>
    <r>
      <rPr>
        <sz val="10.5"/>
        <rFont val="宋体"/>
        <family val="3"/>
        <charset val="134"/>
      </rPr>
      <t>待测物与内标的峰面积比</t>
    </r>
    <phoneticPr fontId="3" type="noConversion"/>
  </si>
  <si>
    <r>
      <rPr>
        <sz val="10.5"/>
        <rFont val="宋体"/>
        <family val="3"/>
        <charset val="134"/>
      </rPr>
      <t>检测日期</t>
    </r>
    <phoneticPr fontId="3" type="noConversion"/>
  </si>
  <si>
    <t>放置时间：</t>
  </si>
  <si>
    <t>表22：全血稳定性</t>
  </si>
  <si>
    <t>表20：处理后样品的稳定性</t>
  </si>
  <si>
    <t>表19：冻融稳定性</t>
  </si>
  <si>
    <t xml:space="preserve">表18：生物样品前处理过程中的短期稳定性 </t>
  </si>
  <si>
    <t>表1：批量样品检测情况列表</t>
  </si>
  <si>
    <t>CV（%）</t>
  </si>
  <si>
    <t>差异（%）</t>
  </si>
  <si>
    <r>
      <rPr>
        <sz val="10.5"/>
        <rFont val="宋体"/>
        <family val="3"/>
        <charset val="134"/>
      </rPr>
      <t>放置时间：</t>
    </r>
  </si>
  <si>
    <r>
      <rPr>
        <sz val="10.5"/>
        <rFont val="宋体"/>
        <family val="3"/>
        <charset val="134"/>
      </rPr>
      <t>样品处理完成时间：</t>
    </r>
  </si>
  <si>
    <r>
      <rPr>
        <sz val="10.5"/>
        <rFont val="宋体"/>
        <family val="3"/>
        <charset val="134"/>
      </rPr>
      <t>该样品第一针进样时间：</t>
    </r>
  </si>
  <si>
    <r>
      <rPr>
        <sz val="10.5"/>
        <rFont val="宋体"/>
        <family val="3"/>
        <charset val="134"/>
      </rPr>
      <t>样品放置开始时间：</t>
    </r>
  </si>
  <si>
    <r>
      <rPr>
        <sz val="10.5"/>
        <rFont val="宋体"/>
        <family val="3"/>
        <charset val="134"/>
      </rPr>
      <t>样品放置结束时间：</t>
    </r>
  </si>
  <si>
    <r>
      <rPr>
        <sz val="10.5"/>
        <color theme="1"/>
        <rFont val="宋体"/>
        <family val="3"/>
        <charset val="134"/>
      </rPr>
      <t>检测日期</t>
    </r>
    <phoneticPr fontId="3" type="noConversion"/>
  </si>
  <si>
    <t>LQC</t>
    <phoneticPr fontId="3" type="noConversion"/>
  </si>
  <si>
    <t>HQC</t>
    <phoneticPr fontId="3" type="noConversion"/>
  </si>
  <si>
    <t>冻融循环次数</t>
    <phoneticPr fontId="3" type="noConversion"/>
  </si>
  <si>
    <r>
      <rPr>
        <sz val="10.5"/>
        <rFont val="宋体"/>
        <family val="3"/>
        <charset val="134"/>
      </rPr>
      <t>提取日期</t>
    </r>
    <phoneticPr fontId="3" type="noConversion"/>
  </si>
  <si>
    <r>
      <rPr>
        <sz val="10.5"/>
        <rFont val="宋体"/>
        <family val="3"/>
        <charset val="134"/>
      </rPr>
      <t>设备编号</t>
    </r>
    <phoneticPr fontId="3" type="noConversion"/>
  </si>
  <si>
    <r>
      <rPr>
        <sz val="10.5"/>
        <rFont val="宋体"/>
        <family val="1"/>
        <charset val="134"/>
      </rPr>
      <t>系统适用性，全血稳定性</t>
    </r>
    <phoneticPr fontId="3" type="noConversion"/>
  </si>
  <si>
    <r>
      <rPr>
        <sz val="10.5"/>
        <rFont val="宋体"/>
        <family val="3"/>
        <charset val="134"/>
      </rPr>
      <t>系统适用性，标准曲线及范围，稳定性</t>
    </r>
    <r>
      <rPr>
        <sz val="10.5"/>
        <rFont val="Times New Roman"/>
        <family val="1"/>
      </rPr>
      <t>T</t>
    </r>
    <r>
      <rPr>
        <vertAlign val="subscript"/>
        <sz val="10.5"/>
        <rFont val="Times New Roman"/>
        <family val="1"/>
      </rPr>
      <t>0</t>
    </r>
    <r>
      <rPr>
        <sz val="10.5"/>
        <rFont val="宋体"/>
        <family val="3"/>
        <charset val="134"/>
      </rPr>
      <t>，残留评价</t>
    </r>
    <phoneticPr fontId="3" type="noConversion"/>
  </si>
  <si>
    <r>
      <rPr>
        <sz val="10.5"/>
        <rFont val="宋体"/>
        <family val="3"/>
        <charset val="134"/>
      </rPr>
      <t>备注：</t>
    </r>
  </si>
  <si>
    <r>
      <t>1 (T</t>
    </r>
    <r>
      <rPr>
        <vertAlign val="subscript"/>
        <sz val="10.5"/>
        <rFont val="Times New Roman"/>
        <family val="1"/>
      </rPr>
      <t>0</t>
    </r>
    <r>
      <rPr>
        <sz val="10.5"/>
        <rFont val="Times New Roman"/>
        <family val="1"/>
      </rPr>
      <t>) / 
2 (T</t>
    </r>
    <r>
      <rPr>
        <vertAlign val="subscript"/>
        <sz val="10.5"/>
        <rFont val="Times New Roman"/>
        <family val="1"/>
      </rPr>
      <t>x</t>
    </r>
    <r>
      <rPr>
        <sz val="10.5"/>
        <rFont val="Times New Roman"/>
        <family val="1"/>
      </rPr>
      <t>)</t>
    </r>
    <phoneticPr fontId="3" type="noConversion"/>
  </si>
  <si>
    <t>EQ201758</t>
    <phoneticPr fontId="3" type="noConversion"/>
  </si>
  <si>
    <t>RESS25255浓度：20000.000 pmol/mL</t>
  </si>
  <si>
    <t>4.500
 pmol/mL</t>
    <phoneticPr fontId="3" type="noConversion"/>
  </si>
  <si>
    <t>1125.000
 pmol/mL</t>
    <phoneticPr fontId="3" type="noConversion"/>
  </si>
  <si>
    <t>浓度（pmol/mL）</t>
  </si>
  <si>
    <t>pmol/mL</t>
  </si>
  <si>
    <r>
      <t>2025/08/19 (T</t>
    </r>
    <r>
      <rPr>
        <vertAlign val="subscript"/>
        <sz val="10.5"/>
        <rFont val="Times New Roman"/>
        <family val="1"/>
      </rPr>
      <t>0</t>
    </r>
    <r>
      <rPr>
        <sz val="10.5"/>
        <rFont val="Times New Roman"/>
        <family val="1"/>
      </rPr>
      <t>) / 
2025/08/21 (T</t>
    </r>
    <r>
      <rPr>
        <vertAlign val="subscript"/>
        <sz val="10.5"/>
        <rFont val="Times New Roman"/>
        <family val="1"/>
      </rPr>
      <t>x</t>
    </r>
    <r>
      <rPr>
        <sz val="10.5"/>
        <rFont val="Times New Roman"/>
        <family val="1"/>
      </rPr>
      <t>)</t>
    </r>
    <phoneticPr fontId="3" type="noConversion"/>
  </si>
  <si>
    <r>
      <t>RESS25255</t>
    </r>
    <r>
      <rPr>
        <sz val="10.5"/>
        <rFont val="宋体"/>
        <family val="3"/>
        <charset val="134"/>
      </rPr>
      <t>浓度：</t>
    </r>
    <r>
      <rPr>
        <sz val="10.5"/>
        <rFont val="Times New Roman"/>
        <family val="1"/>
      </rPr>
      <t>20000.000 pmol/mL</t>
    </r>
    <phoneticPr fontId="3" type="noConversion"/>
  </si>
  <si>
    <r>
      <t>RESS25255-B</t>
    </r>
    <r>
      <rPr>
        <sz val="10.5"/>
        <rFont val="宋体"/>
        <family val="3"/>
        <charset val="134"/>
      </rPr>
      <t>（</t>
    </r>
    <r>
      <rPr>
        <sz val="10.5"/>
        <rFont val="Times New Roman"/>
        <family val="1"/>
      </rPr>
      <t>RESS25255</t>
    </r>
    <r>
      <rPr>
        <sz val="10.5"/>
        <rFont val="宋体"/>
        <family val="3"/>
        <charset val="134"/>
      </rPr>
      <t>存在下）</t>
    </r>
    <phoneticPr fontId="3" type="noConversion"/>
  </si>
  <si>
    <r>
      <rPr>
        <sz val="10.5"/>
        <rFont val="宋体"/>
        <family val="3"/>
        <charset val="134"/>
      </rPr>
      <t>是</t>
    </r>
    <r>
      <rPr>
        <vertAlign val="superscript"/>
        <sz val="10.5"/>
        <rFont val="Times New Roman"/>
        <family val="1"/>
      </rPr>
      <t>1</t>
    </r>
    <phoneticPr fontId="3" type="noConversion"/>
  </si>
  <si>
    <r>
      <rPr>
        <sz val="10.5"/>
        <rFont val="宋体"/>
        <family val="1"/>
        <charset val="134"/>
      </rPr>
      <t>注</t>
    </r>
    <r>
      <rPr>
        <sz val="10.5"/>
        <rFont val="Times New Roman"/>
        <family val="1"/>
      </rPr>
      <t>1</t>
    </r>
    <r>
      <rPr>
        <sz val="10.5"/>
        <rFont val="宋体"/>
        <family val="1"/>
        <charset val="134"/>
      </rPr>
      <t>：由于移取了</t>
    </r>
    <r>
      <rPr>
        <sz val="10.5"/>
        <rFont val="Times New Roman"/>
        <family val="1"/>
      </rPr>
      <t>100 μL</t>
    </r>
    <r>
      <rPr>
        <sz val="10.5"/>
        <rFont val="宋体"/>
        <family val="1"/>
        <charset val="134"/>
      </rPr>
      <t>处理后样品至另一块</t>
    </r>
    <r>
      <rPr>
        <sz val="10.5"/>
        <rFont val="Times New Roman"/>
        <family val="1"/>
      </rPr>
      <t>96</t>
    </r>
    <r>
      <rPr>
        <sz val="10.5"/>
        <rFont val="宋体"/>
        <family val="1"/>
        <charset val="134"/>
      </rPr>
      <t>孔板（作</t>
    </r>
    <r>
      <rPr>
        <sz val="10.5"/>
        <rFont val="Times New Roman"/>
        <family val="1"/>
      </rPr>
      <t>PSS</t>
    </r>
    <r>
      <rPr>
        <sz val="10.5"/>
        <rFont val="宋体"/>
        <family val="1"/>
        <charset val="134"/>
      </rPr>
      <t>考察使用），导致仪器无法吸取到剩余样品。将所有样品转移至新的容量为</t>
    </r>
    <r>
      <rPr>
        <sz val="10.5"/>
        <rFont val="Times New Roman"/>
        <family val="1"/>
      </rPr>
      <t>700 μL</t>
    </r>
    <r>
      <rPr>
        <sz val="10.5"/>
        <rFont val="宋体"/>
        <family val="1"/>
        <charset val="134"/>
      </rPr>
      <t>的</t>
    </r>
    <r>
      <rPr>
        <sz val="10.5"/>
        <rFont val="Times New Roman"/>
        <family val="1"/>
      </rPr>
      <t>96</t>
    </r>
    <r>
      <rPr>
        <sz val="10.5"/>
        <rFont val="宋体"/>
        <family val="1"/>
        <charset val="134"/>
      </rPr>
      <t>孔板中，重新进样。</t>
    </r>
    <phoneticPr fontId="3" type="noConversion"/>
  </si>
  <si>
    <r>
      <rPr>
        <sz val="10.5"/>
        <rFont val="宋体"/>
        <family val="3"/>
        <charset val="134"/>
      </rPr>
      <t>系统适用性，标准曲线及范围，样品短期稳定性，冻融稳定性，处理后样品稳定性</t>
    </r>
    <r>
      <rPr>
        <vertAlign val="superscript"/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，残留评价</t>
    </r>
    <phoneticPr fontId="3" type="noConversion"/>
  </si>
  <si>
    <r>
      <rPr>
        <sz val="10.5"/>
        <rFont val="宋体"/>
        <family val="3"/>
        <charset val="134"/>
      </rPr>
      <t>是</t>
    </r>
    <r>
      <rPr>
        <vertAlign val="superscript"/>
        <sz val="10.5"/>
        <rFont val="Times New Roman"/>
        <family val="1"/>
      </rPr>
      <t>3</t>
    </r>
    <phoneticPr fontId="3" type="noConversion"/>
  </si>
  <si>
    <r>
      <rPr>
        <sz val="10.5"/>
        <rFont val="宋体"/>
        <family val="3"/>
        <charset val="134"/>
      </rPr>
      <t>不适用</t>
    </r>
    <r>
      <rPr>
        <vertAlign val="superscript"/>
        <sz val="10.5"/>
        <rFont val="Times New Roman"/>
        <family val="1"/>
      </rPr>
      <t>4</t>
    </r>
    <phoneticPr fontId="3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</si>
  <si>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2</t>
    </r>
    <r>
      <rPr>
        <sz val="10.5"/>
        <rFont val="宋体"/>
        <family val="3"/>
        <charset val="134"/>
      </rPr>
      <t>：处理后样品稳定性实验，所使用的样品于</t>
    </r>
    <r>
      <rPr>
        <sz val="10.5"/>
        <rFont val="Times New Roman"/>
        <family val="1"/>
      </rPr>
      <t>2025</t>
    </r>
    <r>
      <rPr>
        <sz val="10.5"/>
        <rFont val="宋体"/>
        <family val="3"/>
        <charset val="134"/>
      </rPr>
      <t>年</t>
    </r>
    <r>
      <rPr>
        <sz val="10.5"/>
        <rFont val="Times New Roman"/>
        <family val="1"/>
      </rPr>
      <t>08</t>
    </r>
    <r>
      <rPr>
        <sz val="10.5"/>
        <rFont val="宋体"/>
        <family val="3"/>
        <charset val="134"/>
      </rPr>
      <t>月</t>
    </r>
    <r>
      <rPr>
        <sz val="10.5"/>
        <rFont val="Times New Roman"/>
        <family val="1"/>
      </rPr>
      <t>18</t>
    </r>
    <r>
      <rPr>
        <sz val="10.5"/>
        <rFont val="宋体"/>
        <family val="3"/>
        <charset val="134"/>
      </rPr>
      <t>日第</t>
    </r>
    <r>
      <rPr>
        <sz val="10.5"/>
        <rFont val="Times New Roman"/>
        <family val="1"/>
      </rPr>
      <t>1</t>
    </r>
    <r>
      <rPr>
        <sz val="10.5"/>
        <rFont val="宋体"/>
        <family val="3"/>
        <charset val="134"/>
      </rPr>
      <t>个分析批中制备。</t>
    </r>
    <phoneticPr fontId="3" type="noConversion"/>
  </si>
  <si>
    <r>
      <rPr>
        <sz val="10.5"/>
        <rFont val="宋体"/>
        <family val="3"/>
        <charset val="134"/>
      </rPr>
      <t>注</t>
    </r>
    <r>
      <rPr>
        <sz val="10.5"/>
        <rFont val="Times New Roman"/>
        <family val="1"/>
      </rPr>
      <t>4</t>
    </r>
    <r>
      <rPr>
        <sz val="10.5"/>
        <rFont val="宋体"/>
        <family val="3"/>
        <charset val="134"/>
      </rPr>
      <t>：本分析批无标曲质控样品</t>
    </r>
    <phoneticPr fontId="3" type="noConversion"/>
  </si>
  <si>
    <r>
      <rPr>
        <sz val="10.5"/>
        <rFont val="宋体"/>
        <family val="1"/>
        <charset val="134"/>
      </rPr>
      <t>注</t>
    </r>
    <r>
      <rPr>
        <sz val="10.5"/>
        <rFont val="Times New Roman"/>
        <family val="1"/>
      </rPr>
      <t>3</t>
    </r>
    <r>
      <rPr>
        <sz val="10.5"/>
        <rFont val="宋体"/>
        <family val="1"/>
        <charset val="134"/>
      </rPr>
      <t>：转板报错，重新平衡仪器，评估后从停止的样品开始继续提交分析</t>
    </r>
    <phoneticPr fontId="3" type="noConversion"/>
  </si>
  <si>
    <t>分析批是否接受</t>
    <phoneticPr fontId="3" type="noConversion"/>
  </si>
  <si>
    <r>
      <rPr>
        <sz val="10.5"/>
        <rFont val="宋体"/>
        <family val="3"/>
        <charset val="134"/>
      </rPr>
      <t>试验条件：在自动进样器（</t>
    </r>
    <r>
      <rPr>
        <sz val="10.5"/>
        <rFont val="Times New Roman"/>
        <family val="1"/>
      </rPr>
      <t>5°C</t>
    </r>
    <r>
      <rPr>
        <sz val="10.5"/>
        <rFont val="宋体"/>
        <family val="3"/>
        <charset val="134"/>
      </rPr>
      <t>）条件下保存</t>
    </r>
    <r>
      <rPr>
        <sz val="10.5"/>
        <rFont val="Times New Roman"/>
        <family val="1"/>
      </rPr>
      <t>77</t>
    </r>
    <r>
      <rPr>
        <sz val="10.5"/>
        <rFont val="宋体"/>
        <family val="3"/>
        <charset val="134"/>
      </rPr>
      <t>小时的稳定性</t>
    </r>
    <phoneticPr fontId="3" type="noConversion"/>
  </si>
  <si>
    <r>
      <rPr>
        <sz val="10.5"/>
        <rFont val="宋体"/>
        <family val="3"/>
        <charset val="134"/>
      </rPr>
      <t>试验条件：在冰水浴白光下放置</t>
    </r>
    <r>
      <rPr>
        <sz val="10.5"/>
        <rFont val="Times New Roman"/>
        <family val="1"/>
      </rPr>
      <t>16</t>
    </r>
    <r>
      <rPr>
        <sz val="10.5"/>
        <rFont val="宋体"/>
        <family val="3"/>
        <charset val="134"/>
      </rPr>
      <t>小时的短期稳定性</t>
    </r>
    <phoneticPr fontId="3" type="noConversion"/>
  </si>
  <si>
    <r>
      <rPr>
        <sz val="10.5"/>
        <rFont val="宋体"/>
        <family val="3"/>
        <charset val="134"/>
      </rPr>
      <t>试验条件：在超低温冷冻冰箱（</t>
    </r>
    <r>
      <rPr>
        <sz val="10.5"/>
        <rFont val="Times New Roman"/>
        <family val="1"/>
      </rPr>
      <t>-70~-90°C</t>
    </r>
    <r>
      <rPr>
        <sz val="10.5"/>
        <rFont val="宋体"/>
        <family val="3"/>
        <charset val="134"/>
      </rPr>
      <t>）冻存至少</t>
    </r>
    <r>
      <rPr>
        <sz val="10.5"/>
        <rFont val="Times New Roman"/>
        <family val="1"/>
      </rPr>
      <t>12</t>
    </r>
    <r>
      <rPr>
        <sz val="10.5"/>
        <rFont val="宋体"/>
        <family val="3"/>
        <charset val="134"/>
      </rPr>
      <t>小时，在冰水浴白光条件下融化。</t>
    </r>
    <phoneticPr fontId="3" type="noConversion"/>
  </si>
  <si>
    <r>
      <rPr>
        <sz val="10.5"/>
        <rFont val="宋体"/>
        <family val="3"/>
        <charset val="134"/>
      </rPr>
      <t>试验条件：全血样品在冰水浴白光下放置</t>
    </r>
    <r>
      <rPr>
        <sz val="10.5"/>
        <rFont val="Times New Roman"/>
        <family val="1"/>
      </rPr>
      <t>1.5</t>
    </r>
    <r>
      <rPr>
        <sz val="10.5"/>
        <rFont val="宋体"/>
        <family val="3"/>
        <charset val="134"/>
      </rPr>
      <t>小时后的稳定性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</si>
</sst>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"/>
    <numFmt numFmtId="177" formatCode="0.000"/>
    <numFmt numFmtId="178" formatCode="0.000000"/>
    <numFmt numFmtId="179" formatCode="yyyy/mm/dd"/>
    <numFmt numFmtId="180" formatCode="0.000_ "/>
    <numFmt numFmtId="181" formatCode="yyyy/mm/dd\ hh:mm"/>
    <numFmt numFmtId="182" formatCode="0.00;[Red]0.00"/>
  </numFmts>
  <fonts count="42">
    <font>
      <sz val="11"/>
      <color theme="1"/>
      <name val="DengXian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9"/>
      <name val="DengXian"/>
      <family val="2"/>
    </font>
    <font>
      <sz val="10.5"/>
      <name val="宋体"/>
      <family val="3"/>
      <charset val="134"/>
    </font>
    <font>
      <sz val="10"/>
      <name val="Times New Roman"/>
      <family val="1"/>
    </font>
    <font>
      <sz val="11"/>
      <color rgb="FF9C0006"/>
      <name val="Calibri"/>
      <family val="2"/>
    </font>
    <font>
      <sz val="12"/>
      <color rgb="FF9C0006"/>
      <name val="DengXian"/>
      <family val="2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0.5"/>
      <name val="Times New Roman"/>
      <family val="1"/>
    </font>
    <font>
      <vertAlign val="subscript"/>
      <sz val="10.5"/>
      <name val="Times New Roman"/>
      <family val="1"/>
    </font>
    <font>
      <sz val="12"/>
      <name val="宋体"/>
      <family val="3"/>
      <charset val="134"/>
    </font>
    <font>
      <sz val="11"/>
      <name val="Times New Roman"/>
      <family val="1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2"/>
      <color rgb="FF9C0006"/>
      <name val="DengXian"/>
      <family val="2"/>
      <scheme val="minor"/>
    </font>
    <font>
      <sz val="11"/>
      <color rgb="FF006100"/>
      <name val="DengXian"/>
      <family val="2"/>
      <scheme val="minor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1"/>
      <color rgb="FF9C0006"/>
      <name val="DengXian"/>
      <family val="2"/>
      <scheme val="minor"/>
    </font>
    <font>
      <b/>
      <sz val="11"/>
      <color rgb="FFFA7D00"/>
      <name val="DengXian"/>
      <family val="2"/>
      <scheme val="minor"/>
    </font>
    <font>
      <b/>
      <sz val="11"/>
      <color theme="0"/>
      <name val="DengXian"/>
      <family val="2"/>
      <scheme val="minor"/>
    </font>
    <font>
      <i/>
      <sz val="11"/>
      <color rgb="FF7F7F7F"/>
      <name val="DengXian"/>
      <family val="2"/>
      <scheme val="minor"/>
    </font>
    <font>
      <sz val="11"/>
      <color rgb="FF006100"/>
      <name val="DengXian"/>
      <family val="2"/>
      <scheme val="minor"/>
    </font>
    <font>
      <b/>
      <sz val="15"/>
      <color theme="3"/>
      <name val="DengXian"/>
      <family val="2"/>
      <scheme val="minor"/>
    </font>
    <font>
      <b/>
      <sz val="13"/>
      <color theme="3"/>
      <name val="DengXian"/>
      <family val="2"/>
      <scheme val="minor"/>
    </font>
    <font>
      <b/>
      <sz val="11"/>
      <color theme="3"/>
      <name val="DengXian"/>
      <family val="2"/>
      <scheme val="minor"/>
    </font>
    <font>
      <sz val="11"/>
      <color rgb="FF3F3F76"/>
      <name val="DengXian"/>
      <family val="2"/>
      <scheme val="minor"/>
    </font>
    <font>
      <sz val="11"/>
      <color rgb="FFFA7D00"/>
      <name val="DengXian"/>
      <family val="2"/>
      <scheme val="minor"/>
    </font>
    <font>
      <sz val="11"/>
      <color rgb="FF9C6500"/>
      <name val="DengXian"/>
      <family val="2"/>
      <scheme val="minor"/>
    </font>
    <font>
      <b/>
      <sz val="11"/>
      <color rgb="FF3F3F3F"/>
      <name val="DengXian"/>
      <family val="2"/>
      <scheme val="minor"/>
    </font>
    <font>
      <b/>
      <sz val="18"/>
      <color theme="3"/>
      <name val="DengXian Light"/>
      <family val="2"/>
      <scheme val="major"/>
    </font>
    <font>
      <b/>
      <sz val="11"/>
      <color theme="1"/>
      <name val="DengXian"/>
      <family val="2"/>
      <scheme val="minor"/>
    </font>
    <font>
      <sz val="11"/>
      <color rgb="FFFF0000"/>
      <name val="DengXian"/>
      <family val="2"/>
      <scheme val="minor"/>
    </font>
    <font>
      <sz val="10.5"/>
      <name val="Times New Roman"/>
      <family val="3"/>
      <charset val="134"/>
    </font>
    <font>
      <sz val="11"/>
      <color rgb="FF9C0006"/>
      <name val="DengXian"/>
      <family val="2"/>
      <scheme val="minor"/>
    </font>
    <font>
      <sz val="10.5"/>
      <name val="宋体"/>
      <family val="1"/>
      <charset val="134"/>
    </font>
    <font>
      <vertAlign val="superscript"/>
      <sz val="10.5"/>
      <name val="Times New Roman"/>
      <family val="1"/>
    </font>
    <font>
      <sz val="10.5"/>
      <color indexed="8"/>
      <name val="Times New Roman"/>
      <family val="1"/>
    </font>
    <font>
      <sz val="10.5"/>
      <color rgb="FF0070C0"/>
      <name val="Times New Roman"/>
      <family val="1"/>
    </font>
    <font>
      <sz val="10.5"/>
      <name val="Times New Roman"/>
      <family val="1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</borders>
  <cellStyleXfs count="109">
    <xf numFmtId="0" fontId="0" fillId="0" borderId="0"/>
    <xf numFmtId="0" fontId="6" fillId="2" borderId="0" applyNumberFormat="0" applyBorder="0" applyAlignment="0" applyProtection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12" fillId="0" borderId="0"/>
    <xf numFmtId="0" fontId="2" fillId="0" borderId="0"/>
    <xf numFmtId="0" fontId="14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12" fillId="0" borderId="0"/>
    <xf numFmtId="0" fontId="17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8" fillId="5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6" borderId="0" applyNumberFormat="0" applyBorder="0" applyAlignment="0" applyProtection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0" fontId="18" fillId="26" borderId="0" applyNumberFormat="0" applyBorder="0" applyAlignment="0" applyProtection="0"/>
    <xf numFmtId="0" fontId="19" fillId="7" borderId="0" applyNumberFormat="0" applyBorder="0" applyAlignment="0" applyProtection="0"/>
    <xf numFmtId="0" fontId="19" fillId="11" borderId="0" applyNumberFormat="0" applyBorder="0" applyAlignment="0" applyProtection="0"/>
    <xf numFmtId="0" fontId="19" fillId="15" borderId="0" applyNumberFormat="0" applyBorder="0" applyAlignment="0" applyProtection="0"/>
    <xf numFmtId="0" fontId="19" fillId="19" borderId="0" applyNumberFormat="0" applyBorder="0" applyAlignment="0" applyProtection="0"/>
    <xf numFmtId="0" fontId="19" fillId="23" borderId="0" applyNumberFormat="0" applyBorder="0" applyAlignment="0" applyProtection="0"/>
    <xf numFmtId="0" fontId="19" fillId="27" borderId="0" applyNumberFormat="0" applyBorder="0" applyAlignment="0" applyProtection="0"/>
    <xf numFmtId="0" fontId="19" fillId="4" borderId="0" applyNumberFormat="0" applyBorder="0" applyAlignment="0" applyProtection="0"/>
    <xf numFmtId="0" fontId="19" fillId="8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20" fillId="2" borderId="0" applyNumberFormat="0" applyBorder="0" applyAlignment="0" applyProtection="0"/>
    <xf numFmtId="0" fontId="21" fillId="30" borderId="19" applyNumberFormat="0" applyAlignment="0" applyProtection="0"/>
    <xf numFmtId="0" fontId="22" fillId="31" borderId="22" applyNumberFormat="0" applyAlignment="0" applyProtection="0"/>
    <xf numFmtId="0" fontId="23" fillId="0" borderId="0" applyNumberFormat="0" applyFill="0" applyBorder="0" applyAlignment="0" applyProtection="0"/>
    <xf numFmtId="0" fontId="24" fillId="3" borderId="0" applyNumberFormat="0" applyBorder="0" applyAlignment="0" applyProtection="0"/>
    <xf numFmtId="0" fontId="25" fillId="0" borderId="16" applyNumberFormat="0" applyFill="0" applyAlignment="0" applyProtection="0"/>
    <xf numFmtId="0" fontId="26" fillId="0" borderId="17" applyNumberFormat="0" applyFill="0" applyAlignment="0" applyProtection="0"/>
    <xf numFmtId="0" fontId="27" fillId="0" borderId="18" applyNumberFormat="0" applyFill="0" applyAlignment="0" applyProtection="0"/>
    <xf numFmtId="0" fontId="27" fillId="0" borderId="0" applyNumberFormat="0" applyFill="0" applyBorder="0" applyAlignment="0" applyProtection="0"/>
    <xf numFmtId="0" fontId="28" fillId="29" borderId="19" applyNumberFormat="0" applyAlignment="0" applyProtection="0"/>
    <xf numFmtId="0" fontId="29" fillId="0" borderId="21" applyNumberFormat="0" applyFill="0" applyAlignment="0" applyProtection="0"/>
    <xf numFmtId="0" fontId="30" fillId="28" borderId="0" applyNumberFormat="0" applyBorder="0" applyAlignment="0" applyProtection="0"/>
    <xf numFmtId="0" fontId="18" fillId="32" borderId="23" applyNumberFormat="0" applyFont="0" applyAlignment="0" applyProtection="0"/>
    <xf numFmtId="0" fontId="31" fillId="30" borderId="20" applyNumberFormat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0" borderId="0" applyNumberFormat="0" applyFill="0" applyBorder="0" applyAlignment="0" applyProtection="0"/>
    <xf numFmtId="0" fontId="36" fillId="2" borderId="0" applyNumberFormat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>
      <alignment vertical="center"/>
    </xf>
    <xf numFmtId="0" fontId="16" fillId="2" borderId="0" applyNumberFormat="0" applyBorder="0" applyAlignment="0" applyProtection="0"/>
    <xf numFmtId="0" fontId="7" fillId="2" borderId="0" applyNumberFormat="0" applyBorder="0" applyAlignment="0" applyProtection="0"/>
    <xf numFmtId="0" fontId="14" fillId="5" borderId="0" applyNumberFormat="0" applyBorder="0" applyAlignment="0" applyProtection="0"/>
    <xf numFmtId="0" fontId="14" fillId="9" borderId="0" applyNumberFormat="0" applyBorder="0" applyAlignment="0" applyProtection="0"/>
    <xf numFmtId="0" fontId="14" fillId="13" borderId="0" applyNumberFormat="0" applyBorder="0" applyAlignment="0" applyProtection="0"/>
    <xf numFmtId="0" fontId="14" fillId="17" borderId="0" applyNumberFormat="0" applyBorder="0" applyAlignment="0" applyProtection="0"/>
    <xf numFmtId="0" fontId="14" fillId="21" borderId="0" applyNumberFormat="0" applyBorder="0" applyAlignment="0" applyProtection="0"/>
    <xf numFmtId="0" fontId="14" fillId="25" borderId="0" applyNumberFormat="0" applyBorder="0" applyAlignment="0" applyProtection="0"/>
    <xf numFmtId="0" fontId="14" fillId="6" borderId="0" applyNumberFormat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5" fillId="7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4" borderId="0" applyNumberFormat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7" fillId="3" borderId="0" applyNumberFormat="0" applyBorder="0" applyAlignment="0" applyProtection="0"/>
    <xf numFmtId="0" fontId="14" fillId="32" borderId="23" applyNumberFormat="0" applyFont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</cellStyleXfs>
  <cellXfs count="75">
    <xf numFmtId="0" fontId="0" fillId="0" borderId="0" xfId="0"/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justify"/>
    </xf>
    <xf numFmtId="0" fontId="5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35" fillId="0" borderId="1" xfId="0" applyFont="1" applyBorder="1" applyAlignment="1">
      <alignment horizontal="center" vertical="center" wrapText="1"/>
    </xf>
    <xf numFmtId="0" fontId="41" fillId="0" borderId="0" xfId="0" applyFont="1"/>
    <xf numFmtId="0" fontId="35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right"/>
    </xf>
    <xf numFmtId="181" fontId="10" fillId="0" borderId="0" xfId="0" applyNumberFormat="1" applyFont="1" applyAlignment="1">
      <alignment horizontal="left" vertical="center"/>
    </xf>
    <xf numFmtId="0" fontId="35" fillId="0" borderId="0" xfId="0" applyFont="1"/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182" fontId="10" fillId="0" borderId="0" xfId="0" applyNumberFormat="1" applyFont="1" applyAlignment="1">
      <alignment horizontal="left" vertical="center"/>
    </xf>
    <xf numFmtId="180" fontId="10" fillId="0" borderId="1" xfId="0" applyNumberFormat="1" applyFont="1" applyBorder="1" applyAlignment="1">
      <alignment horizontal="center" vertical="center" wrapText="1"/>
    </xf>
    <xf numFmtId="177" fontId="10" fillId="0" borderId="1" xfId="0" applyNumberFormat="1" applyFont="1" applyBorder="1" applyAlignment="1">
      <alignment horizontal="center" vertical="center" wrapText="1"/>
    </xf>
    <xf numFmtId="177" fontId="39" fillId="0" borderId="1" xfId="0" applyNumberFormat="1" applyFont="1" applyBorder="1" applyAlignment="1">
      <alignment horizontal="center" vertical="center" wrapText="1"/>
    </xf>
    <xf numFmtId="176" fontId="39" fillId="0" borderId="1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left"/>
    </xf>
    <xf numFmtId="0" fontId="10" fillId="0" borderId="6" xfId="0" applyFont="1" applyBorder="1"/>
    <xf numFmtId="0" fontId="10" fillId="0" borderId="0" xfId="0" applyFont="1" applyAlignment="1">
      <alignment horizontal="center" vertical="center"/>
    </xf>
    <xf numFmtId="0" fontId="13" fillId="0" borderId="0" xfId="0" applyFont="1"/>
    <xf numFmtId="1" fontId="5" fillId="0" borderId="0" xfId="0" applyNumberFormat="1" applyFont="1" applyAlignment="1">
      <alignment horizontal="center"/>
    </xf>
    <xf numFmtId="180" fontId="10" fillId="0" borderId="4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4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9" fontId="10" fillId="0" borderId="2" xfId="0" applyNumberFormat="1" applyFont="1" applyBorder="1" applyAlignment="1">
      <alignment horizontal="center" vertical="center" wrapText="1"/>
    </xf>
    <xf numFmtId="179" fontId="10" fillId="0" borderId="8" xfId="0" applyNumberFormat="1" applyFont="1" applyBorder="1" applyAlignment="1">
      <alignment horizontal="center" vertical="center" wrapText="1"/>
    </xf>
    <xf numFmtId="14" fontId="10" fillId="0" borderId="2" xfId="0" applyNumberFormat="1" applyFont="1" applyBorder="1" applyAlignment="1">
      <alignment horizontal="center" vertical="center" wrapText="1"/>
    </xf>
    <xf numFmtId="0" fontId="40" fillId="0" borderId="9" xfId="0" applyFont="1" applyBorder="1" applyAlignment="1">
      <alignment horizontal="center" vertical="center" wrapText="1"/>
    </xf>
    <xf numFmtId="0" fontId="40" fillId="0" borderId="10" xfId="0" applyFont="1" applyBorder="1" applyAlignment="1">
      <alignment horizontal="center" vertical="center" wrapText="1"/>
    </xf>
    <xf numFmtId="0" fontId="40" fillId="0" borderId="11" xfId="0" applyFont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 wrapText="1"/>
    </xf>
    <xf numFmtId="0" fontId="40" fillId="0" borderId="14" xfId="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/>
    </xf>
    <xf numFmtId="0" fontId="40" fillId="0" borderId="25" xfId="0" applyFont="1" applyBorder="1" applyAlignment="1">
      <alignment horizontal="center" vertical="center" wrapText="1"/>
    </xf>
    <xf numFmtId="0" fontId="40" fillId="0" borderId="26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/>
    </xf>
  </cellXfs>
  <cellStyles count="109">
    <cellStyle name="20% - Accent1" xfId="34" xr:uid="{00000000-0005-0000-0000-000000000000}"/>
    <cellStyle name="20% - Accent1 2" xfId="80" xr:uid="{00000000-0005-0000-0000-000001000000}"/>
    <cellStyle name="20% - Accent2" xfId="35" xr:uid="{00000000-0005-0000-0000-000002000000}"/>
    <cellStyle name="20% - Accent2 2" xfId="81" xr:uid="{00000000-0005-0000-0000-000003000000}"/>
    <cellStyle name="20% - Accent3" xfId="36" xr:uid="{00000000-0005-0000-0000-000004000000}"/>
    <cellStyle name="20% - Accent3 2" xfId="82" xr:uid="{00000000-0005-0000-0000-000005000000}"/>
    <cellStyle name="20% - Accent4" xfId="37" xr:uid="{00000000-0005-0000-0000-000006000000}"/>
    <cellStyle name="20% - Accent4 2" xfId="83" xr:uid="{00000000-0005-0000-0000-000007000000}"/>
    <cellStyle name="20% - Accent5" xfId="38" xr:uid="{00000000-0005-0000-0000-000008000000}"/>
    <cellStyle name="20% - Accent5 2" xfId="84" xr:uid="{00000000-0005-0000-0000-000009000000}"/>
    <cellStyle name="20% - Accent6" xfId="39" xr:uid="{00000000-0005-0000-0000-00000A000000}"/>
    <cellStyle name="20% - Accent6 2" xfId="85" xr:uid="{00000000-0005-0000-0000-00000B000000}"/>
    <cellStyle name="20% - 强调文字颜色 1" xfId="7" xr:uid="{00000000-0005-0000-0000-00000C000000}"/>
    <cellStyle name="20% - 强调文字颜色 2" xfId="8" xr:uid="{00000000-0005-0000-0000-00000D000000}"/>
    <cellStyle name="20% - 强调文字颜色 3" xfId="9" xr:uid="{00000000-0005-0000-0000-00000E000000}"/>
    <cellStyle name="20% - 强调文字颜色 4" xfId="10" xr:uid="{00000000-0005-0000-0000-00000F000000}"/>
    <cellStyle name="20% - 强调文字颜色 5" xfId="11" xr:uid="{00000000-0005-0000-0000-000010000000}"/>
    <cellStyle name="20% - 强调文字颜色 6" xfId="12" xr:uid="{00000000-0005-0000-0000-000011000000}"/>
    <cellStyle name="40% - Accent1" xfId="40" xr:uid="{00000000-0005-0000-0000-000012000000}"/>
    <cellStyle name="40% - Accent1 2" xfId="86" xr:uid="{00000000-0005-0000-0000-000013000000}"/>
    <cellStyle name="40% - Accent2" xfId="41" xr:uid="{00000000-0005-0000-0000-000014000000}"/>
    <cellStyle name="40% - Accent2 2" xfId="87" xr:uid="{00000000-0005-0000-0000-000015000000}"/>
    <cellStyle name="40% - Accent3" xfId="42" xr:uid="{00000000-0005-0000-0000-000016000000}"/>
    <cellStyle name="40% - Accent3 2" xfId="88" xr:uid="{00000000-0005-0000-0000-000017000000}"/>
    <cellStyle name="40% - Accent4" xfId="43" xr:uid="{00000000-0005-0000-0000-000018000000}"/>
    <cellStyle name="40% - Accent4 2" xfId="89" xr:uid="{00000000-0005-0000-0000-000019000000}"/>
    <cellStyle name="40% - Accent5" xfId="44" xr:uid="{00000000-0005-0000-0000-00001A000000}"/>
    <cellStyle name="40% - Accent5 2" xfId="90" xr:uid="{00000000-0005-0000-0000-00001B000000}"/>
    <cellStyle name="40% - Accent6" xfId="45" xr:uid="{00000000-0005-0000-0000-00001C000000}"/>
    <cellStyle name="40% - Accent6 2" xfId="91" xr:uid="{00000000-0005-0000-0000-00001D000000}"/>
    <cellStyle name="40% - 强调文字颜色 1" xfId="13" xr:uid="{00000000-0005-0000-0000-00001E000000}"/>
    <cellStyle name="40% - 强调文字颜色 2" xfId="14" xr:uid="{00000000-0005-0000-0000-00001F000000}"/>
    <cellStyle name="40% - 强调文字颜色 3" xfId="15" xr:uid="{00000000-0005-0000-0000-000020000000}"/>
    <cellStyle name="40% - 强调文字颜色 4" xfId="16" xr:uid="{00000000-0005-0000-0000-000021000000}"/>
    <cellStyle name="40% - 强调文字颜色 5" xfId="17" xr:uid="{00000000-0005-0000-0000-000022000000}"/>
    <cellStyle name="40% - 强调文字颜色 6" xfId="18" xr:uid="{00000000-0005-0000-0000-000023000000}"/>
    <cellStyle name="60% - Accent1" xfId="46" xr:uid="{00000000-0005-0000-0000-000024000000}"/>
    <cellStyle name="60% - Accent1 2" xfId="92" xr:uid="{00000000-0005-0000-0000-000025000000}"/>
    <cellStyle name="60% - Accent2" xfId="47" xr:uid="{00000000-0005-0000-0000-000026000000}"/>
    <cellStyle name="60% - Accent2 2" xfId="93" xr:uid="{00000000-0005-0000-0000-000027000000}"/>
    <cellStyle name="60% - Accent3" xfId="48" xr:uid="{00000000-0005-0000-0000-000028000000}"/>
    <cellStyle name="60% - Accent3 2" xfId="94" xr:uid="{00000000-0005-0000-0000-000029000000}"/>
    <cellStyle name="60% - Accent4" xfId="49" xr:uid="{00000000-0005-0000-0000-00002A000000}"/>
    <cellStyle name="60% - Accent4 2" xfId="95" xr:uid="{00000000-0005-0000-0000-00002B000000}"/>
    <cellStyle name="60% - Accent5" xfId="50" xr:uid="{00000000-0005-0000-0000-00002C000000}"/>
    <cellStyle name="60% - Accent5 2" xfId="96" xr:uid="{00000000-0005-0000-0000-00002D000000}"/>
    <cellStyle name="60% - Accent6" xfId="51" xr:uid="{00000000-0005-0000-0000-00002E000000}"/>
    <cellStyle name="60% - Accent6 2" xfId="97" xr:uid="{00000000-0005-0000-0000-00002F000000}"/>
    <cellStyle name="60% - 强调文字颜色 1" xfId="19" xr:uid="{00000000-0005-0000-0000-000030000000}"/>
    <cellStyle name="60% - 强调文字颜色 2" xfId="20" xr:uid="{00000000-0005-0000-0000-000031000000}"/>
    <cellStyle name="60% - 强调文字颜色 3" xfId="21" xr:uid="{00000000-0005-0000-0000-000032000000}"/>
    <cellStyle name="60% - 强调文字颜色 4" xfId="22" xr:uid="{00000000-0005-0000-0000-000033000000}"/>
    <cellStyle name="60% - 强调文字颜色 5" xfId="23" xr:uid="{00000000-0005-0000-0000-000034000000}"/>
    <cellStyle name="60% - 强调文字颜色 6" xfId="24" xr:uid="{00000000-0005-0000-0000-000035000000}"/>
    <cellStyle name="Accent1" xfId="52" xr:uid="{00000000-0005-0000-0000-000036000000}"/>
    <cellStyle name="Accent1 2" xfId="98" xr:uid="{00000000-0005-0000-0000-000037000000}"/>
    <cellStyle name="Accent2" xfId="53" xr:uid="{00000000-0005-0000-0000-000038000000}"/>
    <cellStyle name="Accent2 2" xfId="99" xr:uid="{00000000-0005-0000-0000-000039000000}"/>
    <cellStyle name="Accent3" xfId="54" xr:uid="{00000000-0005-0000-0000-00003A000000}"/>
    <cellStyle name="Accent3 2" xfId="100" xr:uid="{00000000-0005-0000-0000-00003B000000}"/>
    <cellStyle name="Accent4" xfId="55" xr:uid="{00000000-0005-0000-0000-00003C000000}"/>
    <cellStyle name="Accent4 2" xfId="101" xr:uid="{00000000-0005-0000-0000-00003D000000}"/>
    <cellStyle name="Accent5" xfId="56" xr:uid="{00000000-0005-0000-0000-00003E000000}"/>
    <cellStyle name="Accent5 2" xfId="102" xr:uid="{00000000-0005-0000-0000-00003F000000}"/>
    <cellStyle name="Accent6" xfId="57" xr:uid="{00000000-0005-0000-0000-000040000000}"/>
    <cellStyle name="Accent6 2" xfId="103" xr:uid="{00000000-0005-0000-0000-000041000000}"/>
    <cellStyle name="Bad" xfId="58" xr:uid="{00000000-0005-0000-0000-000042000000}"/>
    <cellStyle name="Bad 2" xfId="1" xr:uid="{00000000-0005-0000-0000-000043000000}"/>
    <cellStyle name="Bad_表11_Recovery" xfId="75" xr:uid="{00000000-0005-0000-0000-000044000000}"/>
    <cellStyle name="Calculation" xfId="59" xr:uid="{00000000-0005-0000-0000-000045000000}"/>
    <cellStyle name="Check Cell" xfId="60" xr:uid="{00000000-0005-0000-0000-000046000000}"/>
    <cellStyle name="Explanatory Text" xfId="61" xr:uid="{00000000-0005-0000-0000-000047000000}"/>
    <cellStyle name="Good" xfId="62" xr:uid="{00000000-0005-0000-0000-000048000000}"/>
    <cellStyle name="Good 2" xfId="104" xr:uid="{00000000-0005-0000-0000-000049000000}"/>
    <cellStyle name="Heading 1" xfId="63" xr:uid="{00000000-0005-0000-0000-00004A000000}"/>
    <cellStyle name="Heading 2" xfId="64" xr:uid="{00000000-0005-0000-0000-00004B000000}"/>
    <cellStyle name="Heading 3" xfId="65" xr:uid="{00000000-0005-0000-0000-00004C000000}"/>
    <cellStyle name="Heading 4" xfId="66" xr:uid="{00000000-0005-0000-0000-00004D000000}"/>
    <cellStyle name="Input" xfId="67" xr:uid="{00000000-0005-0000-0000-00004E000000}"/>
    <cellStyle name="Linked Cell" xfId="68" xr:uid="{00000000-0005-0000-0000-00004F000000}"/>
    <cellStyle name="Neutral" xfId="69" xr:uid="{00000000-0005-0000-0000-000050000000}"/>
    <cellStyle name="Normal 2" xfId="2" xr:uid="{00000000-0005-0000-0000-000051000000}"/>
    <cellStyle name="Normal 3" xfId="3" xr:uid="{00000000-0005-0000-0000-000052000000}"/>
    <cellStyle name="Normal_Gilead Samples 02jan07" xfId="6" xr:uid="{00000000-0005-0000-0000-000053000000}"/>
    <cellStyle name="Note" xfId="70" xr:uid="{00000000-0005-0000-0000-000054000000}"/>
    <cellStyle name="Note 2" xfId="105" xr:uid="{00000000-0005-0000-0000-000055000000}"/>
    <cellStyle name="Output" xfId="71" xr:uid="{00000000-0005-0000-0000-000056000000}"/>
    <cellStyle name="Percent 2" xfId="4" xr:uid="{00000000-0005-0000-0000-000057000000}"/>
    <cellStyle name="Title" xfId="72" xr:uid="{00000000-0005-0000-0000-000058000000}"/>
    <cellStyle name="Total" xfId="73" xr:uid="{00000000-0005-0000-0000-000059000000}"/>
    <cellStyle name="Warning Text" xfId="74" xr:uid="{00000000-0005-0000-0000-00005A000000}"/>
    <cellStyle name="差 2" xfId="108" xr:uid="{00000000-0005-0000-0000-00005D000000}"/>
    <cellStyle name="差_1.1" xfId="25" xr:uid="{00000000-0005-0000-0000-00005E000000}"/>
    <cellStyle name="差_1.1 2" xfId="79" xr:uid="{00000000-0005-0000-0000-00005F000000}"/>
    <cellStyle name="差_表11_Recovery" xfId="76" xr:uid="{00000000-0005-0000-0000-000060000000}"/>
    <cellStyle name="差_表11_Recovery 2" xfId="106" xr:uid="{00000000-0005-0000-0000-000061000000}"/>
    <cellStyle name="差_表25_干扰" xfId="78" xr:uid="{00000000-0005-0000-0000-000062000000}"/>
    <cellStyle name="差_表25_干扰 2" xfId="107" xr:uid="{00000000-0005-0000-0000-000063000000}"/>
    <cellStyle name="常规" xfId="0" builtinId="0"/>
    <cellStyle name="常规 2" xfId="26" xr:uid="{00000000-0005-0000-0000-000065000000}"/>
    <cellStyle name="常规 2 2" xfId="5" xr:uid="{00000000-0005-0000-0000-000066000000}"/>
    <cellStyle name="好_1.1" xfId="27" xr:uid="{00000000-0005-0000-0000-00005B000000}"/>
    <cellStyle name="好_表11_Recovery" xfId="77" xr:uid="{00000000-0005-0000-0000-00005C000000}"/>
    <cellStyle name="强调文字颜色 1" xfId="28" xr:uid="{00000000-0005-0000-0000-000067000000}"/>
    <cellStyle name="强调文字颜色 2" xfId="29" xr:uid="{00000000-0005-0000-0000-000068000000}"/>
    <cellStyle name="强调文字颜色 3" xfId="30" xr:uid="{00000000-0005-0000-0000-000069000000}"/>
    <cellStyle name="强调文字颜色 4" xfId="31" xr:uid="{00000000-0005-0000-0000-00006A000000}"/>
    <cellStyle name="强调文字颜色 5" xfId="32" xr:uid="{00000000-0005-0000-0000-00006B000000}"/>
    <cellStyle name="强调文字颜色 6" xfId="33" xr:uid="{00000000-0005-0000-0000-00006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12"/>
  <sheetViews>
    <sheetView view="pageBreakPreview" zoomScaleNormal="100" zoomScaleSheetLayoutView="100" workbookViewId="0">
      <selection activeCell="D24" sqref="D24"/>
    </sheetView>
  </sheetViews>
  <sheetFormatPr defaultColWidth="9" defaultRowHeight="13.5"/>
  <cols>
    <col min="1" max="1" width="7.875" style="2" customWidth="1"/>
    <col min="2" max="2" width="76.75" style="2" customWidth="1"/>
    <col min="3" max="4" width="12.25" style="2" customWidth="1"/>
    <col min="5" max="5" width="16.125" style="4" bestFit="1" customWidth="1"/>
    <col min="6" max="6" width="12.625" style="2" customWidth="1"/>
    <col min="7" max="7" width="9.625" style="2" bestFit="1" customWidth="1"/>
    <col min="8" max="16384" width="9" style="2"/>
  </cols>
  <sheetData>
    <row r="2" spans="1:6">
      <c r="A2" s="37" t="s">
        <v>16</v>
      </c>
      <c r="B2" s="37"/>
      <c r="C2" s="1"/>
    </row>
    <row r="3" spans="1:6">
      <c r="A3" s="5"/>
    </row>
    <row r="4" spans="1:6" ht="31.5" customHeight="1">
      <c r="A4" s="3" t="s">
        <v>1</v>
      </c>
      <c r="B4" s="3" t="s">
        <v>2</v>
      </c>
      <c r="C4" s="3" t="s">
        <v>28</v>
      </c>
      <c r="D4" s="3" t="s">
        <v>3</v>
      </c>
      <c r="E4" s="36" t="s">
        <v>51</v>
      </c>
      <c r="F4" s="8" t="s">
        <v>29</v>
      </c>
    </row>
    <row r="5" spans="1:6" ht="43.15" customHeight="1">
      <c r="A5" s="6">
        <v>1</v>
      </c>
      <c r="B5" s="14" t="s">
        <v>31</v>
      </c>
      <c r="C5" s="7">
        <v>45887</v>
      </c>
      <c r="D5" s="7">
        <v>45888</v>
      </c>
      <c r="E5" s="3" t="s">
        <v>43</v>
      </c>
      <c r="F5" s="8" t="s">
        <v>34</v>
      </c>
    </row>
    <row r="6" spans="1:6" ht="43.15" customHeight="1">
      <c r="A6" s="6">
        <v>2</v>
      </c>
      <c r="B6" s="14" t="s">
        <v>45</v>
      </c>
      <c r="C6" s="7">
        <v>45890</v>
      </c>
      <c r="D6" s="7">
        <v>45890</v>
      </c>
      <c r="E6" s="12" t="s">
        <v>46</v>
      </c>
      <c r="F6" s="8" t="s">
        <v>34</v>
      </c>
    </row>
    <row r="7" spans="1:6" ht="43.15" customHeight="1">
      <c r="A7" s="6">
        <v>3</v>
      </c>
      <c r="B7" s="11" t="s">
        <v>30</v>
      </c>
      <c r="C7" s="7">
        <v>45890</v>
      </c>
      <c r="D7" s="7">
        <v>45891</v>
      </c>
      <c r="E7" s="12" t="s">
        <v>47</v>
      </c>
      <c r="F7" s="8" t="s">
        <v>34</v>
      </c>
    </row>
    <row r="8" spans="1:6" ht="15.75" customHeight="1">
      <c r="A8" s="9" t="s">
        <v>32</v>
      </c>
    </row>
    <row r="9" spans="1:6" ht="15.75" customHeight="1">
      <c r="A9" s="38" t="s">
        <v>44</v>
      </c>
      <c r="B9" s="39"/>
      <c r="C9" s="39"/>
      <c r="D9" s="39"/>
      <c r="E9" s="39"/>
      <c r="F9" s="39"/>
    </row>
    <row r="10" spans="1:6" ht="15.75" customHeight="1">
      <c r="A10" s="10" t="s">
        <v>48</v>
      </c>
    </row>
    <row r="11" spans="1:6" ht="15.75" customHeight="1">
      <c r="A11" s="13" t="s">
        <v>50</v>
      </c>
    </row>
    <row r="12" spans="1:6" ht="15.75" customHeight="1">
      <c r="A12" s="10" t="s">
        <v>49</v>
      </c>
    </row>
  </sheetData>
  <mergeCells count="2">
    <mergeCell ref="A2:B2"/>
    <mergeCell ref="A9:F9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60" orientation="portrait" r:id="rId1"/>
  <headerFooter>
    <oddHeader>&amp;C 1632MV7生物分析方法学验证数据</oddHeader>
    <oddFooter>&amp;C第&amp;P页，共&amp;N页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J20"/>
  <sheetViews>
    <sheetView view="pageBreakPreview" zoomScale="110" zoomScaleNormal="100" zoomScaleSheetLayoutView="110" workbookViewId="0">
      <selection activeCell="B6" sqref="B6:B9"/>
    </sheetView>
  </sheetViews>
  <sheetFormatPr defaultColWidth="8.875" defaultRowHeight="13.5"/>
  <cols>
    <col min="1" max="6" width="14.625" style="2" customWidth="1"/>
    <col min="7" max="7" width="12.375" style="2" customWidth="1"/>
    <col min="8" max="8" width="8.875" style="2"/>
    <col min="9" max="9" width="16.875" style="2" customWidth="1"/>
    <col min="10" max="10" width="20.125" style="2" customWidth="1"/>
    <col min="11" max="16384" width="8.875" style="2"/>
  </cols>
  <sheetData>
    <row r="2" spans="1:10">
      <c r="A2" s="37" t="s">
        <v>15</v>
      </c>
      <c r="B2" s="37"/>
      <c r="C2" s="37"/>
    </row>
    <row r="3" spans="1:10">
      <c r="A3" s="1"/>
      <c r="B3" s="1"/>
      <c r="C3" s="1"/>
    </row>
    <row r="4" spans="1:10">
      <c r="A4" s="2" t="s">
        <v>42</v>
      </c>
      <c r="I4" s="15" t="s">
        <v>22</v>
      </c>
      <c r="J4" s="16">
        <v>45888.71875</v>
      </c>
    </row>
    <row r="5" spans="1:10" ht="14.25" customHeight="1">
      <c r="A5" s="17" t="s">
        <v>53</v>
      </c>
      <c r="C5" s="1"/>
      <c r="D5" s="1"/>
      <c r="E5" s="1"/>
      <c r="I5" s="15" t="s">
        <v>23</v>
      </c>
      <c r="J5" s="16">
        <v>45889.388888888891</v>
      </c>
    </row>
    <row r="6" spans="1:10" ht="13.5" customHeight="1">
      <c r="A6" s="40" t="s">
        <v>24</v>
      </c>
      <c r="B6" s="43" t="s">
        <v>1</v>
      </c>
      <c r="C6" s="43" t="s">
        <v>5</v>
      </c>
      <c r="D6" s="46" t="s">
        <v>35</v>
      </c>
      <c r="E6" s="46"/>
      <c r="F6" s="46"/>
      <c r="G6" s="46"/>
      <c r="I6" s="19" t="s">
        <v>19</v>
      </c>
      <c r="J6" s="20">
        <f>(J5-J4)*24</f>
        <v>16.083333333372138</v>
      </c>
    </row>
    <row r="7" spans="1:10" ht="27">
      <c r="A7" s="41"/>
      <c r="B7" s="44"/>
      <c r="C7" s="44"/>
      <c r="D7" s="21" t="s">
        <v>25</v>
      </c>
      <c r="E7" s="22" t="s">
        <v>36</v>
      </c>
      <c r="F7" s="21" t="s">
        <v>26</v>
      </c>
      <c r="G7" s="22" t="s">
        <v>37</v>
      </c>
    </row>
    <row r="8" spans="1:10">
      <c r="A8" s="41"/>
      <c r="B8" s="44"/>
      <c r="C8" s="44"/>
      <c r="D8" s="45" t="s">
        <v>38</v>
      </c>
      <c r="E8" s="47"/>
      <c r="F8" s="48" t="s">
        <v>38</v>
      </c>
      <c r="G8" s="48"/>
    </row>
    <row r="9" spans="1:10" ht="15">
      <c r="A9" s="42"/>
      <c r="B9" s="45"/>
      <c r="C9" s="45"/>
      <c r="D9" s="3" t="s">
        <v>7</v>
      </c>
      <c r="E9" s="3" t="s">
        <v>6</v>
      </c>
      <c r="F9" s="3" t="s">
        <v>7</v>
      </c>
      <c r="G9" s="3" t="s">
        <v>6</v>
      </c>
    </row>
    <row r="10" spans="1:10" ht="13.5" customHeight="1">
      <c r="A10" s="49" t="s">
        <v>40</v>
      </c>
      <c r="B10" s="51" t="s">
        <v>33</v>
      </c>
      <c r="C10" s="3">
        <v>1</v>
      </c>
      <c r="D10" s="23">
        <v>19.198</v>
      </c>
      <c r="E10" s="23">
        <v>19.283000000000001</v>
      </c>
      <c r="F10" s="23">
        <v>1061.5350000000001</v>
      </c>
      <c r="G10" s="23">
        <v>1089.472</v>
      </c>
    </row>
    <row r="11" spans="1:10">
      <c r="A11" s="50"/>
      <c r="B11" s="44"/>
      <c r="C11" s="3">
        <v>2</v>
      </c>
      <c r="D11" s="23">
        <v>19.137</v>
      </c>
      <c r="E11" s="23">
        <v>19.303000000000001</v>
      </c>
      <c r="F11" s="23">
        <v>1077.9359999999999</v>
      </c>
      <c r="G11" s="23">
        <v>1136.4349999999999</v>
      </c>
    </row>
    <row r="12" spans="1:10">
      <c r="A12" s="50"/>
      <c r="B12" s="44"/>
      <c r="C12" s="3">
        <v>3</v>
      </c>
      <c r="D12" s="23">
        <v>19.431000000000001</v>
      </c>
      <c r="E12" s="23">
        <v>18.835000000000001</v>
      </c>
      <c r="F12" s="23">
        <v>1038.8979999999999</v>
      </c>
      <c r="G12" s="23">
        <v>1085.316</v>
      </c>
    </row>
    <row r="13" spans="1:10">
      <c r="A13" s="50"/>
      <c r="B13" s="44"/>
      <c r="C13" s="3">
        <v>4</v>
      </c>
      <c r="D13" s="23">
        <v>19.378</v>
      </c>
      <c r="E13" s="23">
        <v>19.312000000000001</v>
      </c>
      <c r="F13" s="23">
        <v>1022.737</v>
      </c>
      <c r="G13" s="23">
        <v>1102.779</v>
      </c>
    </row>
    <row r="14" spans="1:10">
      <c r="A14" s="50"/>
      <c r="B14" s="44"/>
      <c r="C14" s="3">
        <v>5</v>
      </c>
      <c r="D14" s="23">
        <v>17.741</v>
      </c>
      <c r="E14" s="23">
        <v>18.579999999999998</v>
      </c>
      <c r="F14" s="23">
        <v>1078.6279999999999</v>
      </c>
      <c r="G14" s="23">
        <v>1109.796</v>
      </c>
    </row>
    <row r="15" spans="1:10">
      <c r="A15" s="50"/>
      <c r="B15" s="44"/>
      <c r="C15" s="18">
        <v>6</v>
      </c>
      <c r="D15" s="23">
        <v>19.923999999999999</v>
      </c>
      <c r="E15" s="23">
        <v>17.919</v>
      </c>
      <c r="F15" s="23">
        <v>1107.575</v>
      </c>
      <c r="G15" s="23">
        <v>1101.2070000000001</v>
      </c>
    </row>
    <row r="16" spans="1:10">
      <c r="A16" s="3" t="s">
        <v>4</v>
      </c>
      <c r="B16" s="52"/>
      <c r="C16" s="53"/>
      <c r="D16" s="22">
        <f>ROUND(AVERAGE(D10:D15),3)</f>
        <v>19.135000000000002</v>
      </c>
      <c r="E16" s="22">
        <f>ROUND(AVERAGE(E10:E15),3)</f>
        <v>18.872</v>
      </c>
      <c r="F16" s="22">
        <f t="shared" ref="F16:G16" si="0">ROUND(AVERAGE(F10:F15),3)</f>
        <v>1064.5519999999999</v>
      </c>
      <c r="G16" s="22">
        <f t="shared" si="0"/>
        <v>1104.1679999999999</v>
      </c>
    </row>
    <row r="17" spans="1:7">
      <c r="A17" s="3" t="s">
        <v>0</v>
      </c>
      <c r="B17" s="54"/>
      <c r="C17" s="55"/>
      <c r="D17" s="22">
        <f>ROUND(STDEV(D10:D15),3)</f>
        <v>0.73699999999999999</v>
      </c>
      <c r="E17" s="22">
        <f>ROUND(STDEV(E10:E15),3)</f>
        <v>0.55600000000000005</v>
      </c>
      <c r="F17" s="22">
        <f t="shared" ref="F17:G17" si="1">ROUND(STDEV(F10:F15),3)</f>
        <v>30.475999999999999</v>
      </c>
      <c r="G17" s="22">
        <f t="shared" si="1"/>
        <v>18.193000000000001</v>
      </c>
    </row>
    <row r="18" spans="1:7">
      <c r="A18" s="3" t="s">
        <v>17</v>
      </c>
      <c r="B18" s="54"/>
      <c r="C18" s="55"/>
      <c r="D18" s="24">
        <f>ROUND(D17/D16*100,1)</f>
        <v>3.9</v>
      </c>
      <c r="E18" s="24">
        <f>ROUND(E17/E16*100,1)</f>
        <v>2.9</v>
      </c>
      <c r="F18" s="24">
        <f>ROUND(F17/F16*100,1)</f>
        <v>2.9</v>
      </c>
      <c r="G18" s="24">
        <f>ROUND(G17/G16*100,1)</f>
        <v>1.6</v>
      </c>
    </row>
    <row r="19" spans="1:7">
      <c r="A19" s="3" t="s">
        <v>18</v>
      </c>
      <c r="B19" s="56"/>
      <c r="C19" s="57"/>
      <c r="D19" s="58">
        <f>ROUND((D16-E16)/E16*100,1)</f>
        <v>1.4</v>
      </c>
      <c r="E19" s="58"/>
      <c r="F19" s="58">
        <f>ROUND((F16-G16)/G16*100,1)</f>
        <v>-3.6</v>
      </c>
      <c r="G19" s="58"/>
    </row>
    <row r="20" spans="1:7">
      <c r="A20" s="4"/>
      <c r="B20" s="4"/>
      <c r="C20" s="4"/>
      <c r="D20" s="4"/>
      <c r="E20" s="4"/>
    </row>
  </sheetData>
  <mergeCells count="12">
    <mergeCell ref="A10:A15"/>
    <mergeCell ref="B10:B15"/>
    <mergeCell ref="B16:C19"/>
    <mergeCell ref="D19:E19"/>
    <mergeCell ref="F19:G19"/>
    <mergeCell ref="A2:C2"/>
    <mergeCell ref="A6:A9"/>
    <mergeCell ref="B6:B9"/>
    <mergeCell ref="C6:C9"/>
    <mergeCell ref="D6:G6"/>
    <mergeCell ref="D8:E8"/>
    <mergeCell ref="F8:G8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59" orientation="portrait" r:id="rId1"/>
  <headerFooter>
    <oddHeader>&amp;C 1632MV7生物分析方法学验证数据</oddHeader>
    <oddFooter>&amp;C第&amp;P页，共&amp;N页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H20"/>
  <sheetViews>
    <sheetView view="pageBreakPreview" zoomScaleNormal="100" zoomScaleSheetLayoutView="100" workbookViewId="0">
      <selection activeCell="C29" sqref="C29"/>
    </sheetView>
  </sheetViews>
  <sheetFormatPr defaultColWidth="8.875" defaultRowHeight="13.5"/>
  <cols>
    <col min="1" max="1" width="16.5" style="2" customWidth="1"/>
    <col min="2" max="3" width="12.875" style="2" customWidth="1"/>
    <col min="4" max="4" width="10.75" style="2" customWidth="1"/>
    <col min="5" max="5" width="12.875" style="2" customWidth="1"/>
    <col min="6" max="6" width="11.25" style="2" customWidth="1"/>
    <col min="7" max="8" width="12.875" style="2" customWidth="1"/>
    <col min="9" max="9" width="13.5" style="2" customWidth="1"/>
    <col min="10" max="16384" width="8.875" style="2"/>
  </cols>
  <sheetData>
    <row r="2" spans="1:8">
      <c r="A2" s="37" t="s">
        <v>14</v>
      </c>
      <c r="B2" s="37"/>
      <c r="C2" s="37"/>
      <c r="D2" s="37"/>
      <c r="E2" s="37"/>
      <c r="F2" s="37"/>
      <c r="G2" s="37"/>
    </row>
    <row r="3" spans="1:8">
      <c r="A3" s="1"/>
      <c r="B3" s="1"/>
      <c r="C3" s="1"/>
      <c r="D3" s="1"/>
      <c r="E3" s="1"/>
      <c r="F3" s="1"/>
      <c r="G3" s="1"/>
    </row>
    <row r="4" spans="1:8">
      <c r="A4" s="2" t="s">
        <v>42</v>
      </c>
      <c r="B4" s="1"/>
      <c r="C4" s="1"/>
      <c r="D4" s="1"/>
      <c r="E4" s="1"/>
      <c r="F4" s="1"/>
      <c r="G4" s="1"/>
    </row>
    <row r="5" spans="1:8">
      <c r="A5" s="25" t="s">
        <v>54</v>
      </c>
      <c r="B5" s="26"/>
      <c r="C5" s="26"/>
      <c r="D5" s="26"/>
      <c r="E5" s="26"/>
      <c r="F5" s="26"/>
      <c r="G5" s="26"/>
    </row>
    <row r="6" spans="1:8" s="27" customFormat="1" ht="15.75" customHeight="1">
      <c r="A6" s="40" t="s">
        <v>24</v>
      </c>
      <c r="B6" s="43" t="s">
        <v>1</v>
      </c>
      <c r="C6" s="64" t="s">
        <v>27</v>
      </c>
      <c r="D6" s="43" t="s">
        <v>5</v>
      </c>
      <c r="E6" s="46" t="s">
        <v>35</v>
      </c>
      <c r="F6" s="46"/>
      <c r="G6" s="46"/>
      <c r="H6" s="46"/>
    </row>
    <row r="7" spans="1:8" s="27" customFormat="1" ht="27">
      <c r="A7" s="41"/>
      <c r="B7" s="44"/>
      <c r="C7" s="44"/>
      <c r="D7" s="44"/>
      <c r="E7" s="21" t="s">
        <v>25</v>
      </c>
      <c r="F7" s="22" t="s">
        <v>36</v>
      </c>
      <c r="G7" s="21" t="s">
        <v>26</v>
      </c>
      <c r="H7" s="22" t="s">
        <v>37</v>
      </c>
    </row>
    <row r="8" spans="1:8" s="27" customFormat="1" ht="15.75" customHeight="1">
      <c r="A8" s="41"/>
      <c r="B8" s="44"/>
      <c r="C8" s="44"/>
      <c r="D8" s="44"/>
      <c r="E8" s="62" t="s">
        <v>38</v>
      </c>
      <c r="F8" s="47"/>
      <c r="G8" s="63" t="s">
        <v>38</v>
      </c>
      <c r="H8" s="48"/>
    </row>
    <row r="9" spans="1:8" s="27" customFormat="1" ht="15.75" customHeight="1">
      <c r="A9" s="42"/>
      <c r="B9" s="45"/>
      <c r="C9" s="45"/>
      <c r="D9" s="45"/>
      <c r="E9" s="3" t="s">
        <v>7</v>
      </c>
      <c r="F9" s="3" t="s">
        <v>6</v>
      </c>
      <c r="G9" s="3" t="s">
        <v>7</v>
      </c>
      <c r="H9" s="3" t="s">
        <v>6</v>
      </c>
    </row>
    <row r="10" spans="1:8" s="27" customFormat="1" ht="15.75" customHeight="1">
      <c r="A10" s="49" t="s">
        <v>40</v>
      </c>
      <c r="B10" s="51" t="s">
        <v>33</v>
      </c>
      <c r="C10" s="43">
        <v>4</v>
      </c>
      <c r="D10" s="3">
        <v>1</v>
      </c>
      <c r="E10" s="23">
        <v>19.251000000000001</v>
      </c>
      <c r="F10" s="23">
        <v>19.283000000000001</v>
      </c>
      <c r="G10" s="23">
        <v>1083.694</v>
      </c>
      <c r="H10" s="23">
        <v>1089.472</v>
      </c>
    </row>
    <row r="11" spans="1:8" s="27" customFormat="1" ht="15.75" customHeight="1">
      <c r="A11" s="50"/>
      <c r="B11" s="44"/>
      <c r="C11" s="44"/>
      <c r="D11" s="3">
        <v>2</v>
      </c>
      <c r="E11" s="23">
        <v>18.574000000000002</v>
      </c>
      <c r="F11" s="23">
        <v>19.303000000000001</v>
      </c>
      <c r="G11" s="23">
        <v>1034.393</v>
      </c>
      <c r="H11" s="23">
        <v>1136.4349999999999</v>
      </c>
    </row>
    <row r="12" spans="1:8" s="27" customFormat="1" ht="15.75" customHeight="1">
      <c r="A12" s="50"/>
      <c r="B12" s="44"/>
      <c r="C12" s="44"/>
      <c r="D12" s="3">
        <v>3</v>
      </c>
      <c r="E12" s="23">
        <v>19.733000000000001</v>
      </c>
      <c r="F12" s="23">
        <v>18.835000000000001</v>
      </c>
      <c r="G12" s="23">
        <v>1135.9659999999999</v>
      </c>
      <c r="H12" s="23">
        <v>1085.316</v>
      </c>
    </row>
    <row r="13" spans="1:8" s="27" customFormat="1" ht="15.75" customHeight="1">
      <c r="A13" s="50"/>
      <c r="B13" s="44"/>
      <c r="C13" s="44"/>
      <c r="D13" s="3">
        <v>4</v>
      </c>
      <c r="E13" s="23">
        <v>19.227</v>
      </c>
      <c r="F13" s="23">
        <v>19.312000000000001</v>
      </c>
      <c r="G13" s="23">
        <v>1134.6220000000001</v>
      </c>
      <c r="H13" s="23">
        <v>1102.779</v>
      </c>
    </row>
    <row r="14" spans="1:8" s="27" customFormat="1" ht="15.75" customHeight="1">
      <c r="A14" s="50"/>
      <c r="B14" s="44"/>
      <c r="C14" s="44"/>
      <c r="D14" s="3">
        <v>5</v>
      </c>
      <c r="E14" s="23">
        <v>18.922999999999998</v>
      </c>
      <c r="F14" s="23">
        <v>18.579999999999998</v>
      </c>
      <c r="G14" s="23">
        <v>1095.8240000000001</v>
      </c>
      <c r="H14" s="23">
        <v>1109.796</v>
      </c>
    </row>
    <row r="15" spans="1:8" s="27" customFormat="1" ht="15.75" customHeight="1">
      <c r="A15" s="50"/>
      <c r="B15" s="44"/>
      <c r="C15" s="45"/>
      <c r="D15" s="18">
        <v>6</v>
      </c>
      <c r="E15" s="23">
        <v>19.04</v>
      </c>
      <c r="F15" s="23">
        <v>17.919</v>
      </c>
      <c r="G15" s="23">
        <v>1073.742</v>
      </c>
      <c r="H15" s="23">
        <v>1101.2070000000001</v>
      </c>
    </row>
    <row r="16" spans="1:8" s="27" customFormat="1" ht="15.75" customHeight="1">
      <c r="A16" s="3" t="s">
        <v>4</v>
      </c>
      <c r="B16" s="52"/>
      <c r="C16" s="59"/>
      <c r="D16" s="53"/>
      <c r="E16" s="22">
        <f>ROUND(AVERAGE(E10:E15),3)</f>
        <v>19.125</v>
      </c>
      <c r="F16" s="22">
        <f>ROUND(AVERAGE(F10:F15),3)</f>
        <v>18.872</v>
      </c>
      <c r="G16" s="22">
        <f t="shared" ref="G16:H16" si="0">ROUND(AVERAGE(G10:G15),3)</f>
        <v>1093.04</v>
      </c>
      <c r="H16" s="22">
        <f t="shared" si="0"/>
        <v>1104.1679999999999</v>
      </c>
    </row>
    <row r="17" spans="1:8" s="27" customFormat="1" ht="15.75" customHeight="1">
      <c r="A17" s="3" t="s">
        <v>0</v>
      </c>
      <c r="B17" s="54"/>
      <c r="C17" s="60"/>
      <c r="D17" s="55"/>
      <c r="E17" s="22">
        <f>ROUND(STDEV(E10:E15),3)</f>
        <v>0.38700000000000001</v>
      </c>
      <c r="F17" s="22">
        <f>ROUND(STDEV(F10:F15),3)</f>
        <v>0.55600000000000005</v>
      </c>
      <c r="G17" s="22">
        <f t="shared" ref="G17:H17" si="1">ROUND(STDEV(G10:G15),3)</f>
        <v>38.674999999999997</v>
      </c>
      <c r="H17" s="22">
        <f t="shared" si="1"/>
        <v>18.193000000000001</v>
      </c>
    </row>
    <row r="18" spans="1:8" s="27" customFormat="1" ht="15.75" customHeight="1">
      <c r="A18" s="3" t="s">
        <v>17</v>
      </c>
      <c r="B18" s="54"/>
      <c r="C18" s="60"/>
      <c r="D18" s="55"/>
      <c r="E18" s="24">
        <f>ROUND(E17/E16*100,1)</f>
        <v>2</v>
      </c>
      <c r="F18" s="24">
        <f>ROUND(F17/F16*100,1)</f>
        <v>2.9</v>
      </c>
      <c r="G18" s="24">
        <f>ROUND(G17/G16*100,1)</f>
        <v>3.5</v>
      </c>
      <c r="H18" s="24">
        <f>ROUND(H17/H16*100,1)</f>
        <v>1.6</v>
      </c>
    </row>
    <row r="19" spans="1:8" s="27" customFormat="1" ht="15.75" customHeight="1">
      <c r="A19" s="3" t="s">
        <v>18</v>
      </c>
      <c r="B19" s="56"/>
      <c r="C19" s="61"/>
      <c r="D19" s="57"/>
      <c r="E19" s="58">
        <f>ROUND((E16-F16)/F16*100,1)</f>
        <v>1.3</v>
      </c>
      <c r="F19" s="58"/>
      <c r="G19" s="58">
        <f>ROUND((G16-H16)/H16*100,1)</f>
        <v>-1</v>
      </c>
      <c r="H19" s="58"/>
    </row>
    <row r="20" spans="1:8" ht="15">
      <c r="A20" s="4"/>
      <c r="B20" s="4"/>
      <c r="C20" s="4"/>
      <c r="D20" s="4"/>
      <c r="E20" s="4"/>
      <c r="F20" s="4"/>
      <c r="G20" s="28"/>
    </row>
  </sheetData>
  <mergeCells count="14">
    <mergeCell ref="A2:G2"/>
    <mergeCell ref="A6:A9"/>
    <mergeCell ref="B6:B9"/>
    <mergeCell ref="D6:D9"/>
    <mergeCell ref="E6:H6"/>
    <mergeCell ref="E8:F8"/>
    <mergeCell ref="G8:H8"/>
    <mergeCell ref="C6:C9"/>
    <mergeCell ref="G19:H19"/>
    <mergeCell ref="C10:C15"/>
    <mergeCell ref="A10:A15"/>
    <mergeCell ref="B10:B15"/>
    <mergeCell ref="B16:D19"/>
    <mergeCell ref="E19:F19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81" orientation="portrait" r:id="rId1"/>
  <headerFooter>
    <oddHeader>&amp;C 1632MV7生物分析方法学验证数据</oddHeader>
    <oddFooter>&amp;C第&amp;P页，共&amp;N页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J20"/>
  <sheetViews>
    <sheetView view="pageBreakPreview" zoomScaleNormal="100" zoomScaleSheetLayoutView="100" workbookViewId="0">
      <selection activeCell="B6" sqref="B6:B10"/>
    </sheetView>
  </sheetViews>
  <sheetFormatPr defaultColWidth="8.875" defaultRowHeight="13.5"/>
  <cols>
    <col min="1" max="1" width="14.125" style="2" customWidth="1"/>
    <col min="2" max="2" width="11.25" style="2" customWidth="1"/>
    <col min="3" max="3" width="9" style="2" customWidth="1"/>
    <col min="4" max="7" width="12.5" style="2" customWidth="1"/>
    <col min="8" max="8" width="18.5" style="2" customWidth="1"/>
    <col min="9" max="9" width="8.875" style="2"/>
    <col min="10" max="10" width="18.5" style="2" customWidth="1"/>
    <col min="11" max="16384" width="8.875" style="2"/>
  </cols>
  <sheetData>
    <row r="2" spans="1:10">
      <c r="A2" s="2" t="s">
        <v>13</v>
      </c>
    </row>
    <row r="5" spans="1:10">
      <c r="A5" s="2" t="s">
        <v>42</v>
      </c>
      <c r="B5" s="1"/>
      <c r="C5" s="1"/>
      <c r="D5" s="1"/>
      <c r="E5" s="1"/>
      <c r="I5" s="19" t="s">
        <v>20</v>
      </c>
      <c r="J5" s="16">
        <v>45887.757638888892</v>
      </c>
    </row>
    <row r="6" spans="1:10" ht="15.75" customHeight="1">
      <c r="A6" s="2" t="s">
        <v>52</v>
      </c>
      <c r="I6" s="19" t="s">
        <v>21</v>
      </c>
      <c r="J6" s="16">
        <v>45891.000127314815</v>
      </c>
    </row>
    <row r="7" spans="1:10" ht="15.75" customHeight="1">
      <c r="A7" s="40" t="s">
        <v>24</v>
      </c>
      <c r="B7" s="43" t="s">
        <v>1</v>
      </c>
      <c r="C7" s="43" t="s">
        <v>5</v>
      </c>
      <c r="D7" s="46" t="s">
        <v>41</v>
      </c>
      <c r="E7" s="46"/>
      <c r="F7" s="46"/>
      <c r="G7" s="46"/>
      <c r="I7" s="19" t="s">
        <v>11</v>
      </c>
      <c r="J7" s="20">
        <f>(J6-J5)*24</f>
        <v>77.819722222164273</v>
      </c>
    </row>
    <row r="8" spans="1:10" ht="47.25" customHeight="1">
      <c r="A8" s="41"/>
      <c r="B8" s="44"/>
      <c r="C8" s="44"/>
      <c r="D8" s="21" t="s">
        <v>25</v>
      </c>
      <c r="E8" s="22" t="s">
        <v>36</v>
      </c>
      <c r="F8" s="21" t="s">
        <v>26</v>
      </c>
      <c r="G8" s="22" t="s">
        <v>37</v>
      </c>
    </row>
    <row r="9" spans="1:10" ht="15.75" customHeight="1">
      <c r="A9" s="41"/>
      <c r="B9" s="44"/>
      <c r="C9" s="44"/>
      <c r="D9" s="45" t="s">
        <v>38</v>
      </c>
      <c r="E9" s="47"/>
      <c r="F9" s="48" t="s">
        <v>38</v>
      </c>
      <c r="G9" s="48"/>
    </row>
    <row r="10" spans="1:10" ht="15.75" customHeight="1">
      <c r="A10" s="42"/>
      <c r="B10" s="45"/>
      <c r="C10" s="45"/>
      <c r="D10" s="3" t="s">
        <v>7</v>
      </c>
      <c r="E10" s="3" t="s">
        <v>6</v>
      </c>
      <c r="F10" s="3" t="s">
        <v>7</v>
      </c>
      <c r="G10" s="3" t="s">
        <v>6</v>
      </c>
    </row>
    <row r="11" spans="1:10" ht="15.75" customHeight="1">
      <c r="A11" s="49" t="s">
        <v>40</v>
      </c>
      <c r="B11" s="51" t="s">
        <v>33</v>
      </c>
      <c r="C11" s="3">
        <v>1</v>
      </c>
      <c r="D11" s="23">
        <v>18.526</v>
      </c>
      <c r="E11" s="23">
        <v>19.283000000000001</v>
      </c>
      <c r="F11" s="23">
        <v>1088.1389999999999</v>
      </c>
      <c r="G11" s="23">
        <v>1089.472</v>
      </c>
    </row>
    <row r="12" spans="1:10" ht="15.75" customHeight="1">
      <c r="A12" s="50"/>
      <c r="B12" s="44"/>
      <c r="C12" s="3">
        <v>2</v>
      </c>
      <c r="D12" s="23">
        <v>18.065000000000001</v>
      </c>
      <c r="E12" s="23">
        <v>19.303000000000001</v>
      </c>
      <c r="F12" s="23">
        <v>1118.1489999999999</v>
      </c>
      <c r="G12" s="23">
        <v>1136.4349999999999</v>
      </c>
    </row>
    <row r="13" spans="1:10" ht="15.75" customHeight="1">
      <c r="A13" s="50"/>
      <c r="B13" s="44"/>
      <c r="C13" s="3">
        <v>3</v>
      </c>
      <c r="D13" s="23">
        <v>18.344999999999999</v>
      </c>
      <c r="E13" s="23">
        <v>18.835000000000001</v>
      </c>
      <c r="F13" s="23">
        <v>1057.4570000000001</v>
      </c>
      <c r="G13" s="23">
        <v>1085.316</v>
      </c>
    </row>
    <row r="14" spans="1:10" ht="15.75" customHeight="1">
      <c r="A14" s="50"/>
      <c r="B14" s="44"/>
      <c r="C14" s="3">
        <v>4</v>
      </c>
      <c r="D14" s="23">
        <v>18.722999999999999</v>
      </c>
      <c r="E14" s="23">
        <v>19.312000000000001</v>
      </c>
      <c r="F14" s="23">
        <v>1117.251</v>
      </c>
      <c r="G14" s="23">
        <v>1102.779</v>
      </c>
    </row>
    <row r="15" spans="1:10" ht="15.75" customHeight="1">
      <c r="A15" s="50"/>
      <c r="B15" s="44"/>
      <c r="C15" s="3">
        <v>5</v>
      </c>
      <c r="D15" s="23">
        <v>17.869</v>
      </c>
      <c r="E15" s="23">
        <v>18.579999999999998</v>
      </c>
      <c r="F15" s="23">
        <v>1101.9110000000001</v>
      </c>
      <c r="G15" s="23">
        <v>1109.796</v>
      </c>
    </row>
    <row r="16" spans="1:10" ht="15.75" customHeight="1">
      <c r="A16" s="50"/>
      <c r="B16" s="44"/>
      <c r="C16" s="18">
        <v>6</v>
      </c>
      <c r="D16" s="23">
        <v>17.802</v>
      </c>
      <c r="E16" s="23">
        <v>17.919</v>
      </c>
      <c r="F16" s="23">
        <v>1090.3599999999999</v>
      </c>
      <c r="G16" s="23">
        <v>1101.2070000000001</v>
      </c>
    </row>
    <row r="17" spans="1:8" ht="15.75" customHeight="1">
      <c r="A17" s="3" t="s">
        <v>4</v>
      </c>
      <c r="B17" s="52"/>
      <c r="C17" s="53"/>
      <c r="D17" s="22">
        <f>ROUND(AVERAGE(D11:D16),3)</f>
        <v>18.222000000000001</v>
      </c>
      <c r="E17" s="22">
        <f>ROUND(AVERAGE(E11:E16),3)</f>
        <v>18.872</v>
      </c>
      <c r="F17" s="22">
        <f t="shared" ref="F17:G17" si="0">ROUND(AVERAGE(F11:F16),3)</f>
        <v>1095.5450000000001</v>
      </c>
      <c r="G17" s="22">
        <f t="shared" si="0"/>
        <v>1104.1679999999999</v>
      </c>
    </row>
    <row r="18" spans="1:8" ht="15.75" customHeight="1">
      <c r="A18" s="3" t="s">
        <v>0</v>
      </c>
      <c r="B18" s="54"/>
      <c r="C18" s="55"/>
      <c r="D18" s="22">
        <f>ROUND(STDEV(D11:D16),3)</f>
        <v>0.37</v>
      </c>
      <c r="E18" s="22">
        <f>ROUND(STDEV(E11:E16),3)</f>
        <v>0.55600000000000005</v>
      </c>
      <c r="F18" s="22">
        <f t="shared" ref="F18:G18" si="1">ROUND(STDEV(F11:F16),3)</f>
        <v>22.606000000000002</v>
      </c>
      <c r="G18" s="22">
        <f t="shared" si="1"/>
        <v>18.193000000000001</v>
      </c>
    </row>
    <row r="19" spans="1:8" ht="15.75" customHeight="1">
      <c r="A19" s="3" t="s">
        <v>17</v>
      </c>
      <c r="B19" s="54"/>
      <c r="C19" s="55"/>
      <c r="D19" s="24">
        <f>ROUND(D18/D17*100,1)</f>
        <v>2</v>
      </c>
      <c r="E19" s="24">
        <f>ROUND(E18/E17*100,1)</f>
        <v>2.9</v>
      </c>
      <c r="F19" s="24">
        <f>ROUND(F18/F17*100,1)</f>
        <v>2.1</v>
      </c>
      <c r="G19" s="24">
        <f>ROUND(G18/G17*100,1)</f>
        <v>1.6</v>
      </c>
    </row>
    <row r="20" spans="1:8" ht="15.75" customHeight="1">
      <c r="A20" s="3" t="s">
        <v>18</v>
      </c>
      <c r="B20" s="56"/>
      <c r="C20" s="57"/>
      <c r="D20" s="58">
        <f>ROUND((D17-E17)/E17*100,1)</f>
        <v>-3.4</v>
      </c>
      <c r="E20" s="58"/>
      <c r="F20" s="58">
        <f>ROUND((F17-G17)/G17*100,1)</f>
        <v>-0.8</v>
      </c>
      <c r="G20" s="58"/>
      <c r="H20" s="29"/>
    </row>
  </sheetData>
  <mergeCells count="11">
    <mergeCell ref="A7:A10"/>
    <mergeCell ref="B7:B10"/>
    <mergeCell ref="C7:C10"/>
    <mergeCell ref="D7:G7"/>
    <mergeCell ref="D9:E9"/>
    <mergeCell ref="F9:G9"/>
    <mergeCell ref="A11:A16"/>
    <mergeCell ref="B11:B16"/>
    <mergeCell ref="B17:C20"/>
    <mergeCell ref="D20:E20"/>
    <mergeCell ref="F20:G20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64" orientation="portrait" r:id="rId1"/>
  <headerFooter>
    <oddHeader>&amp;C 1632MV7生物分析方法学验证数据</oddHeader>
    <oddFooter>&amp;C第&amp;P页，共&amp;N页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G20"/>
  <sheetViews>
    <sheetView tabSelected="1" view="pageBreakPreview" zoomScaleNormal="100" zoomScaleSheetLayoutView="100" workbookViewId="0">
      <selection activeCell="B6" sqref="B6:B9"/>
    </sheetView>
  </sheetViews>
  <sheetFormatPr defaultColWidth="9" defaultRowHeight="13.5"/>
  <cols>
    <col min="1" max="7" width="12.125" style="2" customWidth="1"/>
    <col min="8" max="16384" width="9" style="2"/>
  </cols>
  <sheetData>
    <row r="2" spans="1:7">
      <c r="A2" s="37" t="s">
        <v>12</v>
      </c>
      <c r="B2" s="37"/>
      <c r="C2" s="37"/>
      <c r="D2" s="37"/>
      <c r="E2" s="37"/>
      <c r="F2" s="37"/>
    </row>
    <row r="3" spans="1:7" ht="13.5" customHeight="1">
      <c r="A3" s="1"/>
      <c r="B3" s="1"/>
      <c r="C3" s="1"/>
      <c r="D3" s="1"/>
      <c r="E3" s="1"/>
      <c r="F3" s="1"/>
    </row>
    <row r="4" spans="1:7" ht="13.5" customHeight="1">
      <c r="A4" s="2" t="s">
        <v>42</v>
      </c>
    </row>
    <row r="5" spans="1:7" ht="17.25" customHeight="1">
      <c r="A5" s="74" t="s">
        <v>55</v>
      </c>
      <c r="B5" s="66"/>
      <c r="C5" s="66"/>
      <c r="D5" s="66"/>
      <c r="E5" s="66"/>
      <c r="F5" s="66"/>
      <c r="G5" s="66"/>
    </row>
    <row r="6" spans="1:7" ht="15" customHeight="1">
      <c r="A6" s="43" t="s">
        <v>10</v>
      </c>
      <c r="B6" s="43" t="s">
        <v>1</v>
      </c>
      <c r="C6" s="43" t="s">
        <v>5</v>
      </c>
      <c r="D6" s="65" t="s">
        <v>8</v>
      </c>
      <c r="E6" s="65"/>
      <c r="F6" s="65"/>
      <c r="G6" s="65"/>
    </row>
    <row r="7" spans="1:7">
      <c r="A7" s="44"/>
      <c r="B7" s="44"/>
      <c r="C7" s="44"/>
      <c r="D7" s="30">
        <v>4.5</v>
      </c>
      <c r="E7" s="31" t="s">
        <v>39</v>
      </c>
      <c r="F7" s="30">
        <v>1125</v>
      </c>
      <c r="G7" s="32" t="s">
        <v>39</v>
      </c>
    </row>
    <row r="8" spans="1:7" ht="15" customHeight="1">
      <c r="A8" s="44"/>
      <c r="B8" s="44"/>
      <c r="C8" s="44"/>
      <c r="D8" s="45" t="s">
        <v>9</v>
      </c>
      <c r="E8" s="47"/>
      <c r="F8" s="45" t="s">
        <v>9</v>
      </c>
      <c r="G8" s="45"/>
    </row>
    <row r="9" spans="1:7" ht="15" customHeight="1">
      <c r="A9" s="45"/>
      <c r="B9" s="45"/>
      <c r="C9" s="45"/>
      <c r="D9" s="3" t="s">
        <v>7</v>
      </c>
      <c r="E9" s="3" t="s">
        <v>6</v>
      </c>
      <c r="F9" s="3" t="s">
        <v>7</v>
      </c>
      <c r="G9" s="3" t="s">
        <v>6</v>
      </c>
    </row>
    <row r="10" spans="1:7" ht="15" customHeight="1">
      <c r="A10" s="49">
        <v>45891</v>
      </c>
      <c r="B10" s="43">
        <v>3</v>
      </c>
      <c r="C10" s="3">
        <v>1</v>
      </c>
      <c r="D10" s="33">
        <v>0.60741599999999996</v>
      </c>
      <c r="E10" s="33">
        <v>0.61135099999999998</v>
      </c>
      <c r="F10" s="33">
        <v>28.559017999999998</v>
      </c>
      <c r="G10" s="33">
        <v>27.917587000000001</v>
      </c>
    </row>
    <row r="11" spans="1:7" ht="15" customHeight="1">
      <c r="A11" s="50"/>
      <c r="B11" s="44"/>
      <c r="C11" s="3">
        <v>2</v>
      </c>
      <c r="D11" s="33">
        <v>0.60706199999999999</v>
      </c>
      <c r="E11" s="33">
        <v>0.61055599999999999</v>
      </c>
      <c r="F11" s="33">
        <v>27.416882000000001</v>
      </c>
      <c r="G11" s="33">
        <v>26.423513</v>
      </c>
    </row>
    <row r="12" spans="1:7" ht="15" customHeight="1">
      <c r="A12" s="50"/>
      <c r="B12" s="44"/>
      <c r="C12" s="3">
        <v>3</v>
      </c>
      <c r="D12" s="33">
        <v>0.60318099999999997</v>
      </c>
      <c r="E12" s="33">
        <v>0.58479800000000004</v>
      </c>
      <c r="F12" s="33">
        <v>27.846920999999998</v>
      </c>
      <c r="G12" s="33">
        <v>27.732690999999999</v>
      </c>
    </row>
    <row r="13" spans="1:7" ht="15" customHeight="1">
      <c r="A13" s="50"/>
      <c r="B13" s="44"/>
      <c r="C13" s="3">
        <v>4</v>
      </c>
      <c r="D13" s="33">
        <v>0.60230799999999995</v>
      </c>
      <c r="E13" s="33">
        <v>0.60953599999999997</v>
      </c>
      <c r="F13" s="33">
        <v>28.387084999999999</v>
      </c>
      <c r="G13" s="33">
        <v>27.453310999999999</v>
      </c>
    </row>
    <row r="14" spans="1:7" ht="15" customHeight="1">
      <c r="A14" s="50"/>
      <c r="B14" s="44"/>
      <c r="C14" s="3">
        <v>5</v>
      </c>
      <c r="D14" s="33">
        <v>0.60563199999999995</v>
      </c>
      <c r="E14" s="33">
        <v>0.57521900000000004</v>
      </c>
      <c r="F14" s="33">
        <v>27.296302000000001</v>
      </c>
      <c r="G14" s="33">
        <v>28.358782000000001</v>
      </c>
    </row>
    <row r="15" spans="1:7" ht="15" customHeight="1">
      <c r="A15" s="50"/>
      <c r="B15" s="44"/>
      <c r="C15" s="18">
        <v>6</v>
      </c>
      <c r="D15" s="33">
        <v>0.617062</v>
      </c>
      <c r="E15" s="33">
        <v>0.59097500000000003</v>
      </c>
      <c r="F15" s="33">
        <v>28.856331999999998</v>
      </c>
      <c r="G15" s="33">
        <v>28.093843</v>
      </c>
    </row>
    <row r="16" spans="1:7" ht="15" customHeight="1">
      <c r="A16" s="3" t="s">
        <v>4</v>
      </c>
      <c r="B16" s="68"/>
      <c r="C16" s="69"/>
      <c r="D16" s="33">
        <f>ROUND(AVERAGE(D10:D15),6)</f>
        <v>0.60711000000000004</v>
      </c>
      <c r="E16" s="33">
        <f>ROUND(AVERAGE(E10:E15),6)</f>
        <v>0.59707299999999996</v>
      </c>
      <c r="F16" s="33">
        <f>ROUND(AVERAGE(F10:F15),6)</f>
        <v>28.060423</v>
      </c>
      <c r="G16" s="33">
        <f>ROUND(AVERAGE(G10:G15),6)</f>
        <v>27.663288000000001</v>
      </c>
    </row>
    <row r="17" spans="1:7" ht="15" customHeight="1">
      <c r="A17" s="3" t="s">
        <v>0</v>
      </c>
      <c r="B17" s="70"/>
      <c r="C17" s="71"/>
      <c r="D17" s="33">
        <f>ROUND(STDEV(D10:D15),6)</f>
        <v>5.2880000000000002E-3</v>
      </c>
      <c r="E17" s="33">
        <f>ROUND(STDEV(E10:E15),6)</f>
        <v>1.5533E-2</v>
      </c>
      <c r="F17" s="33">
        <f>ROUND(STDEV(F10:F15),6)</f>
        <v>0.63755600000000001</v>
      </c>
      <c r="G17" s="33">
        <f>ROUND(STDEV(G10:G15),6)</f>
        <v>0.68113199999999996</v>
      </c>
    </row>
    <row r="18" spans="1:7" ht="15" customHeight="1">
      <c r="A18" s="3" t="s">
        <v>17</v>
      </c>
      <c r="B18" s="70"/>
      <c r="C18" s="71"/>
      <c r="D18" s="34">
        <f>ROUND(D17/D16*100,1)</f>
        <v>0.9</v>
      </c>
      <c r="E18" s="34">
        <f>ROUND(E17/E16*100,1)</f>
        <v>2.6</v>
      </c>
      <c r="F18" s="34">
        <f>ROUND(F17/F16*100,1)</f>
        <v>2.2999999999999998</v>
      </c>
      <c r="G18" s="34">
        <f>ROUND(G17/G16*100,1)</f>
        <v>2.5</v>
      </c>
    </row>
    <row r="19" spans="1:7" ht="15" customHeight="1">
      <c r="A19" s="3" t="s">
        <v>18</v>
      </c>
      <c r="B19" s="72"/>
      <c r="C19" s="73"/>
      <c r="D19" s="67">
        <f>ROUND((D16-E16)/E16*100,1)</f>
        <v>1.7</v>
      </c>
      <c r="E19" s="67"/>
      <c r="F19" s="67">
        <f>ROUND((F16-G16)/G16*100,1)</f>
        <v>1.4</v>
      </c>
      <c r="G19" s="67"/>
    </row>
    <row r="20" spans="1:7" ht="15" customHeight="1">
      <c r="A20" s="35"/>
      <c r="B20" s="35"/>
      <c r="C20" s="35"/>
      <c r="D20" s="4"/>
      <c r="E20" s="4"/>
      <c r="F20" s="4"/>
      <c r="G20" s="4"/>
    </row>
  </sheetData>
  <mergeCells count="13">
    <mergeCell ref="A10:A15"/>
    <mergeCell ref="B10:B15"/>
    <mergeCell ref="D19:E19"/>
    <mergeCell ref="B16:C19"/>
    <mergeCell ref="F19:G19"/>
    <mergeCell ref="A2:F2"/>
    <mergeCell ref="A6:A9"/>
    <mergeCell ref="B6:B9"/>
    <mergeCell ref="C6:C9"/>
    <mergeCell ref="F8:G8"/>
    <mergeCell ref="D6:G6"/>
    <mergeCell ref="D8:E8"/>
    <mergeCell ref="A5:G5"/>
  </mergeCells>
  <phoneticPr fontId="3" type="noConversion"/>
  <printOptions headings="1" gridLines="1"/>
  <pageMargins left="0.70866141732283472" right="0.70866141732283472" top="0.74803149606299213" bottom="0.74803149606299213" header="0.31496062992125984" footer="0.31496062992125984"/>
  <pageSetup scale="98" orientation="portrait" r:id="rId1"/>
  <headerFooter>
    <oddHeader>&amp;C 1632MV7生物分析方法学验证数据</oddHeader>
    <oddFooter>&amp;C第&amp;P页，共&amp;N页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4</vt:i4>
      </vt:variant>
    </vt:vector>
  </HeadingPairs>
  <TitlesOfParts>
    <vt:vector size="9" baseType="lpstr">
      <vt:lpstr>表1_schedule</vt:lpstr>
      <vt:lpstr>表18_ST</vt:lpstr>
      <vt:lpstr>表19_FT</vt:lpstr>
      <vt:lpstr>表20_PSS</vt:lpstr>
      <vt:lpstr>表22_Blood</vt:lpstr>
      <vt:lpstr>表1_schedule!Print_Area</vt:lpstr>
      <vt:lpstr>表18_ST!Print_Area</vt:lpstr>
      <vt:lpstr>表20_PSS!Print_Area</vt:lpstr>
      <vt:lpstr>表22_Blood!Print_Area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</dc:creator>
  <cp:lastModifiedBy>sqxue</cp:lastModifiedBy>
  <cp:lastPrinted>2025-02-16T11:44:54Z</cp:lastPrinted>
  <dcterms:created xsi:type="dcterms:W3CDTF">2016-03-17T02:40:20Z</dcterms:created>
  <dcterms:modified xsi:type="dcterms:W3CDTF">2025-10-31T03:16:03Z</dcterms:modified>
</cp:coreProperties>
</file>