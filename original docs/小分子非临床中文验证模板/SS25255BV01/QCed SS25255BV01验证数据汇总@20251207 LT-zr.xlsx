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MBA\报告\SS25255\SS25255BV01\"/>
    </mc:Choice>
  </mc:AlternateContent>
  <xr:revisionPtr revIDLastSave="0" documentId="13_ncr:1_{260CAA07-29CE-48C9-B700-BDDDD3CDAFCC}" xr6:coauthVersionLast="47" xr6:coauthVersionMax="47" xr10:uidLastSave="{00000000-0000-0000-0000-000000000000}"/>
  <bookViews>
    <workbookView xWindow="-110" yWindow="-110" windowWidth="19420" windowHeight="10420" tabRatio="852" activeTab="2" xr2:uid="{00000000-000D-0000-FFFF-FFFF00000000}"/>
  </bookViews>
  <sheets>
    <sheet name="1.1" sheetId="33" r:id="rId1"/>
    <sheet name="2.1标准品" sheetId="35" r:id="rId2"/>
    <sheet name="2.2内标" sheetId="40" r:id="rId3"/>
    <sheet name="2.5试剂" sheetId="41" r:id="rId4"/>
    <sheet name="2.6 空白基质" sheetId="51" r:id="rId5"/>
    <sheet name="2.9标准曲线质控样品配制" sheetId="50" r:id="rId6"/>
    <sheet name="表1_schedule" sheetId="7" r:id="rId7"/>
    <sheet name="表2_SST" sheetId="8" r:id="rId8"/>
    <sheet name="表3_CO" sheetId="10" r:id="rId9"/>
    <sheet name="表7_Regression" sheetId="13" r:id="rId10"/>
    <sheet name="表8_curve" sheetId="14" r:id="rId11"/>
    <sheet name="表10 QC (除准确度精密度分析批）" sheetId="42" r:id="rId12"/>
    <sheet name="表18_ST" sheetId="52" r:id="rId13"/>
    <sheet name="表19_FT" sheetId="53" r:id="rId14"/>
    <sheet name="表20_PSS" sheetId="54" r:id="rId15"/>
    <sheet name="表21_LTS" sheetId="39" r:id="rId16"/>
    <sheet name="表22_Blood" sheetId="55" r:id="rId17"/>
    <sheet name="分析天平" sheetId="46" r:id="rId18"/>
    <sheet name="（选择性图谱）空白基质图谱" sheetId="43" r:id="rId19"/>
    <sheet name="（选择性图谱）最低定量限图谱" sheetId="44" r:id="rId20"/>
    <sheet name="标准曲线" sheetId="45" r:id="rId21"/>
  </sheets>
  <definedNames>
    <definedName name="_xlnm.Print_Area" localSheetId="6">表1_schedule!$A$1:$F$26</definedName>
    <definedName name="_xlnm.Print_Area" localSheetId="12">表18_ST!$A$1:$J$19</definedName>
    <definedName name="_xlnm.Print_Area" localSheetId="7">表2_SST!$A$1:$F$12</definedName>
    <definedName name="_xlnm.Print_Area" localSheetId="14">表20_PSS!$A$1:$J$20</definedName>
    <definedName name="_xlnm.Print_Area" localSheetId="16">表22_Blood!$A$1:$G$19</definedName>
    <definedName name="_xlnm.Print_Area" localSheetId="9">表7_Regression!$A$1:$G$28</definedName>
  </definedNames>
  <calcPr calcId="191029"/>
</workbook>
</file>

<file path=xl/calcChain.xml><?xml version="1.0" encoding="utf-8"?>
<calcChain xmlns="http://schemas.openxmlformats.org/spreadsheetml/2006/main">
  <c r="F19" i="55" l="1"/>
  <c r="D19" i="55"/>
  <c r="G18" i="55"/>
  <c r="F18" i="55"/>
  <c r="E18" i="55"/>
  <c r="D18" i="55"/>
  <c r="G17" i="55"/>
  <c r="F17" i="55"/>
  <c r="E17" i="55"/>
  <c r="D17" i="55"/>
  <c r="G16" i="55"/>
  <c r="F16" i="55"/>
  <c r="E16" i="55"/>
  <c r="D16" i="55"/>
  <c r="F20" i="54"/>
  <c r="D20" i="54"/>
  <c r="G19" i="54"/>
  <c r="F19" i="54"/>
  <c r="E19" i="54"/>
  <c r="D19" i="54"/>
  <c r="G18" i="54"/>
  <c r="F18" i="54"/>
  <c r="E18" i="54"/>
  <c r="D18" i="54"/>
  <c r="G17" i="54"/>
  <c r="F17" i="54"/>
  <c r="E17" i="54"/>
  <c r="D17" i="54"/>
  <c r="J7" i="54"/>
  <c r="G19" i="53"/>
  <c r="E19" i="53"/>
  <c r="H18" i="53"/>
  <c r="G18" i="53"/>
  <c r="F18" i="53"/>
  <c r="E18" i="53"/>
  <c r="H17" i="53"/>
  <c r="G17" i="53"/>
  <c r="F17" i="53"/>
  <c r="E17" i="53"/>
  <c r="H16" i="53"/>
  <c r="G16" i="53"/>
  <c r="F16" i="53"/>
  <c r="E16" i="53"/>
  <c r="F19" i="52"/>
  <c r="D19" i="52"/>
  <c r="G18" i="52"/>
  <c r="F18" i="52"/>
  <c r="E18" i="52"/>
  <c r="D18" i="52"/>
  <c r="G17" i="52"/>
  <c r="F17" i="52"/>
  <c r="E17" i="52"/>
  <c r="D17" i="52"/>
  <c r="G16" i="52"/>
  <c r="F16" i="52"/>
  <c r="E16" i="52"/>
  <c r="D16" i="52"/>
  <c r="J6" i="52"/>
  <c r="G38" i="39" l="1"/>
  <c r="G37" i="39"/>
  <c r="F37" i="39"/>
  <c r="F38" i="39" s="1"/>
  <c r="G36" i="39"/>
  <c r="F36" i="39"/>
  <c r="F39" i="39" s="1"/>
  <c r="E37" i="39"/>
  <c r="E38" i="39" s="1"/>
  <c r="D37" i="39"/>
  <c r="D38" i="39" s="1"/>
  <c r="E36" i="39"/>
  <c r="D36" i="39"/>
  <c r="D39" i="39" s="1"/>
  <c r="F19" i="39"/>
  <c r="G17" i="39"/>
  <c r="G18" i="39" s="1"/>
  <c r="F17" i="39"/>
  <c r="F18" i="39" s="1"/>
  <c r="G16" i="39"/>
  <c r="F16" i="39"/>
  <c r="E17" i="39" l="1"/>
  <c r="E18" i="39" s="1"/>
  <c r="D16" i="39"/>
  <c r="D17" i="39"/>
  <c r="E16" i="39"/>
  <c r="D19" i="39" s="1"/>
  <c r="K6" i="39"/>
  <c r="D18" i="39" l="1"/>
  <c r="G12" i="10" l="1"/>
  <c r="I13" i="10" s="1"/>
  <c r="F12" i="10"/>
  <c r="H13" i="10" s="1"/>
  <c r="G10" i="10"/>
  <c r="I11" i="10" s="1"/>
  <c r="F10" i="10"/>
  <c r="H11" i="10" s="1"/>
  <c r="G8" i="10"/>
  <c r="I9" i="10" s="1"/>
  <c r="F8" i="10"/>
  <c r="H9" i="10" s="1"/>
  <c r="G6" i="10"/>
  <c r="I7" i="10" s="1"/>
  <c r="F6" i="10"/>
  <c r="H7" i="10" s="1"/>
  <c r="H8" i="10" l="1"/>
  <c r="H12" i="10"/>
  <c r="H6" i="10"/>
  <c r="H10" i="10"/>
  <c r="I6" i="10"/>
  <c r="I10" i="10"/>
  <c r="I8" i="10"/>
  <c r="I12" i="10"/>
  <c r="K26" i="39"/>
</calcChain>
</file>

<file path=xl/sharedStrings.xml><?xml version="1.0" encoding="utf-8"?>
<sst xmlns="http://schemas.openxmlformats.org/spreadsheetml/2006/main" count="422" uniqueCount="252">
  <si>
    <t>HQC</t>
  </si>
  <si>
    <t>LQC</t>
  </si>
  <si>
    <t>SD</t>
  </si>
  <si>
    <t>n</t>
  </si>
  <si>
    <t>STD1</t>
  </si>
  <si>
    <t>STD2</t>
  </si>
  <si>
    <t>STD3</t>
  </si>
  <si>
    <t>STD4</t>
  </si>
  <si>
    <t>STD5</t>
  </si>
  <si>
    <t>STD6</t>
  </si>
  <si>
    <t>STD7</t>
  </si>
  <si>
    <t>STD8</t>
  </si>
  <si>
    <t xml:space="preserve">AB Sciex </t>
  </si>
  <si>
    <t>Waters</t>
  </si>
  <si>
    <t>ACQUITY UPLC</t>
  </si>
  <si>
    <r>
      <t xml:space="preserve">1.1 </t>
    </r>
    <r>
      <rPr>
        <sz val="10.5"/>
        <rFont val="宋体"/>
        <family val="3"/>
        <charset val="134"/>
      </rPr>
      <t>检测方法概述</t>
    </r>
  </si>
  <si>
    <r>
      <rPr>
        <sz val="10.5"/>
        <rFont val="宋体"/>
        <family val="3"/>
        <charset val="134"/>
      </rPr>
      <t>样品体积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</si>
  <si>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</si>
  <si>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</si>
  <si>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</si>
  <si>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内标保留时间</t>
    </r>
  </si>
  <si>
    <r>
      <rPr>
        <sz val="10.5"/>
        <rFont val="宋体"/>
        <family val="3"/>
        <charset val="134"/>
      </rPr>
      <t>平均值</t>
    </r>
  </si>
  <si>
    <r>
      <rPr>
        <sz val="10.5"/>
        <color theme="1"/>
        <rFont val="宋体"/>
        <family val="3"/>
        <charset val="134"/>
      </rPr>
      <t>平均值</t>
    </r>
    <phoneticPr fontId="5" type="noConversion"/>
  </si>
  <si>
    <r>
      <t xml:space="preserve">2.1 </t>
    </r>
    <r>
      <rPr>
        <sz val="10.5"/>
        <rFont val="宋体"/>
        <family val="3"/>
        <charset val="134"/>
      </rPr>
      <t>标准品</t>
    </r>
    <phoneticPr fontId="5" type="noConversion"/>
  </si>
  <si>
    <r>
      <t xml:space="preserve">2.2 </t>
    </r>
    <r>
      <rPr>
        <sz val="10.5"/>
        <rFont val="宋体"/>
        <family val="3"/>
        <charset val="134"/>
      </rPr>
      <t>内标</t>
    </r>
    <phoneticPr fontId="5" type="noConversion"/>
  </si>
  <si>
    <r>
      <t xml:space="preserve">2.5 </t>
    </r>
    <r>
      <rPr>
        <sz val="10.5"/>
        <color theme="1"/>
        <rFont val="DengXian"/>
        <family val="2"/>
      </rPr>
      <t>试剂</t>
    </r>
    <phoneticPr fontId="19" type="noConversion"/>
  </si>
  <si>
    <t>是</t>
  </si>
  <si>
    <r>
      <rPr>
        <sz val="10.5"/>
        <rFont val="宋体"/>
        <family val="3"/>
        <charset val="134"/>
      </rPr>
      <t>样品编号</t>
    </r>
  </si>
  <si>
    <r>
      <t>T</t>
    </r>
    <r>
      <rPr>
        <vertAlign val="subscript"/>
        <sz val="10.5"/>
        <rFont val="Times New Roman"/>
        <family val="1"/>
      </rPr>
      <t>0</t>
    </r>
  </si>
  <si>
    <t>表3 ：批量样品检测过程的残留</t>
  </si>
  <si>
    <t>表21：生物基质中待测物的长期稳定性</t>
  </si>
  <si>
    <t>长期稳定性样品放置时间（天）：</t>
  </si>
  <si>
    <t>表10：质控样品浓度数据汇总（除准确度精密度分析批外）</t>
  </si>
  <si>
    <t>表8：标准曲线的回算浓度</t>
  </si>
  <si>
    <t>表7：标准曲线参数汇总</t>
  </si>
  <si>
    <t>拟合方程：峰面积比= 斜率 ×浓度 + 截距， 权重：1/（浓度×浓度）</t>
  </si>
  <si>
    <t>表2 ：系统适用性</t>
  </si>
  <si>
    <t>表1：批量样品检测情况列表</t>
  </si>
  <si>
    <t>CV（%）</t>
  </si>
  <si>
    <t>差异（%）</t>
  </si>
  <si>
    <t>准确度偏差（%）</t>
  </si>
  <si>
    <t>待测物残留率（%）</t>
  </si>
  <si>
    <t>内标残留率（%）</t>
  </si>
  <si>
    <r>
      <rPr>
        <sz val="11"/>
        <color theme="1"/>
        <rFont val="DengXian"/>
        <family val="2"/>
      </rPr>
      <t>分析天平编号：</t>
    </r>
  </si>
  <si>
    <r>
      <rPr>
        <sz val="10.5"/>
        <rFont val="宋体"/>
        <family val="3"/>
        <charset val="134"/>
      </rPr>
      <t>长期稳定性样品配置日期：</t>
    </r>
  </si>
  <si>
    <r>
      <rPr>
        <sz val="10.5"/>
        <rFont val="宋体"/>
        <family val="3"/>
        <charset val="134"/>
      </rPr>
      <t>长期稳定性样品处理日期：</t>
    </r>
  </si>
  <si>
    <r>
      <rPr>
        <sz val="10.5"/>
        <rFont val="宋体"/>
        <family val="3"/>
        <charset val="134"/>
      </rPr>
      <t>检测批次编号</t>
    </r>
    <phoneticPr fontId="5" type="noConversion"/>
  </si>
  <si>
    <r>
      <t>Carryover</t>
    </r>
    <r>
      <rPr>
        <sz val="10.5"/>
        <rFont val="宋体"/>
        <family val="3"/>
        <charset val="134"/>
      </rPr>
      <t>样品中待测物残留峰面积</t>
    </r>
    <phoneticPr fontId="5" type="noConversion"/>
  </si>
  <si>
    <r>
      <t>Carryover</t>
    </r>
    <r>
      <rPr>
        <sz val="10.5"/>
        <rFont val="宋体"/>
        <family val="3"/>
        <charset val="134"/>
      </rPr>
      <t>样品中内标残留峰面积</t>
    </r>
    <phoneticPr fontId="5" type="noConversion"/>
  </si>
  <si>
    <r>
      <rPr>
        <sz val="10.5"/>
        <rFont val="宋体"/>
        <family val="3"/>
        <charset val="134"/>
      </rPr>
      <t>待测物保留时间</t>
    </r>
    <phoneticPr fontId="5" type="noConversion"/>
  </si>
  <si>
    <r>
      <rPr>
        <sz val="10.5"/>
        <rFont val="宋体"/>
        <family val="3"/>
        <charset val="134"/>
      </rPr>
      <t>备注：</t>
    </r>
  </si>
  <si>
    <t>EQ202003</t>
    <phoneticPr fontId="19" type="noConversion"/>
  </si>
  <si>
    <t>EQ2018B23</t>
    <phoneticPr fontId="19" type="noConversion"/>
  </si>
  <si>
    <t>EQ201590</t>
    <phoneticPr fontId="19" type="noConversion"/>
  </si>
  <si>
    <r>
      <rPr>
        <sz val="10.5"/>
        <color theme="1"/>
        <rFont val="宋体"/>
        <family val="3"/>
        <charset val="134"/>
      </rPr>
      <t>峰面积比</t>
    </r>
    <phoneticPr fontId="5" type="noConversion"/>
  </si>
  <si>
    <t>基质</t>
  </si>
  <si>
    <t>接收日期</t>
  </si>
  <si>
    <r>
      <rPr>
        <sz val="10.5"/>
        <color rgb="FF000000"/>
        <rFont val="DengXian"/>
        <family val="2"/>
      </rPr>
      <t>试剂</t>
    </r>
  </si>
  <si>
    <r>
      <rPr>
        <sz val="10.5"/>
        <color rgb="FF000000"/>
        <rFont val="DengXian"/>
        <family val="2"/>
      </rPr>
      <t>供应商</t>
    </r>
  </si>
  <si>
    <r>
      <rPr>
        <sz val="10.5"/>
        <color theme="1"/>
        <rFont val="DengXian"/>
        <family val="2"/>
      </rPr>
      <t>级别</t>
    </r>
    <phoneticPr fontId="19" type="noConversion"/>
  </si>
  <si>
    <t>供应商</t>
  </si>
  <si>
    <t>益诺思登记号</t>
  </si>
  <si>
    <t>上海益诺思生物技术股份有限公司</t>
  </si>
  <si>
    <t>类型</t>
  </si>
  <si>
    <t>配制日期</t>
    <phoneticPr fontId="19" type="noConversion"/>
  </si>
  <si>
    <t>储存条件</t>
  </si>
  <si>
    <t>标准曲线样品</t>
    <phoneticPr fontId="19" type="noConversion"/>
  </si>
  <si>
    <t>质量控制样品</t>
  </si>
  <si>
    <r>
      <t xml:space="preserve">2.6 </t>
    </r>
    <r>
      <rPr>
        <sz val="11"/>
        <color theme="1"/>
        <rFont val="宋体"/>
        <family val="3"/>
        <charset val="134"/>
      </rPr>
      <t>空白基质</t>
    </r>
    <phoneticPr fontId="19" type="noConversion"/>
  </si>
  <si>
    <t>2.9 标准曲线/质控样品的配制</t>
    <phoneticPr fontId="19" type="noConversion"/>
  </si>
  <si>
    <r>
      <t xml:space="preserve">LLOQ </t>
    </r>
    <r>
      <rPr>
        <sz val="10.5"/>
        <rFont val="宋体"/>
        <family val="3"/>
        <charset val="134"/>
      </rPr>
      <t>标曲样品待测物峰面积</t>
    </r>
    <phoneticPr fontId="5" type="noConversion"/>
  </si>
  <si>
    <r>
      <t>LLOQ</t>
    </r>
    <r>
      <rPr>
        <sz val="10.5"/>
        <rFont val="宋体"/>
        <family val="3"/>
        <charset val="134"/>
      </rPr>
      <t>标曲样品内标峰面积</t>
    </r>
    <phoneticPr fontId="5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</si>
  <si>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标曲样品待测物峰面积均值</t>
    </r>
    <phoneticPr fontId="5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</si>
  <si>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标曲样品内标峰面积均值</t>
    </r>
    <phoneticPr fontId="5" type="noConversion"/>
  </si>
  <si>
    <t>现配现用</t>
    <phoneticPr fontId="19" type="noConversion"/>
  </si>
  <si>
    <r>
      <t>SD大鼠EDTA-K</t>
    </r>
    <r>
      <rPr>
        <vertAlign val="subscript"/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血浆</t>
    </r>
    <phoneticPr fontId="19" type="noConversion"/>
  </si>
  <si>
    <r>
      <t>SD大鼠EDTA-K</t>
    </r>
    <r>
      <rPr>
        <vertAlign val="subscript"/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>全血</t>
    </r>
    <phoneticPr fontId="19" type="noConversion"/>
  </si>
  <si>
    <t>系统适用性，标准曲线及范围，样品长期稳定性，残留评价</t>
  </si>
  <si>
    <t>待测物</t>
  </si>
  <si>
    <t>内标</t>
  </si>
  <si>
    <t>分析方法</t>
  </si>
  <si>
    <t>设备名称</t>
  </si>
  <si>
    <t>制造商</t>
  </si>
  <si>
    <t>型号</t>
  </si>
  <si>
    <t>高效液相色谱</t>
  </si>
  <si>
    <t>离子源</t>
  </si>
  <si>
    <t>Turbo-V电喷雾离子源</t>
  </si>
  <si>
    <t>检测器-串联质谱</t>
  </si>
  <si>
    <r>
      <rPr>
        <sz val="10.5"/>
        <rFont val="Times New Roman"/>
        <family val="1"/>
      </rPr>
      <t>TRIPLE QUAD</t>
    </r>
    <r>
      <rPr>
        <vertAlign val="superscript"/>
        <sz val="10.5"/>
        <rFont val="Times New Roman"/>
        <family val="1"/>
      </rPr>
      <t>TM</t>
    </r>
    <r>
      <rPr>
        <sz val="10.5"/>
        <rFont val="Times New Roman"/>
        <family val="1"/>
      </rPr>
      <t xml:space="preserve"> 6500</t>
    </r>
    <r>
      <rPr>
        <vertAlign val="superscript"/>
        <sz val="10.5"/>
        <rFont val="Times New Roman"/>
        <family val="1"/>
      </rPr>
      <t>+</t>
    </r>
  </si>
  <si>
    <t>数据采集/管理软件</t>
  </si>
  <si>
    <t>离子化方式</t>
  </si>
  <si>
    <t>电喷雾离子化正离子模式</t>
  </si>
  <si>
    <t>扫描方式</t>
  </si>
  <si>
    <t>多反应监测</t>
  </si>
  <si>
    <r>
      <rPr>
        <sz val="10.5"/>
        <rFont val="宋体"/>
        <family val="3"/>
        <charset val="134"/>
      </rPr>
      <t>色谱柱型号及所用序列号</t>
    </r>
  </si>
  <si>
    <t>流动相及流速</t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</si>
  <si>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A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0.1%</t>
    </r>
    <r>
      <rPr>
        <sz val="10.5"/>
        <rFont val="宋体"/>
        <family val="3"/>
        <charset val="134"/>
      </rPr>
      <t>甲酸的水溶液</t>
    </r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</si>
  <si>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0.1%</t>
    </r>
    <r>
      <rPr>
        <sz val="10.5"/>
        <rFont val="宋体"/>
        <family val="3"/>
        <charset val="134"/>
      </rPr>
      <t>甲酸的乙腈溶液</t>
    </r>
  </si>
  <si>
    <r>
      <rPr>
        <sz val="10.5"/>
        <rFont val="宋体"/>
        <family val="3"/>
        <charset val="134"/>
      </rPr>
      <t>流速：</t>
    </r>
    <r>
      <rPr>
        <sz val="10.5"/>
        <rFont val="Times New Roman"/>
        <family val="1"/>
      </rPr>
      <t>0.600 mL/min</t>
    </r>
  </si>
  <si>
    <t>柱温</t>
  </si>
  <si>
    <t>40.0°C</t>
  </si>
  <si>
    <t>样品的生物基质</t>
  </si>
  <si>
    <r>
      <rPr>
        <sz val="10.5"/>
        <rFont val="Times New Roman"/>
        <family val="1"/>
      </rPr>
      <t>SD大鼠</t>
    </r>
    <r>
      <rPr>
        <sz val="10.5"/>
        <rFont val="宋体"/>
        <family val="3"/>
        <charset val="134"/>
      </rPr>
      <t>血浆</t>
    </r>
  </si>
  <si>
    <t>抗凝剂</t>
  </si>
  <si>
    <r>
      <rPr>
        <sz val="10.5"/>
        <rFont val="Times New Roman"/>
        <family val="1"/>
      </rPr>
      <t>EDTA-K</t>
    </r>
    <r>
      <rPr>
        <vertAlign val="subscript"/>
        <sz val="10.5"/>
        <rFont val="Times New Roman"/>
        <family val="1"/>
      </rPr>
      <t>2</t>
    </r>
  </si>
  <si>
    <t>20μL</t>
  </si>
  <si>
    <t>生物基质来源</t>
  </si>
  <si>
    <t>上海益诺思生物技术股份有限公司</t>
    <phoneticPr fontId="30" type="noConversion"/>
  </si>
  <si>
    <t>样品预处理方法</t>
  </si>
  <si>
    <t>液液萃取</t>
    <phoneticPr fontId="30" type="noConversion"/>
  </si>
  <si>
    <t>进样量</t>
  </si>
  <si>
    <t>4μL</t>
  </si>
  <si>
    <t>定量指标</t>
  </si>
  <si>
    <t>回归方程</t>
  </si>
  <si>
    <t>y = ax + b</t>
  </si>
  <si>
    <t>权重系数</t>
  </si>
  <si>
    <t>1/（x*x）</t>
  </si>
  <si>
    <t>线性范围</t>
  </si>
  <si>
    <t>最低定量限（LLOQ）</t>
  </si>
  <si>
    <t>最低质控浓度（LLOQ QC）</t>
  </si>
  <si>
    <t>质控浓度（QC）</t>
  </si>
  <si>
    <r>
      <rPr>
        <sz val="10.5"/>
        <rFont val="宋体"/>
        <family val="3"/>
        <charset val="134"/>
      </rPr>
      <t>系统适用性</t>
    </r>
  </si>
  <si>
    <r>
      <rPr>
        <sz val="10.5"/>
        <rFont val="宋体"/>
        <family val="3"/>
        <charset val="134"/>
      </rPr>
      <t>待测物残留</t>
    </r>
  </si>
  <si>
    <r>
      <rPr>
        <sz val="10.5"/>
        <rFont val="宋体"/>
        <family val="3"/>
        <charset val="134"/>
      </rPr>
      <t>内标残留</t>
    </r>
  </si>
  <si>
    <r>
      <rPr>
        <sz val="10.5"/>
        <rFont val="宋体"/>
        <family val="3"/>
        <charset val="134"/>
      </rPr>
      <t>生物样品前处理过程中的短期稳定性</t>
    </r>
  </si>
  <si>
    <r>
      <rPr>
        <sz val="10.5"/>
        <rFont val="宋体"/>
        <family val="3"/>
        <charset val="134"/>
      </rPr>
      <t>冻融稳定性</t>
    </r>
  </si>
  <si>
    <r>
      <rPr>
        <sz val="10.5"/>
        <rFont val="宋体"/>
        <family val="3"/>
        <charset val="134"/>
      </rPr>
      <t>处理后样品的稳定性</t>
    </r>
    <r>
      <rPr>
        <sz val="10.5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</si>
  <si>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生物基质中待测物的长期稳定性</t>
    </r>
  </si>
  <si>
    <r>
      <rPr>
        <sz val="10.5"/>
        <rFont val="宋体"/>
        <family val="3"/>
        <charset val="134"/>
      </rPr>
      <t>全血稳定性</t>
    </r>
  </si>
  <si>
    <r>
      <t>Sciex Analyst</t>
    </r>
    <r>
      <rPr>
        <sz val="10.5"/>
        <rFont val="宋体"/>
        <family val="3"/>
        <charset val="134"/>
      </rPr>
      <t>（版本</t>
    </r>
    <r>
      <rPr>
        <sz val="10.5"/>
        <rFont val="Times New Roman"/>
        <family val="1"/>
      </rPr>
      <t>1.6.3</t>
    </r>
    <r>
      <rPr>
        <sz val="10.5"/>
        <rFont val="宋体"/>
        <family val="3"/>
        <charset val="134"/>
      </rPr>
      <t>），</t>
    </r>
    <r>
      <rPr>
        <sz val="10.5"/>
        <rFont val="Times New Roman"/>
        <family val="1"/>
      </rPr>
      <t>Watson LIMS</t>
    </r>
    <r>
      <rPr>
        <sz val="10.5"/>
        <rFont val="宋体"/>
        <family val="3"/>
        <charset val="134"/>
      </rPr>
      <t>（版本</t>
    </r>
    <r>
      <rPr>
        <sz val="10.5"/>
        <rFont val="Times New Roman"/>
        <family val="1"/>
      </rPr>
      <t>7.4.2</t>
    </r>
    <r>
      <rPr>
        <sz val="10.5"/>
        <rFont val="宋体"/>
        <family val="3"/>
        <charset val="134"/>
      </rPr>
      <t>）</t>
    </r>
  </si>
  <si>
    <t>化合物名称：</t>
  </si>
  <si>
    <t>化合物代码：</t>
  </si>
  <si>
    <t>标准品登记号：</t>
  </si>
  <si>
    <t>KN-RS-25-0289</t>
  </si>
  <si>
    <t>批号：</t>
  </si>
  <si>
    <t>纯度：</t>
  </si>
  <si>
    <t>分子量</t>
  </si>
  <si>
    <t>保存条件：</t>
  </si>
  <si>
    <t>-15 ~ -25ºC</t>
  </si>
  <si>
    <t>有效期至：</t>
  </si>
  <si>
    <t>来源：</t>
  </si>
  <si>
    <t>MedChemExpress</t>
  </si>
  <si>
    <t>Dxd-d5</t>
  </si>
  <si>
    <t>ISSS25255</t>
  </si>
  <si>
    <t>KN-RS-25-0290</t>
  </si>
  <si>
    <t>含量：</t>
  </si>
  <si>
    <t>2 ~ 8ºC，密封，避光，避湿</t>
  </si>
  <si>
    <t>QHL-1306</t>
  </si>
  <si>
    <t>KN-RS-25-0288</t>
  </si>
  <si>
    <t>RD028-149-S</t>
  </si>
  <si>
    <r>
      <t>2 ~ 8ºC</t>
    </r>
    <r>
      <rPr>
        <sz val="12"/>
        <color theme="1"/>
        <rFont val="SimSun"/>
        <charset val="134"/>
      </rPr>
      <t>，遮光，密封</t>
    </r>
  </si>
  <si>
    <t>上海合利成生物医药科技有限公司</t>
  </si>
  <si>
    <r>
      <t>甲醇（</t>
    </r>
    <r>
      <rPr>
        <sz val="12"/>
        <color theme="1"/>
        <rFont val="Times New Roman"/>
        <family val="1"/>
      </rPr>
      <t>MeOH</t>
    </r>
    <r>
      <rPr>
        <sz val="12"/>
        <color theme="1"/>
        <rFont val="SimSun"/>
        <charset val="134"/>
      </rPr>
      <t>）</t>
    </r>
  </si>
  <si>
    <t>色谱纯</t>
  </si>
  <si>
    <r>
      <t>乙腈（</t>
    </r>
    <r>
      <rPr>
        <sz val="12"/>
        <color theme="1"/>
        <rFont val="Times New Roman"/>
        <family val="1"/>
      </rPr>
      <t>ACN</t>
    </r>
    <r>
      <rPr>
        <sz val="12"/>
        <color theme="1"/>
        <rFont val="SimSun"/>
        <charset val="134"/>
      </rPr>
      <t>）</t>
    </r>
  </si>
  <si>
    <r>
      <t>二甲亚砜（</t>
    </r>
    <r>
      <rPr>
        <sz val="12"/>
        <color theme="1"/>
        <rFont val="Times New Roman"/>
        <family val="1"/>
      </rPr>
      <t>DMSO</t>
    </r>
    <r>
      <rPr>
        <sz val="12"/>
        <color theme="1"/>
        <rFont val="SimSun"/>
        <charset val="134"/>
      </rPr>
      <t>）</t>
    </r>
  </si>
  <si>
    <r>
      <t>异丙醇（</t>
    </r>
    <r>
      <rPr>
        <sz val="12"/>
        <color theme="1"/>
        <rFont val="Times New Roman"/>
        <family val="1"/>
      </rPr>
      <t>IPA</t>
    </r>
    <r>
      <rPr>
        <sz val="12"/>
        <color theme="1"/>
        <rFont val="SimSun"/>
        <charset val="134"/>
      </rPr>
      <t>）</t>
    </r>
  </si>
  <si>
    <r>
      <t>甲酸（</t>
    </r>
    <r>
      <rPr>
        <sz val="12"/>
        <color theme="1"/>
        <rFont val="Times New Roman"/>
        <family val="1"/>
      </rPr>
      <t>FA</t>
    </r>
    <r>
      <rPr>
        <sz val="12"/>
        <color theme="1"/>
        <rFont val="SimSun"/>
        <charset val="134"/>
      </rPr>
      <t>）</t>
    </r>
  </si>
  <si>
    <t>甲基叔丁基醚</t>
  </si>
  <si>
    <t>分析纯</t>
  </si>
  <si>
    <t>上海安谱实验科技股份有限公司</t>
  </si>
  <si>
    <t>EQ201758</t>
    <phoneticPr fontId="3" type="noConversion"/>
  </si>
  <si>
    <r>
      <rPr>
        <sz val="10.5"/>
        <rFont val="宋体"/>
        <family val="3"/>
        <charset val="134"/>
      </rPr>
      <t>斜率</t>
    </r>
  </si>
  <si>
    <r>
      <rPr>
        <sz val="10.5"/>
        <rFont val="宋体"/>
        <family val="3"/>
        <charset val="134"/>
      </rPr>
      <t>截距</t>
    </r>
  </si>
  <si>
    <r>
      <rPr>
        <sz val="10.5"/>
        <rFont val="Times New Roman"/>
        <family val="1"/>
      </rPr>
      <t>R</t>
    </r>
    <r>
      <rPr>
        <vertAlign val="superscript"/>
        <sz val="10.5"/>
        <rFont val="Times New Roman"/>
        <family val="1"/>
      </rPr>
      <t>2</t>
    </r>
  </si>
  <si>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（p</t>
    </r>
    <r>
      <rPr>
        <sz val="10.5"/>
        <rFont val="Times New Roman"/>
        <family val="1"/>
      </rPr>
      <t>mol/mL</t>
    </r>
    <r>
      <rPr>
        <sz val="10.5"/>
        <rFont val="宋体"/>
        <family val="3"/>
        <charset val="134"/>
      </rPr>
      <t>）</t>
    </r>
  </si>
  <si>
    <r>
      <rPr>
        <sz val="10.5"/>
        <rFont val="Times New Roman"/>
        <family val="1"/>
      </rPr>
      <t>ULOQ
(pmol/mL</t>
    </r>
    <r>
      <rPr>
        <sz val="10.5"/>
        <rFont val="宋体"/>
        <family val="3"/>
        <charset val="134"/>
      </rPr>
      <t>）</t>
    </r>
  </si>
  <si>
    <t>准确度偏差 (%)</t>
  </si>
  <si>
    <t>pmol/mL</t>
  </si>
  <si>
    <t>GMQC</t>
    <phoneticPr fontId="30" type="noConversion"/>
  </si>
  <si>
    <t>MQC</t>
    <phoneticPr fontId="30" type="noConversion"/>
  </si>
  <si>
    <t>LQC</t>
    <phoneticPr fontId="3" type="noConversion"/>
  </si>
  <si>
    <t>4.500
 pmol/mL</t>
    <phoneticPr fontId="3" type="noConversion"/>
  </si>
  <si>
    <t>HQC</t>
    <phoneticPr fontId="3" type="noConversion"/>
  </si>
  <si>
    <t>1125.000
 pmol/mL</t>
    <phoneticPr fontId="3" type="noConversion"/>
  </si>
  <si>
    <t>浓度（pmol/mL）</t>
  </si>
  <si>
    <r>
      <t>T</t>
    </r>
    <r>
      <rPr>
        <vertAlign val="subscript"/>
        <sz val="10.5"/>
        <rFont val="Times New Roman"/>
        <family val="1"/>
      </rPr>
      <t>x</t>
    </r>
  </si>
  <si>
    <r>
      <t>2025/08/19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2025/12/05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</si>
  <si>
    <r>
      <t>1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5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</si>
  <si>
    <r>
      <t>2025/08/19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2025/11/20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</si>
  <si>
    <r>
      <t>1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4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</si>
  <si>
    <t>待测物残留≤ 0.0%</t>
  </si>
  <si>
    <t>内标残留≤ 0.0%</t>
  </si>
  <si>
    <t>KN-BM-25-500</t>
    <phoneticPr fontId="19" type="noConversion"/>
  </si>
  <si>
    <t>KN-BM-25-677</t>
    <phoneticPr fontId="19" type="noConversion"/>
  </si>
  <si>
    <t>KN-BM-25-510</t>
    <phoneticPr fontId="19" type="noConversion"/>
  </si>
  <si>
    <t>KN-BM-25-678</t>
    <phoneticPr fontId="19" type="noConversion"/>
  </si>
  <si>
    <r>
      <rPr>
        <sz val="10.5"/>
        <rFont val="宋体"/>
        <family val="3"/>
        <charset val="134"/>
      </rPr>
      <t>序列号：</t>
    </r>
    <r>
      <rPr>
        <sz val="10.5"/>
        <rFont val="Times New Roman"/>
        <family val="1"/>
      </rPr>
      <t>23L88859/24A0468449</t>
    </r>
    <phoneticPr fontId="5" type="noConversion"/>
  </si>
  <si>
    <r>
      <rPr>
        <sz val="10.5"/>
        <rFont val="宋体"/>
        <family val="3"/>
        <charset val="134"/>
      </rPr>
      <t>试验条件：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条件下</t>
    </r>
    <r>
      <rPr>
        <sz val="10.5"/>
        <rFont val="Times New Roman"/>
        <family val="1"/>
      </rPr>
      <t>94</t>
    </r>
    <r>
      <rPr>
        <sz val="10.5"/>
        <rFont val="宋体"/>
        <family val="3"/>
        <charset val="134"/>
      </rPr>
      <t>天</t>
    </r>
  </si>
  <si>
    <r>
      <rPr>
        <sz val="10.5"/>
        <rFont val="宋体"/>
        <family val="3"/>
        <charset val="134"/>
      </rPr>
      <t>试验条件：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条件下</t>
    </r>
    <r>
      <rPr>
        <sz val="10.5"/>
        <rFont val="Times New Roman"/>
        <family val="1"/>
      </rPr>
      <t>108</t>
    </r>
    <r>
      <rPr>
        <sz val="10.5"/>
        <rFont val="宋体"/>
        <family val="3"/>
        <charset val="134"/>
      </rPr>
      <t>天</t>
    </r>
  </si>
  <si>
    <r>
      <t>91.3%</t>
    </r>
    <r>
      <rPr>
        <sz val="11"/>
        <color theme="1"/>
        <rFont val="SimSun"/>
        <charset val="134"/>
      </rPr>
      <t>（含量，以无水物计）</t>
    </r>
    <phoneticPr fontId="5" type="noConversion"/>
  </si>
  <si>
    <r>
      <t>甲酸铵（</t>
    </r>
    <r>
      <rPr>
        <sz val="12"/>
        <color theme="1"/>
        <rFont val="Times New Roman"/>
        <family val="1"/>
      </rPr>
      <t>NH</t>
    </r>
    <r>
      <rPr>
        <vertAlign val="sub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HCO2</t>
    </r>
    <r>
      <rPr>
        <sz val="12"/>
        <color theme="1"/>
        <rFont val="SimSun"/>
        <charset val="134"/>
      </rPr>
      <t>）</t>
    </r>
    <phoneticPr fontId="19" type="noConversion"/>
  </si>
  <si>
    <r>
      <rPr>
        <sz val="10.5"/>
        <rFont val="宋体"/>
        <family val="3"/>
        <charset val="134"/>
      </rPr>
      <t>提取日期</t>
    </r>
    <phoneticPr fontId="5" type="noConversion"/>
  </si>
  <si>
    <t>分析批是否接受</t>
    <phoneticPr fontId="5" type="noConversion"/>
  </si>
  <si>
    <r>
      <rPr>
        <sz val="10.5"/>
        <rFont val="宋体"/>
        <family val="3"/>
        <charset val="134"/>
      </rPr>
      <t>设备编号</t>
    </r>
    <phoneticPr fontId="5" type="noConversion"/>
  </si>
  <si>
    <r>
      <rPr>
        <sz val="10.5"/>
        <rFont val="宋体"/>
        <family val="3"/>
        <charset val="134"/>
      </rPr>
      <t>系统适用性，标准曲线及范围，稳定性</t>
    </r>
    <r>
      <rPr>
        <sz val="10.5"/>
        <rFont val="Times New Roman"/>
        <family val="1"/>
      </rPr>
      <t>T</t>
    </r>
    <r>
      <rPr>
        <vertAlign val="subscript"/>
        <sz val="10.5"/>
        <rFont val="Times New Roman"/>
        <family val="1"/>
      </rPr>
      <t>0</t>
    </r>
    <r>
      <rPr>
        <sz val="10.5"/>
        <rFont val="宋体"/>
        <family val="3"/>
        <charset val="134"/>
      </rPr>
      <t>，残留评价</t>
    </r>
    <phoneticPr fontId="5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</si>
  <si>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1</t>
    </r>
    <phoneticPr fontId="5" type="noConversion"/>
  </si>
  <si>
    <t>EQ201758</t>
    <phoneticPr fontId="5" type="noConversion"/>
  </si>
  <si>
    <r>
      <rPr>
        <sz val="10.5"/>
        <rFont val="宋体"/>
        <family val="3"/>
        <charset val="134"/>
      </rPr>
      <t>系统适用性，标准曲线及范围，样品短期稳定性，冻融稳定性，处理后样品稳定性</t>
    </r>
    <r>
      <rPr>
        <vertAlign val="superscript"/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，残留评价</t>
    </r>
    <phoneticPr fontId="5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</si>
  <si>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3</t>
    </r>
    <phoneticPr fontId="5" type="noConversion"/>
  </si>
  <si>
    <r>
      <rPr>
        <sz val="10.5"/>
        <rFont val="宋体"/>
        <family val="1"/>
        <charset val="134"/>
      </rPr>
      <t>系统适用性，全血稳定性</t>
    </r>
    <phoneticPr fontId="5" type="noConversion"/>
  </si>
  <si>
    <r>
      <rPr>
        <sz val="10.5"/>
        <rFont val="宋体"/>
        <family val="3"/>
        <charset val="134"/>
      </rPr>
      <t>不适用</t>
    </r>
    <r>
      <rPr>
        <vertAlign val="superscript"/>
        <sz val="10.5"/>
        <rFont val="Times New Roman"/>
        <family val="1"/>
      </rPr>
      <t>4</t>
    </r>
    <phoneticPr fontId="5" type="noConversion"/>
  </si>
  <si>
    <r>
      <rPr>
        <sz val="10.5"/>
        <rFont val="宋体"/>
        <family val="1"/>
        <charset val="134"/>
      </rPr>
      <t>注</t>
    </r>
    <r>
      <rPr>
        <sz val="10.5"/>
        <rFont val="Times New Roman"/>
        <family val="1"/>
      </rPr>
      <t>1</t>
    </r>
    <r>
      <rPr>
        <sz val="10.5"/>
        <rFont val="宋体"/>
        <family val="1"/>
        <charset val="134"/>
      </rPr>
      <t>：由于移取了</t>
    </r>
    <r>
      <rPr>
        <sz val="10.5"/>
        <rFont val="Times New Roman"/>
        <family val="1"/>
      </rPr>
      <t>100 μL</t>
    </r>
    <r>
      <rPr>
        <sz val="10.5"/>
        <rFont val="宋体"/>
        <family val="1"/>
        <charset val="134"/>
      </rPr>
      <t>处理后样品至另一块</t>
    </r>
    <r>
      <rPr>
        <sz val="10.5"/>
        <rFont val="Times New Roman"/>
        <family val="1"/>
      </rPr>
      <t>96</t>
    </r>
    <r>
      <rPr>
        <sz val="10.5"/>
        <rFont val="宋体"/>
        <family val="1"/>
        <charset val="134"/>
      </rPr>
      <t>孔板（作</t>
    </r>
    <r>
      <rPr>
        <sz val="10.5"/>
        <rFont val="Times New Roman"/>
        <family val="1"/>
      </rPr>
      <t>PSS</t>
    </r>
    <r>
      <rPr>
        <sz val="10.5"/>
        <rFont val="宋体"/>
        <family val="1"/>
        <charset val="134"/>
      </rPr>
      <t>考察使用），导致仪器无法吸取到剩余样品。将所有样品转移至新的容量为</t>
    </r>
    <r>
      <rPr>
        <sz val="10.5"/>
        <rFont val="Times New Roman"/>
        <family val="1"/>
      </rPr>
      <t>700 μL</t>
    </r>
    <r>
      <rPr>
        <sz val="10.5"/>
        <rFont val="宋体"/>
        <family val="1"/>
        <charset val="134"/>
      </rPr>
      <t>的</t>
    </r>
    <r>
      <rPr>
        <sz val="10.5"/>
        <rFont val="Times New Roman"/>
        <family val="1"/>
      </rPr>
      <t>96</t>
    </r>
    <r>
      <rPr>
        <sz val="10.5"/>
        <rFont val="宋体"/>
        <family val="1"/>
        <charset val="134"/>
      </rPr>
      <t>孔板中，重新进样。</t>
    </r>
    <phoneticPr fontId="5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</si>
  <si>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1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08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18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个分析批中制备。</t>
    </r>
    <phoneticPr fontId="5" type="noConversion"/>
  </si>
  <si>
    <r>
      <rPr>
        <sz val="10.5"/>
        <rFont val="宋体"/>
        <family val="1"/>
        <charset val="134"/>
      </rPr>
      <t>注</t>
    </r>
    <r>
      <rPr>
        <sz val="10.5"/>
        <rFont val="Times New Roman"/>
        <family val="1"/>
      </rPr>
      <t>3</t>
    </r>
    <r>
      <rPr>
        <sz val="10.5"/>
        <rFont val="宋体"/>
        <family val="1"/>
        <charset val="134"/>
      </rPr>
      <t>：转板报错，重新平衡仪器，评估后从停止的样品开始继续提交分析</t>
    </r>
    <phoneticPr fontId="5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</si>
  <si>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：本分析批无标曲质控样品</t>
    </r>
    <phoneticPr fontId="5" type="noConversion"/>
  </si>
  <si>
    <r>
      <rPr>
        <sz val="10.5"/>
        <rFont val="宋体"/>
        <family val="3"/>
        <charset val="134"/>
      </rPr>
      <t>平均值</t>
    </r>
    <phoneticPr fontId="5" type="noConversion"/>
  </si>
  <si>
    <t>国药集团化学试剂有限公司/
上海阿拉丁生化科技股份有限公司</t>
    <phoneticPr fontId="19" type="noConversion"/>
  </si>
  <si>
    <t xml:space="preserve">表18：生物样品前处理过程中的短期稳定性 </t>
  </si>
  <si>
    <r>
      <rPr>
        <sz val="10.5"/>
        <rFont val="宋体"/>
        <family val="3"/>
        <charset val="134"/>
      </rPr>
      <t>样品放置开始时间：</t>
    </r>
  </si>
  <si>
    <r>
      <rPr>
        <sz val="10.5"/>
        <rFont val="宋体"/>
        <family val="3"/>
        <charset val="134"/>
      </rPr>
      <t>试验条件：在冰水浴白光下放置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小时的短期稳定性</t>
    </r>
    <phoneticPr fontId="5" type="noConversion"/>
  </si>
  <si>
    <r>
      <rPr>
        <sz val="10.5"/>
        <rFont val="宋体"/>
        <family val="3"/>
        <charset val="134"/>
      </rPr>
      <t>样品放置结束时间：</t>
    </r>
  </si>
  <si>
    <r>
      <rPr>
        <sz val="10.5"/>
        <color theme="1"/>
        <rFont val="宋体"/>
        <family val="3"/>
        <charset val="134"/>
      </rPr>
      <t>检测日期</t>
    </r>
    <phoneticPr fontId="5" type="noConversion"/>
  </si>
  <si>
    <r>
      <rPr>
        <sz val="10.5"/>
        <rFont val="宋体"/>
        <family val="3"/>
        <charset val="134"/>
      </rPr>
      <t>放置时间：</t>
    </r>
  </si>
  <si>
    <t>LQC</t>
    <phoneticPr fontId="5" type="noConversion"/>
  </si>
  <si>
    <t>4.500
 pmol/mL</t>
    <phoneticPr fontId="5" type="noConversion"/>
  </si>
  <si>
    <t>HQC</t>
    <phoneticPr fontId="5" type="noConversion"/>
  </si>
  <si>
    <t>1125.000
 pmol/mL</t>
    <phoneticPr fontId="5" type="noConversion"/>
  </si>
  <si>
    <r>
      <t>T</t>
    </r>
    <r>
      <rPr>
        <vertAlign val="subscript"/>
        <sz val="10.5"/>
        <rFont val="Times New Roman"/>
        <family val="1"/>
      </rPr>
      <t>x</t>
    </r>
    <phoneticPr fontId="5" type="noConversion"/>
  </si>
  <si>
    <r>
      <t>2025/08/19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2025/08/21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  <phoneticPr fontId="5" type="noConversion"/>
  </si>
  <si>
    <r>
      <t>1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2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  <phoneticPr fontId="5" type="noConversion"/>
  </si>
  <si>
    <t>表19：冻融稳定性</t>
  </si>
  <si>
    <r>
      <rPr>
        <sz val="10.5"/>
        <rFont val="宋体"/>
        <family val="3"/>
        <charset val="134"/>
      </rPr>
      <t>试验条件：在超低温冷冻冰箱（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）冻存至少</t>
    </r>
    <r>
      <rPr>
        <sz val="10.5"/>
        <rFont val="Times New Roman"/>
        <family val="1"/>
      </rPr>
      <t>12</t>
    </r>
    <r>
      <rPr>
        <sz val="10.5"/>
        <rFont val="宋体"/>
        <family val="3"/>
        <charset val="134"/>
      </rPr>
      <t>小时，在冰水浴白光条件下融化。</t>
    </r>
    <phoneticPr fontId="5" type="noConversion"/>
  </si>
  <si>
    <t>冻融循环次数</t>
    <phoneticPr fontId="5" type="noConversion"/>
  </si>
  <si>
    <t>表20：处理后样品的稳定性</t>
  </si>
  <si>
    <r>
      <rPr>
        <sz val="10.5"/>
        <rFont val="宋体"/>
        <family val="3"/>
        <charset val="134"/>
      </rPr>
      <t>样品处理完成时间：</t>
    </r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</si>
  <si>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77</t>
    </r>
    <r>
      <rPr>
        <sz val="10.5"/>
        <rFont val="宋体"/>
        <family val="3"/>
        <charset val="134"/>
      </rPr>
      <t>小时的稳定性</t>
    </r>
    <phoneticPr fontId="5" type="noConversion"/>
  </si>
  <si>
    <r>
      <rPr>
        <sz val="10.5"/>
        <rFont val="宋体"/>
        <family val="3"/>
        <charset val="134"/>
      </rPr>
      <t>该样品第一针进样时间：</t>
    </r>
  </si>
  <si>
    <t>放置时间：</t>
  </si>
  <si>
    <t>表22：全血稳定性</t>
  </si>
  <si>
    <r>
      <rPr>
        <sz val="10.5"/>
        <rFont val="宋体"/>
        <family val="3"/>
        <charset val="134"/>
      </rPr>
      <t>试验条件：全血样品在冰水浴白光下放置</t>
    </r>
    <r>
      <rPr>
        <sz val="10.5"/>
        <rFont val="Times New Roman"/>
        <family val="1"/>
      </rPr>
      <t>1.5</t>
    </r>
    <r>
      <rPr>
        <sz val="10.5"/>
        <rFont val="宋体"/>
        <family val="3"/>
        <charset val="134"/>
      </rPr>
      <t>小时后的稳定性</t>
    </r>
    <phoneticPr fontId="5" type="noConversion"/>
  </si>
  <si>
    <r>
      <rPr>
        <sz val="10.5"/>
        <rFont val="宋体"/>
        <family val="3"/>
        <charset val="134"/>
      </rPr>
      <t>检测日期</t>
    </r>
    <phoneticPr fontId="5" type="noConversion"/>
  </si>
  <si>
    <r>
      <rPr>
        <sz val="10.5"/>
        <rFont val="宋体"/>
        <family val="3"/>
        <charset val="134"/>
      </rPr>
      <t>浓度</t>
    </r>
    <phoneticPr fontId="5" type="noConversion"/>
  </si>
  <si>
    <r>
      <rPr>
        <sz val="10.5"/>
        <rFont val="宋体"/>
        <family val="3"/>
        <charset val="134"/>
      </rPr>
      <t>待测物与内标的峰面积比</t>
    </r>
    <phoneticPr fontId="5" type="noConversion"/>
  </si>
  <si>
    <t>游离Dxd</t>
  </si>
  <si>
    <t>SS24160-BA-002：LC-MS/MS方法测定SD大鼠EDTA-K2血浆样品中游离Dxd (游离Dxd)的浓度</t>
  </si>
  <si>
    <t>游离Dxd：1.500~1500.000 pmol/mL</t>
  </si>
  <si>
    <t>游离Dxd：1.500 pmol/mL</t>
  </si>
  <si>
    <t xml:space="preserve">游离Dxd：4.500 pmol/mL，45.000 pmol/mL，450.000 pmol/mL，1125.000 pmol/mL；
</t>
  </si>
  <si>
    <t xml:space="preserve">游离Dxd：待测物保留时间CV≤ 0.6%；内标保留时间CV≤ 0.0%；面积比CV≤6.0%；
</t>
  </si>
  <si>
    <t xml:space="preserve">游离Dxd：游离Dxd峰面积与内标Dxd-d5峰面积比；
</t>
  </si>
  <si>
    <t>QHL-1306</t>
    <phoneticPr fontId="5" type="noConversion"/>
  </si>
  <si>
    <t xml:space="preserve">游离Dxd（QHL-1306存在下）：冰水浴白光下至少稳定16小时
</t>
  </si>
  <si>
    <t>游离Dxd（QHL-1306存在下）：-70--90°C /冰水浴白光下至少冻融循环4次稳定</t>
  </si>
  <si>
    <t xml:space="preserve">游离Dxd（QHL-1306存在下）：在自动进样器（5°C）条件下可稳定保存至少77小时
</t>
  </si>
  <si>
    <t>游离Dxd（QHL-1306存在下）：在-70°C~-90°C下稳定至少108天</t>
  </si>
  <si>
    <t xml:space="preserve">游离Dxd（QHL-1306存在下）：全血样品冰水浴白光放置至少稳定1.5小时
</t>
  </si>
  <si>
    <t>游离Dxd（QHL-1306存在下）</t>
  </si>
  <si>
    <t>QHL-1306浓度：20000.000 pmol/mL</t>
  </si>
  <si>
    <r>
      <rPr>
        <sz val="10.5"/>
        <rFont val="宋体"/>
        <family val="3"/>
        <charset val="134"/>
      </rPr>
      <t>型号：</t>
    </r>
    <r>
      <rPr>
        <sz val="10.5"/>
        <rFont val="Times New Roman"/>
        <family val="1"/>
      </rPr>
      <t>Shim-pack GIST-HP 3μm C18-AQ 2.1×100mm(HSS)</t>
    </r>
    <phoneticPr fontId="5" type="noConversion"/>
  </si>
  <si>
    <t>Dxd</t>
    <phoneticPr fontId="5" type="noConversion"/>
  </si>
  <si>
    <t>Dxd-d5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</si>
</sst>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76" formatCode="0.0"/>
    <numFmt numFmtId="177" formatCode="0.0_ "/>
    <numFmt numFmtId="178" formatCode="0.000"/>
    <numFmt numFmtId="179" formatCode="0_ "/>
    <numFmt numFmtId="180" formatCode="0.000000"/>
    <numFmt numFmtId="181" formatCode="yyyy/mm/dd"/>
    <numFmt numFmtId="182" formatCode="0;_愀"/>
    <numFmt numFmtId="183" formatCode="0.0;_愀"/>
    <numFmt numFmtId="184" formatCode="0.000_ "/>
    <numFmt numFmtId="185" formatCode="0.0000_ "/>
    <numFmt numFmtId="186" formatCode="0.00000"/>
    <numFmt numFmtId="187" formatCode="yyyy/mm/dd\ hh:mm"/>
    <numFmt numFmtId="188" formatCode="0.00;[Red]0.00"/>
  </numFmts>
  <fonts count="86">
    <font>
      <sz val="11"/>
      <color theme="1"/>
      <name val="DengXian"/>
      <family val="2"/>
      <scheme val="minor"/>
    </font>
    <font>
      <sz val="11"/>
      <color theme="1"/>
      <name val="DengXian"/>
      <family val="2"/>
      <charset val="134"/>
      <scheme val="minor"/>
    </font>
    <font>
      <sz val="11"/>
      <color indexed="8"/>
      <name val="Calibri"/>
      <family val="2"/>
    </font>
    <font>
      <sz val="10.5"/>
      <color indexed="8"/>
      <name val="宋体"/>
      <family val="3"/>
      <charset val="134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.5"/>
      <color rgb="FFFF0000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10.5"/>
      <color indexed="8"/>
      <name val="Times New Roman"/>
      <family val="1"/>
    </font>
    <font>
      <sz val="9"/>
      <name val="DengXian"/>
      <family val="3"/>
      <charset val="134"/>
      <scheme val="minor"/>
    </font>
    <font>
      <sz val="10.5"/>
      <color theme="1"/>
      <name val="DengXian"/>
      <family val="2"/>
    </font>
    <font>
      <sz val="10.5"/>
      <color rgb="FF00B0F0"/>
      <name val="Times New Roman"/>
      <family val="1"/>
    </font>
    <font>
      <sz val="10.5"/>
      <color rgb="FF00B0F0"/>
      <name val="宋体"/>
      <family val="3"/>
      <charset val="134"/>
    </font>
    <font>
      <sz val="11"/>
      <color theme="1"/>
      <name val="DengXian"/>
      <family val="2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0.5"/>
      <color rgb="FF000000"/>
      <name val="Times New Roman"/>
      <family val="1"/>
    </font>
    <font>
      <sz val="10.5"/>
      <color rgb="FF000000"/>
      <name val="DengXian"/>
      <family val="2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B0F0"/>
      <name val="宋体"/>
      <family val="3"/>
      <charset val="134"/>
    </font>
    <font>
      <sz val="10"/>
      <name val="宋体"/>
      <family val="3"/>
      <charset val="134"/>
    </font>
    <font>
      <vertAlign val="subscript"/>
      <sz val="10"/>
      <name val="宋体"/>
      <family val="3"/>
      <charset val="134"/>
    </font>
    <font>
      <vertAlign val="superscript"/>
      <sz val="10.5"/>
      <name val="Times New Roman"/>
      <family val="1"/>
    </font>
    <font>
      <sz val="10.5"/>
      <name val="宋体"/>
      <family val="1"/>
      <charset val="134"/>
    </font>
    <font>
      <sz val="11"/>
      <color rgb="FF9C0006"/>
      <name val="DengXian"/>
      <family val="3"/>
      <charset val="134"/>
      <scheme val="minor"/>
    </font>
    <font>
      <sz val="11"/>
      <color rgb="FF006100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  <font>
      <sz val="11"/>
      <color theme="0"/>
      <name val="DengXian"/>
      <family val="3"/>
      <charset val="134"/>
      <scheme val="minor"/>
    </font>
    <font>
      <sz val="12"/>
      <color rgb="FF9C0006"/>
      <name val="DengXian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DengXian"/>
      <charset val="134"/>
    </font>
    <font>
      <sz val="11"/>
      <color theme="0"/>
      <name val="DengXian"/>
      <charset val="134"/>
    </font>
    <font>
      <sz val="12"/>
      <color rgb="FF9C0006"/>
      <name val="DengXian"/>
      <charset val="134"/>
    </font>
    <font>
      <sz val="11"/>
      <color rgb="FF006100"/>
      <name val="DengXian"/>
      <charset val="134"/>
    </font>
    <font>
      <sz val="11"/>
      <color rgb="FF9C0006"/>
      <name val="DengXian"/>
      <charset val="134"/>
    </font>
    <font>
      <b/>
      <sz val="11"/>
      <color rgb="FFFA7D00"/>
      <name val="DengXian"/>
      <charset val="134"/>
    </font>
    <font>
      <b/>
      <sz val="11"/>
      <color theme="0"/>
      <name val="DengXian"/>
      <charset val="134"/>
    </font>
    <font>
      <i/>
      <sz val="11"/>
      <color rgb="FF7F7F7F"/>
      <name val="DengXian"/>
      <charset val="134"/>
    </font>
    <font>
      <b/>
      <sz val="15"/>
      <color theme="3"/>
      <name val="DengXian"/>
      <charset val="134"/>
    </font>
    <font>
      <b/>
      <sz val="13"/>
      <color theme="3"/>
      <name val="DengXian"/>
      <charset val="134"/>
    </font>
    <font>
      <b/>
      <sz val="11"/>
      <color theme="3"/>
      <name val="DengXian"/>
      <charset val="134"/>
    </font>
    <font>
      <sz val="11"/>
      <color rgb="FF3F3F76"/>
      <name val="DengXian"/>
      <charset val="134"/>
    </font>
    <font>
      <sz val="11"/>
      <color rgb="FFFA7D00"/>
      <name val="DengXian"/>
      <charset val="134"/>
    </font>
    <font>
      <sz val="11"/>
      <color rgb="FF9C6500"/>
      <name val="DengXian"/>
      <charset val="134"/>
    </font>
    <font>
      <b/>
      <sz val="11"/>
      <color rgb="FF3F3F3F"/>
      <name val="DengXian"/>
      <charset val="134"/>
    </font>
    <font>
      <b/>
      <sz val="18"/>
      <color theme="3"/>
      <name val="DengXian Light"/>
      <family val="1"/>
    </font>
    <font>
      <b/>
      <sz val="11"/>
      <color theme="1"/>
      <name val="DengXian"/>
      <charset val="134"/>
    </font>
    <font>
      <sz val="11"/>
      <color rgb="FFFF0000"/>
      <name val="DengXian"/>
      <charset val="134"/>
    </font>
    <font>
      <sz val="12"/>
      <color theme="1"/>
      <name val="Times New Roman"/>
      <family val="1"/>
    </font>
    <font>
      <sz val="11"/>
      <color theme="1"/>
      <name val="SimSun"/>
      <charset val="134"/>
    </font>
    <font>
      <sz val="12"/>
      <color theme="1"/>
      <name val="SimSun"/>
      <charset val="134"/>
    </font>
    <font>
      <vertAlign val="subscript"/>
      <sz val="12"/>
      <color theme="1"/>
      <name val="Times New Roman"/>
      <family val="1"/>
    </font>
    <font>
      <sz val="10.5"/>
      <name val="Times New Roman"/>
      <family val="1"/>
      <charset val="134"/>
    </font>
    <font>
      <sz val="11"/>
      <name val="DengXian"/>
      <family val="2"/>
      <scheme val="minor"/>
    </font>
    <font>
      <sz val="10.5"/>
      <color rgb="FF0070C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</borders>
  <cellStyleXfs count="531">
    <xf numFmtId="0" fontId="0" fillId="0" borderId="0"/>
    <xf numFmtId="0" fontId="8" fillId="2" borderId="0" applyNumberFormat="0" applyBorder="0" applyAlignment="0" applyProtection="0"/>
    <xf numFmtId="0" fontId="4" fillId="0" borderId="0"/>
    <xf numFmtId="0" fontId="2" fillId="0" borderId="0"/>
    <xf numFmtId="9" fontId="4" fillId="0" borderId="0" applyFont="0" applyFill="0" applyBorder="0" applyAlignment="0" applyProtection="0"/>
    <xf numFmtId="0" fontId="9" fillId="2" borderId="0" applyNumberFormat="0" applyBorder="0" applyAlignment="0" applyProtection="0"/>
    <xf numFmtId="0" fontId="16" fillId="0" borderId="0"/>
    <xf numFmtId="0" fontId="24" fillId="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" borderId="0" applyNumberFormat="0" applyBorder="0" applyAlignment="0" applyProtection="0"/>
    <xf numFmtId="0" fontId="16" fillId="0" borderId="0"/>
    <xf numFmtId="0" fontId="27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8" fillId="5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6" borderId="0" applyNumberFormat="0" applyBorder="0" applyAlignment="0" applyProtection="0"/>
    <xf numFmtId="0" fontId="28" fillId="10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9" fillId="7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4" borderId="0" applyNumberFormat="0" applyBorder="0" applyAlignment="0" applyProtection="0"/>
    <xf numFmtId="0" fontId="29" fillId="8" borderId="0" applyNumberFormat="0" applyBorder="0" applyAlignment="0" applyProtection="0"/>
    <xf numFmtId="0" fontId="29" fillId="12" borderId="0" applyNumberFormat="0" applyBorder="0" applyAlignment="0" applyProtection="0"/>
    <xf numFmtId="0" fontId="29" fillId="16" borderId="0" applyNumberFormat="0" applyBorder="0" applyAlignment="0" applyProtection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0" fontId="31" fillId="30" borderId="23" applyNumberFormat="0" applyAlignment="0" applyProtection="0"/>
    <xf numFmtId="0" fontId="32" fillId="31" borderId="26" applyNumberFormat="0" applyAlignment="0" applyProtection="0"/>
    <xf numFmtId="0" fontId="33" fillId="0" borderId="0" applyNumberFormat="0" applyFill="0" applyBorder="0" applyAlignment="0" applyProtection="0"/>
    <xf numFmtId="0" fontId="34" fillId="3" borderId="0" applyNumberFormat="0" applyBorder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7" fillId="0" borderId="22" applyNumberFormat="0" applyFill="0" applyAlignment="0" applyProtection="0"/>
    <xf numFmtId="0" fontId="37" fillId="0" borderId="0" applyNumberFormat="0" applyFill="0" applyBorder="0" applyAlignment="0" applyProtection="0"/>
    <xf numFmtId="0" fontId="38" fillId="29" borderId="23" applyNumberFormat="0" applyAlignment="0" applyProtection="0"/>
    <xf numFmtId="0" fontId="39" fillId="0" borderId="25" applyNumberFormat="0" applyFill="0" applyAlignment="0" applyProtection="0"/>
    <xf numFmtId="0" fontId="40" fillId="28" borderId="0" applyNumberFormat="0" applyBorder="0" applyAlignment="0" applyProtection="0"/>
    <xf numFmtId="0" fontId="28" fillId="32" borderId="27" applyNumberFormat="0" applyFont="0" applyAlignment="0" applyProtection="0"/>
    <xf numFmtId="0" fontId="41" fillId="30" borderId="24" applyNumberFormat="0" applyAlignment="0" applyProtection="0"/>
    <xf numFmtId="0" fontId="42" fillId="0" borderId="0" applyNumberFormat="0" applyFill="0" applyBorder="0" applyAlignment="0" applyProtection="0"/>
    <xf numFmtId="0" fontId="43" fillId="0" borderId="28" applyNumberFormat="0" applyFill="0" applyAlignment="0" applyProtection="0"/>
    <xf numFmtId="0" fontId="44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6" fillId="2" borderId="0" applyNumberFormat="0" applyBorder="0" applyAlignment="0" applyProtection="0"/>
    <xf numFmtId="0" fontId="24" fillId="5" borderId="0" applyNumberFormat="0" applyBorder="0" applyAlignment="0" applyProtection="0"/>
    <xf numFmtId="0" fontId="24" fillId="32" borderId="27" applyNumberFormat="0" applyFont="0" applyAlignment="0" applyProtection="0"/>
    <xf numFmtId="0" fontId="24" fillId="6" borderId="0" applyNumberFormat="0" applyBorder="0" applyAlignment="0" applyProtection="0"/>
    <xf numFmtId="0" fontId="27" fillId="3" borderId="0" applyNumberFormat="0" applyBorder="0" applyAlignment="0" applyProtection="0"/>
    <xf numFmtId="0" fontId="30" fillId="2" borderId="0" applyNumberFormat="0" applyBorder="0" applyAlignment="0" applyProtection="0"/>
    <xf numFmtId="0" fontId="25" fillId="24" borderId="0" applyNumberFormat="0" applyBorder="0" applyAlignment="0" applyProtection="0"/>
    <xf numFmtId="0" fontId="25" fillId="20" borderId="0" applyNumberFormat="0" applyBorder="0" applyAlignment="0" applyProtection="0"/>
    <xf numFmtId="0" fontId="25" fillId="16" borderId="0" applyNumberFormat="0" applyBorder="0" applyAlignment="0" applyProtection="0"/>
    <xf numFmtId="0" fontId="25" fillId="12" borderId="0" applyNumberFormat="0" applyBorder="0" applyAlignment="0" applyProtection="0"/>
    <xf numFmtId="0" fontId="25" fillId="8" borderId="0" applyNumberFormat="0" applyBorder="0" applyAlignment="0" applyProtection="0"/>
    <xf numFmtId="0" fontId="25" fillId="7" borderId="0" applyNumberFormat="0" applyBorder="0" applyAlignment="0" applyProtection="0"/>
    <xf numFmtId="0" fontId="24" fillId="26" borderId="0" applyNumberFormat="0" applyBorder="0" applyAlignment="0" applyProtection="0"/>
    <xf numFmtId="0" fontId="24" fillId="22" borderId="0" applyNumberFormat="0" applyBorder="0" applyAlignment="0" applyProtection="0"/>
    <xf numFmtId="0" fontId="24" fillId="18" borderId="0" applyNumberFormat="0" applyBorder="0" applyAlignment="0" applyProtection="0"/>
    <xf numFmtId="0" fontId="24" fillId="14" borderId="0" applyNumberFormat="0" applyBorder="0" applyAlignment="0" applyProtection="0"/>
    <xf numFmtId="0" fontId="24" fillId="10" borderId="0" applyNumberFormat="0" applyBorder="0" applyAlignment="0" applyProtection="0"/>
    <xf numFmtId="0" fontId="9" fillId="2" borderId="0" applyNumberFormat="0" applyBorder="0" applyAlignment="0" applyProtection="0"/>
    <xf numFmtId="0" fontId="25" fillId="16" borderId="0" applyNumberFormat="0" applyBorder="0" applyAlignment="0" applyProtection="0"/>
    <xf numFmtId="0" fontId="24" fillId="26" borderId="0" applyNumberFormat="0" applyBorder="0" applyAlignment="0" applyProtection="0"/>
    <xf numFmtId="0" fontId="24" fillId="5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6" borderId="0" applyNumberFormat="0" applyBorder="0" applyAlignment="0" applyProtection="0"/>
    <xf numFmtId="0" fontId="24" fillId="10" borderId="0" applyNumberFormat="0" applyBorder="0" applyAlignment="0" applyProtection="0"/>
    <xf numFmtId="0" fontId="24" fillId="14" borderId="0" applyNumberFormat="0" applyBorder="0" applyAlignment="0" applyProtection="0"/>
    <xf numFmtId="0" fontId="24" fillId="18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25" fillId="7" borderId="0" applyNumberFormat="0" applyBorder="0" applyAlignment="0" applyProtection="0"/>
    <xf numFmtId="0" fontId="25" fillId="11" borderId="0" applyNumberFormat="0" applyBorder="0" applyAlignment="0" applyProtection="0"/>
    <xf numFmtId="0" fontId="25" fillId="15" borderId="0" applyNumberFormat="0" applyBorder="0" applyAlignment="0" applyProtection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5" fillId="4" borderId="0" applyNumberFormat="0" applyBorder="0" applyAlignment="0" applyProtection="0"/>
    <xf numFmtId="0" fontId="25" fillId="8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30" fillId="2" borderId="0" applyNumberFormat="0" applyBorder="0" applyAlignment="0" applyProtection="0"/>
    <xf numFmtId="0" fontId="27" fillId="3" borderId="0" applyNumberFormat="0" applyBorder="0" applyAlignment="0" applyProtection="0"/>
    <xf numFmtId="0" fontId="9" fillId="2" borderId="0" applyNumberFormat="0" applyBorder="0" applyAlignment="0" applyProtection="0"/>
    <xf numFmtId="0" fontId="24" fillId="21" borderId="0" applyNumberFormat="0" applyBorder="0" applyAlignment="0" applyProtection="0"/>
    <xf numFmtId="0" fontId="25" fillId="20" borderId="0" applyNumberFormat="0" applyBorder="0" applyAlignment="0" applyProtection="0"/>
    <xf numFmtId="0" fontId="9" fillId="2" borderId="0" applyNumberFormat="0" applyBorder="0" applyAlignment="0" applyProtection="0"/>
    <xf numFmtId="0" fontId="24" fillId="32" borderId="27" applyNumberFormat="0" applyFont="0" applyAlignment="0" applyProtection="0"/>
    <xf numFmtId="0" fontId="24" fillId="17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25" fillId="19" borderId="0" applyNumberFormat="0" applyBorder="0" applyAlignment="0" applyProtection="0"/>
    <xf numFmtId="0" fontId="27" fillId="3" borderId="0" applyNumberFormat="0" applyBorder="0" applyAlignment="0" applyProtection="0"/>
    <xf numFmtId="0" fontId="30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27" borderId="0" applyNumberFormat="0" applyBorder="0" applyAlignment="0" applyProtection="0"/>
    <xf numFmtId="0" fontId="25" fillId="23" borderId="0" applyNumberFormat="0" applyBorder="0" applyAlignment="0" applyProtection="0"/>
    <xf numFmtId="0" fontId="25" fillId="19" borderId="0" applyNumberFormat="0" applyBorder="0" applyAlignment="0" applyProtection="0"/>
    <xf numFmtId="0" fontId="25" fillId="15" borderId="0" applyNumberFormat="0" applyBorder="0" applyAlignment="0" applyProtection="0"/>
    <xf numFmtId="0" fontId="25" fillId="11" borderId="0" applyNumberFormat="0" applyBorder="0" applyAlignment="0" applyProtection="0"/>
    <xf numFmtId="0" fontId="24" fillId="6" borderId="0" applyNumberFormat="0" applyBorder="0" applyAlignment="0" applyProtection="0"/>
    <xf numFmtId="0" fontId="24" fillId="25" borderId="0" applyNumberFormat="0" applyBorder="0" applyAlignment="0" applyProtection="0"/>
    <xf numFmtId="0" fontId="24" fillId="21" borderId="0" applyNumberFormat="0" applyBorder="0" applyAlignment="0" applyProtection="0"/>
    <xf numFmtId="0" fontId="24" fillId="17" borderId="0" applyNumberFormat="0" applyBorder="0" applyAlignment="0" applyProtection="0"/>
    <xf numFmtId="0" fontId="24" fillId="13" borderId="0" applyNumberFormat="0" applyBorder="0" applyAlignment="0" applyProtection="0"/>
    <xf numFmtId="0" fontId="24" fillId="9" borderId="0" applyNumberFormat="0" applyBorder="0" applyAlignment="0" applyProtection="0"/>
    <xf numFmtId="0" fontId="24" fillId="0" borderId="0"/>
    <xf numFmtId="9" fontId="16" fillId="0" borderId="0" applyFont="0" applyFill="0" applyBorder="0" applyAlignment="0" applyProtection="0"/>
    <xf numFmtId="0" fontId="55" fillId="2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0" fontId="57" fillId="0" borderId="0"/>
    <xf numFmtId="0" fontId="1" fillId="0" borderId="0">
      <alignment vertical="center"/>
    </xf>
    <xf numFmtId="0" fontId="4" fillId="0" borderId="0"/>
    <xf numFmtId="0" fontId="9" fillId="2" borderId="0" applyNumberFormat="0" applyBorder="0" applyAlignment="0" applyProtection="0"/>
    <xf numFmtId="0" fontId="57" fillId="5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6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6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3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60" fillId="0" borderId="0">
      <alignment vertical="center"/>
    </xf>
    <xf numFmtId="0" fontId="24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60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55" fillId="2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0" fontId="57" fillId="5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0" borderId="0">
      <alignment vertical="center"/>
    </xf>
    <xf numFmtId="0" fontId="58" fillId="4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6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6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1" fillId="0" borderId="0">
      <alignment vertical="center"/>
    </xf>
    <xf numFmtId="0" fontId="9" fillId="2" borderId="0" applyNumberFormat="0" applyBorder="0" applyAlignment="0" applyProtection="0"/>
    <xf numFmtId="0" fontId="24" fillId="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5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43" fontId="24" fillId="0" borderId="0" applyFont="0" applyFill="0" applyBorder="0" applyAlignment="0" applyProtection="0">
      <alignment vertical="center"/>
    </xf>
    <xf numFmtId="0" fontId="61" fillId="0" borderId="0"/>
    <xf numFmtId="0" fontId="61" fillId="5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3" fillId="2" borderId="0" applyNumberFormat="0" applyBorder="0" applyAlignment="0" applyProtection="0"/>
    <xf numFmtId="0" fontId="64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1" fillId="5" borderId="0" applyNumberFormat="0" applyBorder="0" applyAlignment="0" applyProtection="0"/>
    <xf numFmtId="0" fontId="61" fillId="9" borderId="0" applyNumberFormat="0" applyBorder="0" applyAlignment="0" applyProtection="0"/>
    <xf numFmtId="0" fontId="61" fillId="13" borderId="0" applyNumberFormat="0" applyBorder="0" applyAlignment="0" applyProtection="0"/>
    <xf numFmtId="0" fontId="61" fillId="17" borderId="0" applyNumberFormat="0" applyBorder="0" applyAlignment="0" applyProtection="0"/>
    <xf numFmtId="0" fontId="61" fillId="21" borderId="0" applyNumberFormat="0" applyBorder="0" applyAlignment="0" applyProtection="0"/>
    <xf numFmtId="0" fontId="61" fillId="25" borderId="0" applyNumberFormat="0" applyBorder="0" applyAlignment="0" applyProtection="0"/>
    <xf numFmtId="0" fontId="61" fillId="6" borderId="0" applyNumberFormat="0" applyBorder="0" applyAlignment="0" applyProtection="0"/>
    <xf numFmtId="0" fontId="61" fillId="10" borderId="0" applyNumberFormat="0" applyBorder="0" applyAlignment="0" applyProtection="0"/>
    <xf numFmtId="0" fontId="61" fillId="14" borderId="0" applyNumberFormat="0" applyBorder="0" applyAlignment="0" applyProtection="0"/>
    <xf numFmtId="0" fontId="61" fillId="18" borderId="0" applyNumberFormat="0" applyBorder="0" applyAlignment="0" applyProtection="0"/>
    <xf numFmtId="0" fontId="61" fillId="22" borderId="0" applyNumberFormat="0" applyBorder="0" applyAlignment="0" applyProtection="0"/>
    <xf numFmtId="0" fontId="61" fillId="26" borderId="0" applyNumberFormat="0" applyBorder="0" applyAlignment="0" applyProtection="0"/>
    <xf numFmtId="0" fontId="62" fillId="7" borderId="0" applyNumberFormat="0" applyBorder="0" applyAlignment="0" applyProtection="0"/>
    <xf numFmtId="0" fontId="62" fillId="11" borderId="0" applyNumberFormat="0" applyBorder="0" applyAlignment="0" applyProtection="0"/>
    <xf numFmtId="0" fontId="62" fillId="15" borderId="0" applyNumberFormat="0" applyBorder="0" applyAlignment="0" applyProtection="0"/>
    <xf numFmtId="0" fontId="62" fillId="19" borderId="0" applyNumberFormat="0" applyBorder="0" applyAlignment="0" applyProtection="0"/>
    <xf numFmtId="0" fontId="62" fillId="23" borderId="0" applyNumberFormat="0" applyBorder="0" applyAlignment="0" applyProtection="0"/>
    <xf numFmtId="0" fontId="62" fillId="27" borderId="0" applyNumberFormat="0" applyBorder="0" applyAlignment="0" applyProtection="0"/>
    <xf numFmtId="0" fontId="62" fillId="4" borderId="0" applyNumberFormat="0" applyBorder="0" applyAlignment="0" applyProtection="0"/>
    <xf numFmtId="0" fontId="62" fillId="8" borderId="0" applyNumberFormat="0" applyBorder="0" applyAlignment="0" applyProtection="0"/>
    <xf numFmtId="0" fontId="62" fillId="12" borderId="0" applyNumberFormat="0" applyBorder="0" applyAlignment="0" applyProtection="0"/>
    <xf numFmtId="0" fontId="62" fillId="16" borderId="0" applyNumberFormat="0" applyBorder="0" applyAlignment="0" applyProtection="0"/>
    <xf numFmtId="0" fontId="62" fillId="20" borderId="0" applyNumberFormat="0" applyBorder="0" applyAlignment="0" applyProtection="0"/>
    <xf numFmtId="0" fontId="62" fillId="24" borderId="0" applyNumberFormat="0" applyBorder="0" applyAlignment="0" applyProtection="0"/>
    <xf numFmtId="0" fontId="65" fillId="2" borderId="0" applyNumberFormat="0" applyBorder="0" applyAlignment="0" applyProtection="0"/>
    <xf numFmtId="0" fontId="66" fillId="30" borderId="23" applyNumberFormat="0" applyAlignment="0" applyProtection="0"/>
    <xf numFmtId="0" fontId="67" fillId="31" borderId="26" applyNumberFormat="0" applyAlignment="0" applyProtection="0"/>
    <xf numFmtId="0" fontId="68" fillId="0" borderId="0" applyNumberFormat="0" applyFill="0" applyBorder="0" applyAlignment="0" applyProtection="0"/>
    <xf numFmtId="0" fontId="64" fillId="3" borderId="0" applyNumberFormat="0" applyBorder="0" applyAlignment="0" applyProtection="0"/>
    <xf numFmtId="0" fontId="69" fillId="0" borderId="20" applyNumberFormat="0" applyFill="0" applyAlignment="0" applyProtection="0"/>
    <xf numFmtId="0" fontId="70" fillId="0" borderId="21" applyNumberFormat="0" applyFill="0" applyAlignment="0" applyProtection="0"/>
    <xf numFmtId="0" fontId="71" fillId="0" borderId="22" applyNumberFormat="0" applyFill="0" applyAlignment="0" applyProtection="0"/>
    <xf numFmtId="0" fontId="71" fillId="0" borderId="0" applyNumberFormat="0" applyFill="0" applyBorder="0" applyAlignment="0" applyProtection="0"/>
    <xf numFmtId="0" fontId="72" fillId="29" borderId="23" applyNumberFormat="0" applyAlignment="0" applyProtection="0"/>
    <xf numFmtId="0" fontId="73" fillId="0" borderId="25" applyNumberFormat="0" applyFill="0" applyAlignment="0" applyProtection="0"/>
    <xf numFmtId="0" fontId="74" fillId="28" borderId="0" applyNumberFormat="0" applyBorder="0" applyAlignment="0" applyProtection="0"/>
    <xf numFmtId="0" fontId="61" fillId="32" borderId="27" applyNumberFormat="0" applyFont="0" applyAlignment="0" applyProtection="0"/>
    <xf numFmtId="0" fontId="75" fillId="30" borderId="24" applyNumberFormat="0" applyAlignment="0" applyProtection="0"/>
    <xf numFmtId="0" fontId="76" fillId="0" borderId="0" applyNumberFormat="0" applyFill="0" applyBorder="0" applyAlignment="0" applyProtection="0"/>
    <xf numFmtId="0" fontId="77" fillId="0" borderId="28" applyNumberFormat="0" applyFill="0" applyAlignment="0" applyProtection="0"/>
    <xf numFmtId="0" fontId="78" fillId="0" borderId="0" applyNumberFormat="0" applyFill="0" applyBorder="0" applyAlignment="0" applyProtection="0"/>
    <xf numFmtId="0" fontId="63" fillId="2" borderId="0" applyNumberFormat="0" applyBorder="0" applyAlignment="0" applyProtection="0"/>
    <xf numFmtId="0" fontId="64" fillId="3" borderId="0" applyNumberFormat="0" applyBorder="0" applyAlignment="0" applyProtection="0">
      <alignment vertical="center"/>
    </xf>
    <xf numFmtId="0" fontId="63" fillId="2" borderId="0" applyNumberFormat="0" applyBorder="0" applyAlignment="0" applyProtection="0"/>
    <xf numFmtId="0" fontId="30" fillId="2" borderId="0" applyNumberFormat="0" applyBorder="0" applyAlignment="0" applyProtection="0"/>
    <xf numFmtId="0" fontId="31" fillId="30" borderId="23" applyNumberFormat="0" applyAlignment="0" applyProtection="0"/>
    <xf numFmtId="0" fontId="32" fillId="31" borderId="26" applyNumberFormat="0" applyAlignment="0" applyProtection="0"/>
    <xf numFmtId="0" fontId="33" fillId="0" borderId="0" applyNumberFormat="0" applyFill="0" applyBorder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7" fillId="0" borderId="22" applyNumberFormat="0" applyFill="0" applyAlignment="0" applyProtection="0"/>
    <xf numFmtId="0" fontId="37" fillId="0" borderId="0" applyNumberFormat="0" applyFill="0" applyBorder="0" applyAlignment="0" applyProtection="0"/>
    <xf numFmtId="0" fontId="38" fillId="29" borderId="23" applyNumberFormat="0" applyAlignment="0" applyProtection="0"/>
    <xf numFmtId="0" fontId="39" fillId="0" borderId="25" applyNumberFormat="0" applyFill="0" applyAlignment="0" applyProtection="0"/>
    <xf numFmtId="0" fontId="40" fillId="28" borderId="0" applyNumberFormat="0" applyBorder="0" applyAlignment="0" applyProtection="0"/>
    <xf numFmtId="0" fontId="41" fillId="30" borderId="24" applyNumberFormat="0" applyAlignment="0" applyProtection="0"/>
    <xf numFmtId="0" fontId="42" fillId="0" borderId="0" applyNumberFormat="0" applyFill="0" applyBorder="0" applyAlignment="0" applyProtection="0"/>
    <xf numFmtId="0" fontId="43" fillId="0" borderId="28" applyNumberFormat="0" applyFill="0" applyAlignment="0" applyProtection="0"/>
    <xf numFmtId="0" fontId="44" fillId="0" borderId="0" applyNumberFormat="0" applyFill="0" applyBorder="0" applyAlignment="0" applyProtection="0"/>
    <xf numFmtId="0" fontId="30" fillId="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4" fillId="0" borderId="0"/>
    <xf numFmtId="0" fontId="24" fillId="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5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6" borderId="0" applyNumberFormat="0" applyBorder="0" applyAlignment="0" applyProtection="0"/>
    <xf numFmtId="0" fontId="24" fillId="10" borderId="0" applyNumberFormat="0" applyBorder="0" applyAlignment="0" applyProtection="0"/>
    <xf numFmtId="0" fontId="24" fillId="14" borderId="0" applyNumberFormat="0" applyBorder="0" applyAlignment="0" applyProtection="0"/>
    <xf numFmtId="0" fontId="24" fillId="18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30" fillId="2" borderId="0" applyNumberFormat="0" applyBorder="0" applyAlignment="0" applyProtection="0"/>
    <xf numFmtId="0" fontId="24" fillId="32" borderId="27" applyNumberFormat="0" applyFont="0" applyAlignment="0" applyProtection="0"/>
    <xf numFmtId="0" fontId="24" fillId="5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6" borderId="0" applyNumberFormat="0" applyBorder="0" applyAlignment="0" applyProtection="0"/>
    <xf numFmtId="0" fontId="24" fillId="10" borderId="0" applyNumberFormat="0" applyBorder="0" applyAlignment="0" applyProtection="0"/>
    <xf numFmtId="0" fontId="24" fillId="14" borderId="0" applyNumberFormat="0" applyBorder="0" applyAlignment="0" applyProtection="0"/>
    <xf numFmtId="0" fontId="24" fillId="18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24" fillId="32" borderId="27" applyNumberFormat="0" applyFont="0" applyAlignment="0" applyProtection="0"/>
    <xf numFmtId="9" fontId="24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/>
    <xf numFmtId="0" fontId="25" fillId="20" borderId="0" applyNumberFormat="0" applyBorder="0" applyAlignment="0" applyProtection="0"/>
    <xf numFmtId="0" fontId="9" fillId="2" borderId="0" applyNumberFormat="0" applyBorder="0" applyAlignment="0" applyProtection="0"/>
    <xf numFmtId="0" fontId="24" fillId="10" borderId="0" applyNumberFormat="0" applyBorder="0" applyAlignment="0" applyProtection="0"/>
    <xf numFmtId="0" fontId="25" fillId="27" borderId="0" applyNumberFormat="0" applyBorder="0" applyAlignment="0" applyProtection="0"/>
    <xf numFmtId="0" fontId="25" fillId="7" borderId="0" applyNumberFormat="0" applyBorder="0" applyAlignment="0" applyProtection="0"/>
    <xf numFmtId="0" fontId="24" fillId="6" borderId="0" applyNumberFormat="0" applyBorder="0" applyAlignment="0" applyProtection="0"/>
    <xf numFmtId="0" fontId="24" fillId="17" borderId="0" applyNumberFormat="0" applyBorder="0" applyAlignment="0" applyProtection="0"/>
    <xf numFmtId="0" fontId="24" fillId="9" borderId="0" applyNumberFormat="0" applyBorder="0" applyAlignment="0" applyProtection="0"/>
    <xf numFmtId="0" fontId="9" fillId="2" borderId="0" applyNumberFormat="0" applyBorder="0" applyAlignment="0" applyProtection="0"/>
    <xf numFmtId="0" fontId="24" fillId="32" borderId="27" applyNumberFormat="0" applyFont="0" applyAlignment="0" applyProtection="0"/>
    <xf numFmtId="0" fontId="30" fillId="2" borderId="0" applyNumberFormat="0" applyBorder="0" applyAlignment="0" applyProtection="0"/>
    <xf numFmtId="0" fontId="25" fillId="15" borderId="0" applyNumberFormat="0" applyBorder="0" applyAlignment="0" applyProtection="0"/>
    <xf numFmtId="0" fontId="24" fillId="5" borderId="0" applyNumberFormat="0" applyBorder="0" applyAlignment="0" applyProtection="0"/>
    <xf numFmtId="0" fontId="25" fillId="12" borderId="0" applyNumberFormat="0" applyBorder="0" applyAlignment="0" applyProtection="0"/>
    <xf numFmtId="0" fontId="25" fillId="8" borderId="0" applyNumberFormat="0" applyBorder="0" applyAlignment="0" applyProtection="0"/>
    <xf numFmtId="0" fontId="25" fillId="4" borderId="0" applyNumberFormat="0" applyBorder="0" applyAlignment="0" applyProtection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4" fillId="18" borderId="0" applyNumberFormat="0" applyBorder="0" applyAlignment="0" applyProtection="0"/>
    <xf numFmtId="0" fontId="24" fillId="26" borderId="0" applyNumberFormat="0" applyBorder="0" applyAlignment="0" applyProtection="0"/>
    <xf numFmtId="0" fontId="24" fillId="22" borderId="0" applyNumberFormat="0" applyBorder="0" applyAlignment="0" applyProtection="0"/>
    <xf numFmtId="0" fontId="24" fillId="25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25" borderId="0" applyNumberFormat="0" applyBorder="0" applyAlignment="0" applyProtection="0"/>
    <xf numFmtId="0" fontId="24" fillId="14" borderId="0" applyNumberFormat="0" applyBorder="0" applyAlignment="0" applyProtection="0"/>
    <xf numFmtId="0" fontId="9" fillId="2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7" fillId="3" borderId="0" applyNumberFormat="0" applyBorder="0" applyAlignment="0" applyProtection="0"/>
    <xf numFmtId="0" fontId="9" fillId="2" borderId="0" applyNumberFormat="0" applyBorder="0" applyAlignment="0" applyProtection="0"/>
    <xf numFmtId="0" fontId="30" fillId="2" borderId="0" applyNumberFormat="0" applyBorder="0" applyAlignment="0" applyProtection="0"/>
    <xf numFmtId="0" fontId="9" fillId="2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5" fillId="8" borderId="0" applyNumberFormat="0" applyBorder="0" applyAlignment="0" applyProtection="0"/>
    <xf numFmtId="0" fontId="9" fillId="2" borderId="0" applyNumberFormat="0" applyBorder="0" applyAlignment="0" applyProtection="0"/>
    <xf numFmtId="0" fontId="25" fillId="24" borderId="0" applyNumberFormat="0" applyBorder="0" applyAlignment="0" applyProtection="0"/>
    <xf numFmtId="0" fontId="9" fillId="2" borderId="0" applyNumberFormat="0" applyBorder="0" applyAlignment="0" applyProtection="0"/>
    <xf numFmtId="0" fontId="24" fillId="22" borderId="0" applyNumberFormat="0" applyBorder="0" applyAlignment="0" applyProtection="0"/>
    <xf numFmtId="0" fontId="9" fillId="2" borderId="0" applyNumberFormat="0" applyBorder="0" applyAlignment="0" applyProtection="0"/>
    <xf numFmtId="0" fontId="25" fillId="11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15" borderId="0" applyNumberFormat="0" applyBorder="0" applyAlignment="0" applyProtection="0"/>
    <xf numFmtId="0" fontId="24" fillId="9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4" fillId="32" borderId="27" applyNumberFormat="0" applyFont="0" applyAlignment="0" applyProtection="0"/>
    <xf numFmtId="0" fontId="30" fillId="2" borderId="0" applyNumberFormat="0" applyBorder="0" applyAlignment="0" applyProtection="0"/>
    <xf numFmtId="0" fontId="25" fillId="7" borderId="0" applyNumberFormat="0" applyBorder="0" applyAlignment="0" applyProtection="0"/>
    <xf numFmtId="0" fontId="25" fillId="27" borderId="0" applyNumberFormat="0" applyBorder="0" applyAlignment="0" applyProtection="0"/>
    <xf numFmtId="0" fontId="24" fillId="21" borderId="0" applyNumberFormat="0" applyBorder="0" applyAlignment="0" applyProtection="0"/>
    <xf numFmtId="0" fontId="30" fillId="2" borderId="0" applyNumberFormat="0" applyBorder="0" applyAlignment="0" applyProtection="0"/>
    <xf numFmtId="0" fontId="25" fillId="4" borderId="0" applyNumberFormat="0" applyBorder="0" applyAlignment="0" applyProtection="0"/>
    <xf numFmtId="0" fontId="4" fillId="0" borderId="0"/>
    <xf numFmtId="43" fontId="24" fillId="0" borderId="0" applyFont="0" applyFill="0" applyBorder="0" applyAlignment="0" applyProtection="0">
      <alignment vertical="center"/>
    </xf>
  </cellStyleXfs>
  <cellXfs count="183">
    <xf numFmtId="0" fontId="0" fillId="0" borderId="0" xfId="0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1" fillId="0" borderId="0" xfId="0" applyFont="1"/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justify"/>
    </xf>
    <xf numFmtId="0" fontId="17" fillId="0" borderId="0" xfId="0" applyFont="1"/>
    <xf numFmtId="0" fontId="14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14" fontId="14" fillId="0" borderId="0" xfId="0" applyNumberFormat="1" applyFont="1"/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0" fontId="11" fillId="0" borderId="0" xfId="0" applyFont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48" fillId="0" borderId="1" xfId="0" applyFont="1" applyBorder="1" applyAlignment="1">
      <alignment horizontal="center" vertical="center" wrapText="1"/>
    </xf>
    <xf numFmtId="0" fontId="49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184" fontId="11" fillId="0" borderId="0" xfId="0" applyNumberFormat="1" applyFont="1" applyAlignment="1">
      <alignment horizontal="center" vertical="center"/>
    </xf>
    <xf numFmtId="177" fontId="14" fillId="0" borderId="0" xfId="0" applyNumberFormat="1" applyFont="1" applyAlignment="1">
      <alignment horizontal="left" vertical="center"/>
    </xf>
    <xf numFmtId="177" fontId="17" fillId="0" borderId="0" xfId="0" applyNumberFormat="1" applyFont="1"/>
    <xf numFmtId="177" fontId="11" fillId="0" borderId="0" xfId="0" applyNumberFormat="1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181" fontId="14" fillId="0" borderId="0" xfId="0" applyNumberFormat="1" applyFont="1" applyAlignment="1">
      <alignment horizontal="left" vertical="center"/>
    </xf>
    <xf numFmtId="181" fontId="50" fillId="0" borderId="0" xfId="0" applyNumberFormat="1" applyFont="1"/>
    <xf numFmtId="181" fontId="14" fillId="0" borderId="1" xfId="0" applyNumberFormat="1" applyFont="1" applyBorder="1" applyAlignment="1">
      <alignment horizontal="center" vertical="center" wrapText="1"/>
    </xf>
    <xf numFmtId="181" fontId="14" fillId="0" borderId="0" xfId="0" applyNumberFormat="1" applyFont="1" applyAlignment="1">
      <alignment horizontal="center" vertical="center" wrapText="1"/>
    </xf>
    <xf numFmtId="181" fontId="11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justify" wrapText="1"/>
    </xf>
    <xf numFmtId="0" fontId="6" fillId="0" borderId="1" xfId="0" applyFont="1" applyBorder="1" applyAlignment="1">
      <alignment horizontal="justify" wrapText="1"/>
    </xf>
    <xf numFmtId="10" fontId="14" fillId="0" borderId="1" xfId="0" applyNumberFormat="1" applyFont="1" applyBorder="1" applyAlignment="1">
      <alignment horizontal="justify" wrapText="1"/>
    </xf>
    <xf numFmtId="181" fontId="14" fillId="0" borderId="1" xfId="0" applyNumberFormat="1" applyFont="1" applyBorder="1" applyAlignment="1">
      <alignment horizontal="justify" wrapText="1"/>
    </xf>
    <xf numFmtId="0" fontId="14" fillId="0" borderId="1" xfId="0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0" fontId="81" fillId="0" borderId="31" xfId="0" applyFont="1" applyBorder="1" applyAlignment="1">
      <alignment horizontal="justify" wrapText="1"/>
    </xf>
    <xf numFmtId="0" fontId="14" fillId="0" borderId="1" xfId="0" applyFont="1" applyBorder="1" applyAlignment="1">
      <alignment vertical="center"/>
    </xf>
    <xf numFmtId="0" fontId="81" fillId="0" borderId="30" xfId="0" applyFont="1" applyBorder="1" applyAlignment="1">
      <alignment horizontal="justify" wrapText="1"/>
    </xf>
    <xf numFmtId="0" fontId="81" fillId="0" borderId="29" xfId="0" applyFont="1" applyBorder="1" applyAlignment="1">
      <alignment horizontal="justify" wrapText="1"/>
    </xf>
    <xf numFmtId="0" fontId="81" fillId="0" borderId="32" xfId="0" applyFont="1" applyBorder="1" applyAlignment="1">
      <alignment horizontal="justify" wrapText="1"/>
    </xf>
    <xf numFmtId="0" fontId="83" fillId="0" borderId="0" xfId="0" applyFont="1"/>
    <xf numFmtId="184" fontId="14" fillId="0" borderId="1" xfId="0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181" fontId="14" fillId="0" borderId="0" xfId="0" applyNumberFormat="1" applyFont="1" applyAlignment="1">
      <alignment horizontal="left" vertical="center" wrapText="1"/>
    </xf>
    <xf numFmtId="0" fontId="84" fillId="0" borderId="0" xfId="0" applyFont="1"/>
    <xf numFmtId="177" fontId="14" fillId="0" borderId="1" xfId="0" applyNumberFormat="1" applyFont="1" applyBorder="1" applyAlignment="1">
      <alignment horizontal="center" vertical="center" wrapText="1"/>
    </xf>
    <xf numFmtId="184" fontId="14" fillId="0" borderId="1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wrapText="1"/>
    </xf>
    <xf numFmtId="0" fontId="81" fillId="0" borderId="33" xfId="0" applyFont="1" applyBorder="1" applyAlignment="1">
      <alignment horizontal="justify" wrapText="1"/>
    </xf>
    <xf numFmtId="184" fontId="18" fillId="0" borderId="1" xfId="0" applyNumberFormat="1" applyFont="1" applyBorder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5" fontId="0" fillId="0" borderId="0" xfId="0" applyNumberFormat="1"/>
    <xf numFmtId="186" fontId="18" fillId="0" borderId="1" xfId="0" applyNumberFormat="1" applyFont="1" applyBorder="1" applyAlignment="1">
      <alignment horizontal="center" vertical="center"/>
    </xf>
    <xf numFmtId="184" fontId="14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81" fontId="7" fillId="0" borderId="1" xfId="0" applyNumberFormat="1" applyFont="1" applyBorder="1" applyAlignment="1">
      <alignment horizontal="justify" vertical="center" wrapText="1"/>
    </xf>
    <xf numFmtId="177" fontId="14" fillId="0" borderId="1" xfId="0" applyNumberFormat="1" applyFont="1" applyBorder="1" applyAlignment="1">
      <alignment horizontal="center" vertical="center"/>
    </xf>
    <xf numFmtId="180" fontId="18" fillId="0" borderId="1" xfId="0" applyNumberFormat="1" applyFont="1" applyBorder="1" applyAlignment="1">
      <alignment horizontal="center" vertical="center"/>
    </xf>
    <xf numFmtId="0" fontId="81" fillId="0" borderId="34" xfId="0" applyFont="1" applyBorder="1" applyAlignment="1">
      <alignment horizontal="justify" wrapText="1"/>
    </xf>
    <xf numFmtId="185" fontId="18" fillId="0" borderId="1" xfId="0" applyNumberFormat="1" applyFont="1" applyBorder="1" applyAlignment="1">
      <alignment horizontal="center" vertical="center"/>
    </xf>
    <xf numFmtId="0" fontId="51" fillId="0" borderId="1" xfId="0" applyFont="1" applyBorder="1" applyAlignment="1">
      <alignment horizontal="justify" vertical="center" wrapText="1"/>
    </xf>
    <xf numFmtId="179" fontId="14" fillId="0" borderId="1" xfId="0" applyNumberFormat="1" applyFont="1" applyBorder="1" applyAlignment="1">
      <alignment horizontal="center" vertical="center" wrapText="1"/>
    </xf>
    <xf numFmtId="18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183" fontId="1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187" fontId="14" fillId="0" borderId="0" xfId="0" applyNumberFormat="1" applyFont="1" applyAlignment="1">
      <alignment horizontal="left" vertical="center"/>
    </xf>
    <xf numFmtId="0" fontId="45" fillId="0" borderId="0" xfId="0" applyFont="1"/>
    <xf numFmtId="188" fontId="14" fillId="0" borderId="0" xfId="0" applyNumberFormat="1" applyFont="1" applyAlignment="1">
      <alignment horizontal="left" vertical="center"/>
    </xf>
    <xf numFmtId="178" fontId="18" fillId="0" borderId="1" xfId="0" applyNumberFormat="1" applyFont="1" applyBorder="1" applyAlignment="1">
      <alignment horizontal="center" vertical="center" wrapText="1"/>
    </xf>
    <xf numFmtId="176" fontId="18" fillId="0" borderId="1" xfId="0" applyNumberFormat="1" applyFont="1" applyBorder="1" applyAlignment="1">
      <alignment horizontal="center" vertical="center" wrapText="1"/>
    </xf>
    <xf numFmtId="0" fontId="45" fillId="0" borderId="0" xfId="0" applyFont="1" applyAlignment="1">
      <alignment horizontal="left"/>
    </xf>
    <xf numFmtId="0" fontId="14" fillId="0" borderId="7" xfId="0" applyFont="1" applyBorder="1"/>
    <xf numFmtId="1" fontId="7" fillId="0" borderId="0" xfId="0" applyNumberFormat="1" applyFont="1" applyAlignment="1">
      <alignment horizontal="center"/>
    </xf>
    <xf numFmtId="184" fontId="14" fillId="0" borderId="4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justify" vertical="center" wrapText="1"/>
    </xf>
    <xf numFmtId="0" fontId="45" fillId="0" borderId="1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justify" vertical="center" wrapText="1"/>
    </xf>
    <xf numFmtId="0" fontId="48" fillId="0" borderId="2" xfId="0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8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182" fontId="14" fillId="0" borderId="2" xfId="0" applyNumberFormat="1" applyFont="1" applyBorder="1" applyAlignment="1">
      <alignment horizontal="center" vertical="center" wrapText="1"/>
    </xf>
    <xf numFmtId="182" fontId="14" fillId="0" borderId="3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181" fontId="14" fillId="0" borderId="2" xfId="0" applyNumberFormat="1" applyFont="1" applyBorder="1" applyAlignment="1">
      <alignment horizontal="center" vertical="center"/>
    </xf>
    <xf numFmtId="181" fontId="14" fillId="0" borderId="3" xfId="0" applyNumberFormat="1" applyFont="1" applyBorder="1" applyAlignment="1">
      <alignment horizontal="center" vertical="center"/>
    </xf>
    <xf numFmtId="181" fontId="14" fillId="0" borderId="1" xfId="0" applyNumberFormat="1" applyFont="1" applyBorder="1" applyAlignment="1">
      <alignment horizontal="center" vertical="center"/>
    </xf>
    <xf numFmtId="177" fontId="14" fillId="0" borderId="10" xfId="0" applyNumberFormat="1" applyFont="1" applyBorder="1" applyAlignment="1">
      <alignment horizontal="center" vertical="center" wrapText="1"/>
    </xf>
    <xf numFmtId="177" fontId="14" fillId="0" borderId="11" xfId="0" applyNumberFormat="1" applyFont="1" applyBorder="1" applyAlignment="1">
      <alignment horizontal="center" vertical="center" wrapText="1"/>
    </xf>
    <xf numFmtId="177" fontId="14" fillId="0" borderId="12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81" fontId="7" fillId="0" borderId="2" xfId="0" applyNumberFormat="1" applyFont="1" applyBorder="1" applyAlignment="1">
      <alignment horizontal="center" vertical="center"/>
    </xf>
    <xf numFmtId="181" fontId="7" fillId="0" borderId="9" xfId="0" applyNumberFormat="1" applyFont="1" applyBorder="1" applyAlignment="1">
      <alignment horizontal="center" vertical="center"/>
    </xf>
    <xf numFmtId="181" fontId="7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81" fontId="14" fillId="0" borderId="2" xfId="0" applyNumberFormat="1" applyFont="1" applyBorder="1" applyAlignment="1">
      <alignment horizontal="center" vertical="center" wrapText="1"/>
    </xf>
    <xf numFmtId="181" fontId="14" fillId="0" borderId="9" xfId="0" applyNumberFormat="1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85" fillId="0" borderId="13" xfId="0" applyFont="1" applyBorder="1" applyAlignment="1">
      <alignment horizontal="center" vertical="center" wrapText="1"/>
    </xf>
    <xf numFmtId="0" fontId="85" fillId="0" borderId="14" xfId="0" applyFont="1" applyBorder="1" applyAlignment="1">
      <alignment horizontal="center" vertical="center" wrapText="1"/>
    </xf>
    <xf numFmtId="0" fontId="85" fillId="0" borderId="15" xfId="0" applyFont="1" applyBorder="1" applyAlignment="1">
      <alignment horizontal="center" vertical="center" wrapText="1"/>
    </xf>
    <xf numFmtId="0" fontId="85" fillId="0" borderId="16" xfId="0" applyFont="1" applyBorder="1" applyAlignment="1">
      <alignment horizontal="center" vertical="center" wrapText="1"/>
    </xf>
    <xf numFmtId="0" fontId="85" fillId="0" borderId="17" xfId="0" applyFont="1" applyBorder="1" applyAlignment="1">
      <alignment horizontal="center" vertical="center" wrapText="1"/>
    </xf>
    <xf numFmtId="0" fontId="85" fillId="0" borderId="18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85" fillId="0" borderId="35" xfId="0" applyFont="1" applyBorder="1" applyAlignment="1">
      <alignment horizontal="center" vertical="center" wrapText="1"/>
    </xf>
    <xf numFmtId="0" fontId="85" fillId="0" borderId="36" xfId="0" applyFont="1" applyBorder="1" applyAlignment="1">
      <alignment horizontal="center" vertical="center" wrapText="1"/>
    </xf>
    <xf numFmtId="0" fontId="85" fillId="0" borderId="37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left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7" xfId="0" applyFont="1" applyBorder="1" applyAlignment="1">
      <alignment horizontal="left"/>
    </xf>
    <xf numFmtId="0" fontId="14" fillId="0" borderId="2" xfId="0" applyFont="1" applyBorder="1" applyAlignment="1">
      <alignment horizontal="center"/>
    </xf>
  </cellXfs>
  <cellStyles count="531">
    <cellStyle name="20% - Accent1" xfId="34" xr:uid="{00000000-0005-0000-0000-000000000000}"/>
    <cellStyle name="20% - Accent1 2" xfId="96" xr:uid="{00000000-0005-0000-0000-000001000000}"/>
    <cellStyle name="20% - Accent1 2 2" xfId="459" xr:uid="{00000000-0005-0000-0000-000002000000}"/>
    <cellStyle name="20% - Accent1 3" xfId="445" xr:uid="{00000000-0005-0000-0000-000003000000}"/>
    <cellStyle name="20% - Accent1 4" xfId="371" xr:uid="{00000000-0005-0000-0000-000004000000}"/>
    <cellStyle name="20% - Accent1 5" xfId="77" xr:uid="{00000000-0005-0000-0000-000005000000}"/>
    <cellStyle name="20% - Accent1 6" xfId="486" xr:uid="{00000000-0005-0000-0000-000006000000}"/>
    <cellStyle name="20% - Accent1 7" xfId="301" xr:uid="{00000000-0005-0000-0000-000007000000}"/>
    <cellStyle name="20% - Accent2" xfId="35" xr:uid="{00000000-0005-0000-0000-000008000000}"/>
    <cellStyle name="20% - Accent2 2" xfId="97" xr:uid="{00000000-0005-0000-0000-000009000000}"/>
    <cellStyle name="20% - Accent2 2 2" xfId="460" xr:uid="{00000000-0005-0000-0000-00000A000000}"/>
    <cellStyle name="20% - Accent2 3" xfId="446" xr:uid="{00000000-0005-0000-0000-00000B000000}"/>
    <cellStyle name="20% - Accent2 4" xfId="372" xr:uid="{00000000-0005-0000-0000-00000C000000}"/>
    <cellStyle name="20% - Accent2 5" xfId="145" xr:uid="{00000000-0005-0000-0000-00000D000000}"/>
    <cellStyle name="20% - Accent2 6" xfId="481" xr:uid="{00000000-0005-0000-0000-00000E000000}"/>
    <cellStyle name="20% - Accent2 7" xfId="519" xr:uid="{00000000-0005-0000-0000-00000F000000}"/>
    <cellStyle name="20% - Accent3" xfId="36" xr:uid="{00000000-0005-0000-0000-000010000000}"/>
    <cellStyle name="20% - Accent3 2" xfId="98" xr:uid="{00000000-0005-0000-0000-000011000000}"/>
    <cellStyle name="20% - Accent3 2 2" xfId="461" xr:uid="{00000000-0005-0000-0000-000012000000}"/>
    <cellStyle name="20% - Accent3 3" xfId="447" xr:uid="{00000000-0005-0000-0000-000013000000}"/>
    <cellStyle name="20% - Accent3 4" xfId="373" xr:uid="{00000000-0005-0000-0000-000014000000}"/>
    <cellStyle name="20% - Accent3 5" xfId="144" xr:uid="{00000000-0005-0000-0000-000015000000}"/>
    <cellStyle name="20% - Accent3 6" xfId="496" xr:uid="{00000000-0005-0000-0000-000016000000}"/>
    <cellStyle name="20% - Accent3 7" xfId="508" xr:uid="{00000000-0005-0000-0000-000017000000}"/>
    <cellStyle name="20% - Accent4" xfId="37" xr:uid="{00000000-0005-0000-0000-000018000000}"/>
    <cellStyle name="20% - Accent4 2" xfId="99" xr:uid="{00000000-0005-0000-0000-000019000000}"/>
    <cellStyle name="20% - Accent4 2 2" xfId="462" xr:uid="{00000000-0005-0000-0000-00001A000000}"/>
    <cellStyle name="20% - Accent4 3" xfId="448" xr:uid="{00000000-0005-0000-0000-00001B000000}"/>
    <cellStyle name="20% - Accent4 4" xfId="374" xr:uid="{00000000-0005-0000-0000-00001C000000}"/>
    <cellStyle name="20% - Accent4 5" xfId="143" xr:uid="{00000000-0005-0000-0000-00001D000000}"/>
    <cellStyle name="20% - Accent4 6" xfId="480" xr:uid="{00000000-0005-0000-0000-00001E000000}"/>
    <cellStyle name="20% - Accent4 7" xfId="127" xr:uid="{00000000-0005-0000-0000-00001F000000}"/>
    <cellStyle name="20% - Accent5" xfId="38" xr:uid="{00000000-0005-0000-0000-000020000000}"/>
    <cellStyle name="20% - Accent5 2" xfId="100" xr:uid="{00000000-0005-0000-0000-000021000000}"/>
    <cellStyle name="20% - Accent5 2 2" xfId="463" xr:uid="{00000000-0005-0000-0000-000022000000}"/>
    <cellStyle name="20% - Accent5 3" xfId="449" xr:uid="{00000000-0005-0000-0000-000023000000}"/>
    <cellStyle name="20% - Accent5 4" xfId="375" xr:uid="{00000000-0005-0000-0000-000024000000}"/>
    <cellStyle name="20% - Accent5 5" xfId="142" xr:uid="{00000000-0005-0000-0000-000025000000}"/>
    <cellStyle name="20% - Accent5 6" xfId="526" xr:uid="{00000000-0005-0000-0000-000026000000}"/>
    <cellStyle name="20% - Accent5 7" xfId="123" xr:uid="{00000000-0005-0000-0000-000027000000}"/>
    <cellStyle name="20% - Accent6" xfId="39" xr:uid="{00000000-0005-0000-0000-000028000000}"/>
    <cellStyle name="20% - Accent6 2" xfId="101" xr:uid="{00000000-0005-0000-0000-000029000000}"/>
    <cellStyle name="20% - Accent6 2 2" xfId="464" xr:uid="{00000000-0005-0000-0000-00002A000000}"/>
    <cellStyle name="20% - Accent6 3" xfId="450" xr:uid="{00000000-0005-0000-0000-00002B000000}"/>
    <cellStyle name="20% - Accent6 4" xfId="376" xr:uid="{00000000-0005-0000-0000-00002C000000}"/>
    <cellStyle name="20% - Accent6 5" xfId="141" xr:uid="{00000000-0005-0000-0000-00002D000000}"/>
    <cellStyle name="20% - Accent6 6" xfId="495" xr:uid="{00000000-0005-0000-0000-00002E000000}"/>
    <cellStyle name="20% - Accent6 7" xfId="498" xr:uid="{00000000-0005-0000-0000-00002F000000}"/>
    <cellStyle name="20% - 强调文字颜色 1" xfId="7" xr:uid="{00000000-0005-0000-0000-000030000000}"/>
    <cellStyle name="20% - 强调文字颜色 1 2" xfId="211" xr:uid="{00000000-0005-0000-0000-000031000000}"/>
    <cellStyle name="20% - 强调文字颜色 1 2 2" xfId="283" xr:uid="{00000000-0005-0000-0000-000032000000}"/>
    <cellStyle name="20% - 强调文字颜色 1 3" xfId="252" xr:uid="{00000000-0005-0000-0000-000033000000}"/>
    <cellStyle name="20% - 强调文字颜色 1 3 2" xfId="433" xr:uid="{00000000-0005-0000-0000-000034000000}"/>
    <cellStyle name="20% - 强调文字颜色 1 4" xfId="156" xr:uid="{00000000-0005-0000-0000-000035000000}"/>
    <cellStyle name="20% - 强调文字颜色 1 5" xfId="345" xr:uid="{00000000-0005-0000-0000-000036000000}"/>
    <cellStyle name="20% - 强调文字颜色 2" xfId="8" xr:uid="{00000000-0005-0000-0000-000037000000}"/>
    <cellStyle name="20% - 强调文字颜色 2 2" xfId="212" xr:uid="{00000000-0005-0000-0000-000038000000}"/>
    <cellStyle name="20% - 强调文字颜色 2 2 2" xfId="284" xr:uid="{00000000-0005-0000-0000-000039000000}"/>
    <cellStyle name="20% - 强调文字颜色 2 3" xfId="253" xr:uid="{00000000-0005-0000-0000-00003A000000}"/>
    <cellStyle name="20% - 强调文字颜色 2 3 2" xfId="434" xr:uid="{00000000-0005-0000-0000-00003B000000}"/>
    <cellStyle name="20% - 强调文字颜色 2 4" xfId="157" xr:uid="{00000000-0005-0000-0000-00003C000000}"/>
    <cellStyle name="20% - 强调文字颜色 2 5" xfId="346" xr:uid="{00000000-0005-0000-0000-00003D000000}"/>
    <cellStyle name="20% - 强调文字颜色 3" xfId="9" xr:uid="{00000000-0005-0000-0000-00003E000000}"/>
    <cellStyle name="20% - 强调文字颜色 3 2" xfId="213" xr:uid="{00000000-0005-0000-0000-00003F000000}"/>
    <cellStyle name="20% - 强调文字颜色 3 2 2" xfId="285" xr:uid="{00000000-0005-0000-0000-000040000000}"/>
    <cellStyle name="20% - 强调文字颜色 3 3" xfId="254" xr:uid="{00000000-0005-0000-0000-000041000000}"/>
    <cellStyle name="20% - 强调文字颜色 3 3 2" xfId="435" xr:uid="{00000000-0005-0000-0000-000042000000}"/>
    <cellStyle name="20% - 强调文字颜色 3 4" xfId="158" xr:uid="{00000000-0005-0000-0000-000043000000}"/>
    <cellStyle name="20% - 强调文字颜色 3 5" xfId="347" xr:uid="{00000000-0005-0000-0000-000044000000}"/>
    <cellStyle name="20% - 强调文字颜色 4" xfId="10" xr:uid="{00000000-0005-0000-0000-000045000000}"/>
    <cellStyle name="20% - 强调文字颜色 4 2" xfId="214" xr:uid="{00000000-0005-0000-0000-000046000000}"/>
    <cellStyle name="20% - 强调文字颜色 4 2 2" xfId="286" xr:uid="{00000000-0005-0000-0000-000047000000}"/>
    <cellStyle name="20% - 强调文字颜色 4 3" xfId="255" xr:uid="{00000000-0005-0000-0000-000048000000}"/>
    <cellStyle name="20% - 强调文字颜色 4 3 2" xfId="436" xr:uid="{00000000-0005-0000-0000-000049000000}"/>
    <cellStyle name="20% - 强调文字颜色 4 4" xfId="159" xr:uid="{00000000-0005-0000-0000-00004A000000}"/>
    <cellStyle name="20% - 强调文字颜色 4 5" xfId="348" xr:uid="{00000000-0005-0000-0000-00004B000000}"/>
    <cellStyle name="20% - 强调文字颜色 5" xfId="11" xr:uid="{00000000-0005-0000-0000-00004C000000}"/>
    <cellStyle name="20% - 强调文字颜色 5 2" xfId="215" xr:uid="{00000000-0005-0000-0000-00004D000000}"/>
    <cellStyle name="20% - 强调文字颜色 5 2 2" xfId="287" xr:uid="{00000000-0005-0000-0000-00004E000000}"/>
    <cellStyle name="20% - 强调文字颜色 5 3" xfId="256" xr:uid="{00000000-0005-0000-0000-00004F000000}"/>
    <cellStyle name="20% - 强调文字颜色 5 3 2" xfId="437" xr:uid="{00000000-0005-0000-0000-000050000000}"/>
    <cellStyle name="20% - 强调文字颜色 5 4" xfId="160" xr:uid="{00000000-0005-0000-0000-000051000000}"/>
    <cellStyle name="20% - 强调文字颜色 5 5" xfId="349" xr:uid="{00000000-0005-0000-0000-000052000000}"/>
    <cellStyle name="20% - 强调文字颜色 6" xfId="12" xr:uid="{00000000-0005-0000-0000-000053000000}"/>
    <cellStyle name="20% - 强调文字颜色 6 2" xfId="216" xr:uid="{00000000-0005-0000-0000-000054000000}"/>
    <cellStyle name="20% - 强调文字颜色 6 2 2" xfId="288" xr:uid="{00000000-0005-0000-0000-000055000000}"/>
    <cellStyle name="20% - 强调文字颜色 6 3" xfId="257" xr:uid="{00000000-0005-0000-0000-000056000000}"/>
    <cellStyle name="20% - 强调文字颜色 6 3 2" xfId="438" xr:uid="{00000000-0005-0000-0000-000057000000}"/>
    <cellStyle name="20% - 强调文字颜色 6 4" xfId="161" xr:uid="{00000000-0005-0000-0000-000058000000}"/>
    <cellStyle name="20% - 强调文字颜色 6 5" xfId="350" xr:uid="{00000000-0005-0000-0000-000059000000}"/>
    <cellStyle name="20% - 着色 1 2" xfId="310" xr:uid="{00000000-0005-0000-0000-00005A000000}"/>
    <cellStyle name="20% - 着色 1 3" xfId="225" xr:uid="{00000000-0005-0000-0000-00005B000000}"/>
    <cellStyle name="20% - 着色 2 2" xfId="311" xr:uid="{00000000-0005-0000-0000-00005C000000}"/>
    <cellStyle name="20% - 着色 2 3" xfId="226" xr:uid="{00000000-0005-0000-0000-00005D000000}"/>
    <cellStyle name="20% - 着色 3 2" xfId="312" xr:uid="{00000000-0005-0000-0000-00005E000000}"/>
    <cellStyle name="20% - 着色 3 3" xfId="227" xr:uid="{00000000-0005-0000-0000-00005F000000}"/>
    <cellStyle name="20% - 着色 4 2" xfId="313" xr:uid="{00000000-0005-0000-0000-000060000000}"/>
    <cellStyle name="20% - 着色 4 3" xfId="228" xr:uid="{00000000-0005-0000-0000-000061000000}"/>
    <cellStyle name="20% - 着色 5 2" xfId="314" xr:uid="{00000000-0005-0000-0000-000062000000}"/>
    <cellStyle name="20% - 着色 5 3" xfId="229" xr:uid="{00000000-0005-0000-0000-000063000000}"/>
    <cellStyle name="20% - 着色 6 2" xfId="315" xr:uid="{00000000-0005-0000-0000-000064000000}"/>
    <cellStyle name="20% - 着色 6 3" xfId="230" xr:uid="{00000000-0005-0000-0000-000065000000}"/>
    <cellStyle name="40% - Accent1" xfId="40" xr:uid="{00000000-0005-0000-0000-000066000000}"/>
    <cellStyle name="40% - Accent1 2" xfId="102" xr:uid="{00000000-0005-0000-0000-000067000000}"/>
    <cellStyle name="40% - Accent1 2 2" xfId="465" xr:uid="{00000000-0005-0000-0000-000068000000}"/>
    <cellStyle name="40% - Accent1 3" xfId="451" xr:uid="{00000000-0005-0000-0000-000069000000}"/>
    <cellStyle name="40% - Accent1 4" xfId="377" xr:uid="{00000000-0005-0000-0000-00006A000000}"/>
    <cellStyle name="40% - Accent1 5" xfId="140" xr:uid="{00000000-0005-0000-0000-00006B000000}"/>
    <cellStyle name="40% - Accent1 6" xfId="479" xr:uid="{00000000-0005-0000-0000-00006C000000}"/>
    <cellStyle name="40% - Accent1 7" xfId="79" xr:uid="{00000000-0005-0000-0000-00006D000000}"/>
    <cellStyle name="40% - Accent2" xfId="41" xr:uid="{00000000-0005-0000-0000-00006E000000}"/>
    <cellStyle name="40% - Accent2 2" xfId="103" xr:uid="{00000000-0005-0000-0000-00006F000000}"/>
    <cellStyle name="40% - Accent2 2 2" xfId="466" xr:uid="{00000000-0005-0000-0000-000070000000}"/>
    <cellStyle name="40% - Accent2 3" xfId="452" xr:uid="{00000000-0005-0000-0000-000071000000}"/>
    <cellStyle name="40% - Accent2 4" xfId="378" xr:uid="{00000000-0005-0000-0000-000072000000}"/>
    <cellStyle name="40% - Accent2 5" xfId="92" xr:uid="{00000000-0005-0000-0000-000073000000}"/>
    <cellStyle name="40% - Accent2 6" xfId="476" xr:uid="{00000000-0005-0000-0000-000074000000}"/>
    <cellStyle name="40% - Accent2 7" xfId="501" xr:uid="{00000000-0005-0000-0000-000075000000}"/>
    <cellStyle name="40% - Accent3" xfId="42" xr:uid="{00000000-0005-0000-0000-000076000000}"/>
    <cellStyle name="40% - Accent3 2" xfId="104" xr:uid="{00000000-0005-0000-0000-000077000000}"/>
    <cellStyle name="40% - Accent3 2 2" xfId="467" xr:uid="{00000000-0005-0000-0000-000078000000}"/>
    <cellStyle name="40% - Accent3 3" xfId="453" xr:uid="{00000000-0005-0000-0000-000079000000}"/>
    <cellStyle name="40% - Accent3 4" xfId="379" xr:uid="{00000000-0005-0000-0000-00007A000000}"/>
    <cellStyle name="40% - Accent3 5" xfId="91" xr:uid="{00000000-0005-0000-0000-00007B000000}"/>
    <cellStyle name="40% - Accent3 6" xfId="497" xr:uid="{00000000-0005-0000-0000-00007C000000}"/>
    <cellStyle name="40% - Accent3 7" xfId="499" xr:uid="{00000000-0005-0000-0000-00007D000000}"/>
    <cellStyle name="40% - Accent4" xfId="43" xr:uid="{00000000-0005-0000-0000-00007E000000}"/>
    <cellStyle name="40% - Accent4 2" xfId="105" xr:uid="{00000000-0005-0000-0000-00007F000000}"/>
    <cellStyle name="40% - Accent4 2 2" xfId="468" xr:uid="{00000000-0005-0000-0000-000080000000}"/>
    <cellStyle name="40% - Accent4 3" xfId="454" xr:uid="{00000000-0005-0000-0000-000081000000}"/>
    <cellStyle name="40% - Accent4 4" xfId="380" xr:uid="{00000000-0005-0000-0000-000082000000}"/>
    <cellStyle name="40% - Accent4 5" xfId="90" xr:uid="{00000000-0005-0000-0000-000083000000}"/>
    <cellStyle name="40% - Accent4 6" xfId="492" xr:uid="{00000000-0005-0000-0000-000084000000}"/>
    <cellStyle name="40% - Accent4 7" xfId="507" xr:uid="{00000000-0005-0000-0000-000085000000}"/>
    <cellStyle name="40% - Accent5" xfId="44" xr:uid="{00000000-0005-0000-0000-000086000000}"/>
    <cellStyle name="40% - Accent5 2" xfId="106" xr:uid="{00000000-0005-0000-0000-000087000000}"/>
    <cellStyle name="40% - Accent5 2 2" xfId="469" xr:uid="{00000000-0005-0000-0000-000088000000}"/>
    <cellStyle name="40% - Accent5 3" xfId="455" xr:uid="{00000000-0005-0000-0000-000089000000}"/>
    <cellStyle name="40% - Accent5 4" xfId="381" xr:uid="{00000000-0005-0000-0000-00008A000000}"/>
    <cellStyle name="40% - Accent5 5" xfId="89" xr:uid="{00000000-0005-0000-0000-00008B000000}"/>
    <cellStyle name="40% - Accent5 6" xfId="494" xr:uid="{00000000-0005-0000-0000-00008C000000}"/>
    <cellStyle name="40% - Accent5 7" xfId="513" xr:uid="{00000000-0005-0000-0000-00008D000000}"/>
    <cellStyle name="40% - Accent6" xfId="45" xr:uid="{00000000-0005-0000-0000-00008E000000}"/>
    <cellStyle name="40% - Accent6 2" xfId="107" xr:uid="{00000000-0005-0000-0000-00008F000000}"/>
    <cellStyle name="40% - Accent6 2 2" xfId="470" xr:uid="{00000000-0005-0000-0000-000090000000}"/>
    <cellStyle name="40% - Accent6 3" xfId="456" xr:uid="{00000000-0005-0000-0000-000091000000}"/>
    <cellStyle name="40% - Accent6 4" xfId="382" xr:uid="{00000000-0005-0000-0000-000092000000}"/>
    <cellStyle name="40% - Accent6 5" xfId="88" xr:uid="{00000000-0005-0000-0000-000093000000}"/>
    <cellStyle name="40% - Accent6 6" xfId="493" xr:uid="{00000000-0005-0000-0000-000094000000}"/>
    <cellStyle name="40% - Accent6 7" xfId="95" xr:uid="{00000000-0005-0000-0000-000095000000}"/>
    <cellStyle name="40% - 强调文字颜色 1" xfId="13" xr:uid="{00000000-0005-0000-0000-000096000000}"/>
    <cellStyle name="40% - 强调文字颜色 1 2" xfId="217" xr:uid="{00000000-0005-0000-0000-000097000000}"/>
    <cellStyle name="40% - 强调文字颜色 1 2 2" xfId="289" xr:uid="{00000000-0005-0000-0000-000098000000}"/>
    <cellStyle name="40% - 强调文字颜色 1 3" xfId="258" xr:uid="{00000000-0005-0000-0000-000099000000}"/>
    <cellStyle name="40% - 强调文字颜色 1 3 2" xfId="439" xr:uid="{00000000-0005-0000-0000-00009A000000}"/>
    <cellStyle name="40% - 强调文字颜色 1 4" xfId="162" xr:uid="{00000000-0005-0000-0000-00009B000000}"/>
    <cellStyle name="40% - 强调文字颜色 1 5" xfId="351" xr:uid="{00000000-0005-0000-0000-00009C000000}"/>
    <cellStyle name="40% - 强调文字颜色 2" xfId="14" xr:uid="{00000000-0005-0000-0000-00009D000000}"/>
    <cellStyle name="40% - 强调文字颜色 2 2" xfId="218" xr:uid="{00000000-0005-0000-0000-00009E000000}"/>
    <cellStyle name="40% - 强调文字颜色 2 2 2" xfId="290" xr:uid="{00000000-0005-0000-0000-00009F000000}"/>
    <cellStyle name="40% - 强调文字颜色 2 3" xfId="259" xr:uid="{00000000-0005-0000-0000-0000A0000000}"/>
    <cellStyle name="40% - 强调文字颜色 2 3 2" xfId="440" xr:uid="{00000000-0005-0000-0000-0000A1000000}"/>
    <cellStyle name="40% - 强调文字颜色 2 4" xfId="163" xr:uid="{00000000-0005-0000-0000-0000A2000000}"/>
    <cellStyle name="40% - 强调文字颜色 2 5" xfId="352" xr:uid="{00000000-0005-0000-0000-0000A3000000}"/>
    <cellStyle name="40% - 强调文字颜色 3" xfId="15" xr:uid="{00000000-0005-0000-0000-0000A4000000}"/>
    <cellStyle name="40% - 强调文字颜色 3 2" xfId="219" xr:uid="{00000000-0005-0000-0000-0000A5000000}"/>
    <cellStyle name="40% - 强调文字颜色 3 2 2" xfId="291" xr:uid="{00000000-0005-0000-0000-0000A6000000}"/>
    <cellStyle name="40% - 强调文字颜色 3 3" xfId="260" xr:uid="{00000000-0005-0000-0000-0000A7000000}"/>
    <cellStyle name="40% - 强调文字颜色 3 3 2" xfId="441" xr:uid="{00000000-0005-0000-0000-0000A8000000}"/>
    <cellStyle name="40% - 强调文字颜色 3 4" xfId="164" xr:uid="{00000000-0005-0000-0000-0000A9000000}"/>
    <cellStyle name="40% - 强调文字颜色 3 5" xfId="353" xr:uid="{00000000-0005-0000-0000-0000AA000000}"/>
    <cellStyle name="40% - 强调文字颜色 4" xfId="16" xr:uid="{00000000-0005-0000-0000-0000AB000000}"/>
    <cellStyle name="40% - 强调文字颜色 4 2" xfId="220" xr:uid="{00000000-0005-0000-0000-0000AC000000}"/>
    <cellStyle name="40% - 强调文字颜色 4 2 2" xfId="292" xr:uid="{00000000-0005-0000-0000-0000AD000000}"/>
    <cellStyle name="40% - 强调文字颜色 4 3" xfId="261" xr:uid="{00000000-0005-0000-0000-0000AE000000}"/>
    <cellStyle name="40% - 强调文字颜色 4 3 2" xfId="442" xr:uid="{00000000-0005-0000-0000-0000AF000000}"/>
    <cellStyle name="40% - 强调文字颜色 4 4" xfId="165" xr:uid="{00000000-0005-0000-0000-0000B0000000}"/>
    <cellStyle name="40% - 强调文字颜色 4 5" xfId="354" xr:uid="{00000000-0005-0000-0000-0000B1000000}"/>
    <cellStyle name="40% - 强调文字颜色 5" xfId="17" xr:uid="{00000000-0005-0000-0000-0000B2000000}"/>
    <cellStyle name="40% - 强调文字颜色 5 2" xfId="221" xr:uid="{00000000-0005-0000-0000-0000B3000000}"/>
    <cellStyle name="40% - 强调文字颜色 5 2 2" xfId="293" xr:uid="{00000000-0005-0000-0000-0000B4000000}"/>
    <cellStyle name="40% - 强调文字颜色 5 3" xfId="262" xr:uid="{00000000-0005-0000-0000-0000B5000000}"/>
    <cellStyle name="40% - 强调文字颜色 5 3 2" xfId="443" xr:uid="{00000000-0005-0000-0000-0000B6000000}"/>
    <cellStyle name="40% - 强调文字颜色 5 4" xfId="166" xr:uid="{00000000-0005-0000-0000-0000B7000000}"/>
    <cellStyle name="40% - 强调文字颜色 5 5" xfId="355" xr:uid="{00000000-0005-0000-0000-0000B8000000}"/>
    <cellStyle name="40% - 强调文字颜色 6" xfId="18" xr:uid="{00000000-0005-0000-0000-0000B9000000}"/>
    <cellStyle name="40% - 强调文字颜色 6 2" xfId="222" xr:uid="{00000000-0005-0000-0000-0000BA000000}"/>
    <cellStyle name="40% - 强调文字颜色 6 2 2" xfId="294" xr:uid="{00000000-0005-0000-0000-0000BB000000}"/>
    <cellStyle name="40% - 强调文字颜色 6 3" xfId="263" xr:uid="{00000000-0005-0000-0000-0000BC000000}"/>
    <cellStyle name="40% - 强调文字颜色 6 3 2" xfId="444" xr:uid="{00000000-0005-0000-0000-0000BD000000}"/>
    <cellStyle name="40% - 强调文字颜色 6 4" xfId="167" xr:uid="{00000000-0005-0000-0000-0000BE000000}"/>
    <cellStyle name="40% - 强调文字颜色 6 5" xfId="356" xr:uid="{00000000-0005-0000-0000-0000BF000000}"/>
    <cellStyle name="40% - 着色 1 2" xfId="316" xr:uid="{00000000-0005-0000-0000-0000C0000000}"/>
    <cellStyle name="40% - 着色 1 3" xfId="231" xr:uid="{00000000-0005-0000-0000-0000C1000000}"/>
    <cellStyle name="40% - 着色 2 2" xfId="317" xr:uid="{00000000-0005-0000-0000-0000C2000000}"/>
    <cellStyle name="40% - 着色 2 3" xfId="232" xr:uid="{00000000-0005-0000-0000-0000C3000000}"/>
    <cellStyle name="40% - 着色 3 2" xfId="318" xr:uid="{00000000-0005-0000-0000-0000C4000000}"/>
    <cellStyle name="40% - 着色 3 3" xfId="233" xr:uid="{00000000-0005-0000-0000-0000C5000000}"/>
    <cellStyle name="40% - 着色 4 2" xfId="319" xr:uid="{00000000-0005-0000-0000-0000C6000000}"/>
    <cellStyle name="40% - 着色 4 3" xfId="234" xr:uid="{00000000-0005-0000-0000-0000C7000000}"/>
    <cellStyle name="40% - 着色 5 2" xfId="320" xr:uid="{00000000-0005-0000-0000-0000C8000000}"/>
    <cellStyle name="40% - 着色 5 3" xfId="235" xr:uid="{00000000-0005-0000-0000-0000C9000000}"/>
    <cellStyle name="40% - 着色 6 2" xfId="321" xr:uid="{00000000-0005-0000-0000-0000CA000000}"/>
    <cellStyle name="40% - 着色 6 3" xfId="236" xr:uid="{00000000-0005-0000-0000-0000CB000000}"/>
    <cellStyle name="60% - Accent1" xfId="46" xr:uid="{00000000-0005-0000-0000-0000CC000000}"/>
    <cellStyle name="60% - Accent1 2" xfId="108" xr:uid="{00000000-0005-0000-0000-0000CD000000}"/>
    <cellStyle name="60% - Accent1 3" xfId="383" xr:uid="{00000000-0005-0000-0000-0000CE000000}"/>
    <cellStyle name="60% - Accent1 4" xfId="87" xr:uid="{00000000-0005-0000-0000-0000CF000000}"/>
    <cellStyle name="60% - Accent1 5" xfId="478" xr:uid="{00000000-0005-0000-0000-0000D0000000}"/>
    <cellStyle name="60% - Accent1 6" xfId="524" xr:uid="{00000000-0005-0000-0000-0000D1000000}"/>
    <cellStyle name="60% - Accent2" xfId="47" xr:uid="{00000000-0005-0000-0000-0000D2000000}"/>
    <cellStyle name="60% - Accent2 2" xfId="109" xr:uid="{00000000-0005-0000-0000-0000D3000000}"/>
    <cellStyle name="60% - Accent2 3" xfId="384" xr:uid="{00000000-0005-0000-0000-0000D4000000}"/>
    <cellStyle name="60% - Accent2 4" xfId="139" xr:uid="{00000000-0005-0000-0000-0000D5000000}"/>
    <cellStyle name="60% - Accent2 5" xfId="502" xr:uid="{00000000-0005-0000-0000-0000D6000000}"/>
    <cellStyle name="60% - Accent2 6" xfId="515" xr:uid="{00000000-0005-0000-0000-0000D7000000}"/>
    <cellStyle name="60% - Accent3" xfId="48" xr:uid="{00000000-0005-0000-0000-0000D8000000}"/>
    <cellStyle name="60% - Accent3 2" xfId="110" xr:uid="{00000000-0005-0000-0000-0000D9000000}"/>
    <cellStyle name="60% - Accent3 3" xfId="385" xr:uid="{00000000-0005-0000-0000-0000DA000000}"/>
    <cellStyle name="60% - Accent3 4" xfId="138" xr:uid="{00000000-0005-0000-0000-0000DB000000}"/>
    <cellStyle name="60% - Accent3 5" xfId="485" xr:uid="{00000000-0005-0000-0000-0000DC000000}"/>
    <cellStyle name="60% - Accent3 6" xfId="518" xr:uid="{00000000-0005-0000-0000-0000DD000000}"/>
    <cellStyle name="60% - Accent4" xfId="49" xr:uid="{00000000-0005-0000-0000-0000DE000000}"/>
    <cellStyle name="60% - Accent4 2" xfId="111" xr:uid="{00000000-0005-0000-0000-0000DF000000}"/>
    <cellStyle name="60% - Accent4 3" xfId="386" xr:uid="{00000000-0005-0000-0000-0000E0000000}"/>
    <cellStyle name="60% - Accent4 4" xfId="137" xr:uid="{00000000-0005-0000-0000-0000E1000000}"/>
    <cellStyle name="60% - Accent4 5" xfId="490" xr:uid="{00000000-0005-0000-0000-0000E2000000}"/>
    <cellStyle name="60% - Accent4 6" xfId="131" xr:uid="{00000000-0005-0000-0000-0000E3000000}"/>
    <cellStyle name="60% - Accent5" xfId="50" xr:uid="{00000000-0005-0000-0000-0000E4000000}"/>
    <cellStyle name="60% - Accent5 2" xfId="112" xr:uid="{00000000-0005-0000-0000-0000E5000000}"/>
    <cellStyle name="60% - Accent5 3" xfId="387" xr:uid="{00000000-0005-0000-0000-0000E6000000}"/>
    <cellStyle name="60% - Accent5 4" xfId="136" xr:uid="{00000000-0005-0000-0000-0000E7000000}"/>
    <cellStyle name="60% - Accent5 5" xfId="491" xr:uid="{00000000-0005-0000-0000-0000E8000000}"/>
    <cellStyle name="60% - Accent5 6" xfId="516" xr:uid="{00000000-0005-0000-0000-0000E9000000}"/>
    <cellStyle name="60% - Accent6" xfId="51" xr:uid="{00000000-0005-0000-0000-0000EA000000}"/>
    <cellStyle name="60% - Accent6 2" xfId="113" xr:uid="{00000000-0005-0000-0000-0000EB000000}"/>
    <cellStyle name="60% - Accent6 3" xfId="388" xr:uid="{00000000-0005-0000-0000-0000EC000000}"/>
    <cellStyle name="60% - Accent6 4" xfId="135" xr:uid="{00000000-0005-0000-0000-0000ED000000}"/>
    <cellStyle name="60% - Accent6 5" xfId="477" xr:uid="{00000000-0005-0000-0000-0000EE000000}"/>
    <cellStyle name="60% - Accent6 6" xfId="525" xr:uid="{00000000-0005-0000-0000-0000EF000000}"/>
    <cellStyle name="60% - 强调文字颜色 1" xfId="19" xr:uid="{00000000-0005-0000-0000-0000F0000000}"/>
    <cellStyle name="60% - 强调文字颜色 1 2" xfId="295" xr:uid="{00000000-0005-0000-0000-0000F1000000}"/>
    <cellStyle name="60% - 强调文字颜色 1 3" xfId="264" xr:uid="{00000000-0005-0000-0000-0000F2000000}"/>
    <cellStyle name="60% - 强调文字颜色 1 4" xfId="168" xr:uid="{00000000-0005-0000-0000-0000F3000000}"/>
    <cellStyle name="60% - 强调文字颜色 1 5" xfId="357" xr:uid="{00000000-0005-0000-0000-0000F4000000}"/>
    <cellStyle name="60% - 强调文字颜色 2" xfId="20" xr:uid="{00000000-0005-0000-0000-0000F5000000}"/>
    <cellStyle name="60% - 强调文字颜色 2 2" xfId="296" xr:uid="{00000000-0005-0000-0000-0000F6000000}"/>
    <cellStyle name="60% - 强调文字颜色 2 3" xfId="265" xr:uid="{00000000-0005-0000-0000-0000F7000000}"/>
    <cellStyle name="60% - 强调文字颜色 2 4" xfId="169" xr:uid="{00000000-0005-0000-0000-0000F8000000}"/>
    <cellStyle name="60% - 强调文字颜色 2 5" xfId="358" xr:uid="{00000000-0005-0000-0000-0000F9000000}"/>
    <cellStyle name="60% - 强调文字颜色 3" xfId="21" xr:uid="{00000000-0005-0000-0000-0000FA000000}"/>
    <cellStyle name="60% - 强调文字颜色 3 2" xfId="297" xr:uid="{00000000-0005-0000-0000-0000FB000000}"/>
    <cellStyle name="60% - 强调文字颜色 3 3" xfId="266" xr:uid="{00000000-0005-0000-0000-0000FC000000}"/>
    <cellStyle name="60% - 强调文字颜色 3 4" xfId="170" xr:uid="{00000000-0005-0000-0000-0000FD000000}"/>
    <cellStyle name="60% - 强调文字颜色 3 5" xfId="359" xr:uid="{00000000-0005-0000-0000-0000FE000000}"/>
    <cellStyle name="60% - 强调文字颜色 4" xfId="22" xr:uid="{00000000-0005-0000-0000-0000FF000000}"/>
    <cellStyle name="60% - 强调文字颜色 4 2" xfId="298" xr:uid="{00000000-0005-0000-0000-000000010000}"/>
    <cellStyle name="60% - 强调文字颜色 4 3" xfId="267" xr:uid="{00000000-0005-0000-0000-000001010000}"/>
    <cellStyle name="60% - 强调文字颜色 4 4" xfId="171" xr:uid="{00000000-0005-0000-0000-000002010000}"/>
    <cellStyle name="60% - 强调文字颜色 4 5" xfId="360" xr:uid="{00000000-0005-0000-0000-000003010000}"/>
    <cellStyle name="60% - 强调文字颜色 5" xfId="23" xr:uid="{00000000-0005-0000-0000-000004010000}"/>
    <cellStyle name="60% - 强调文字颜色 5 2" xfId="299" xr:uid="{00000000-0005-0000-0000-000005010000}"/>
    <cellStyle name="60% - 强调文字颜色 5 3" xfId="268" xr:uid="{00000000-0005-0000-0000-000006010000}"/>
    <cellStyle name="60% - 强调文字颜色 5 4" xfId="172" xr:uid="{00000000-0005-0000-0000-000007010000}"/>
    <cellStyle name="60% - 强调文字颜色 5 5" xfId="361" xr:uid="{00000000-0005-0000-0000-000008010000}"/>
    <cellStyle name="60% - 强调文字颜色 6" xfId="24" xr:uid="{00000000-0005-0000-0000-000009010000}"/>
    <cellStyle name="60% - 强调文字颜色 6 2" xfId="300" xr:uid="{00000000-0005-0000-0000-00000A010000}"/>
    <cellStyle name="60% - 强调文字颜色 6 3" xfId="269" xr:uid="{00000000-0005-0000-0000-00000B010000}"/>
    <cellStyle name="60% - 强调文字颜色 6 4" xfId="173" xr:uid="{00000000-0005-0000-0000-00000C010000}"/>
    <cellStyle name="60% - 强调文字颜色 6 5" xfId="362" xr:uid="{00000000-0005-0000-0000-00000D010000}"/>
    <cellStyle name="60% - 着色 1 2" xfId="322" xr:uid="{00000000-0005-0000-0000-00000E010000}"/>
    <cellStyle name="60% - 着色 1 3" xfId="237" xr:uid="{00000000-0005-0000-0000-00000F010000}"/>
    <cellStyle name="60% - 着色 2 2" xfId="323" xr:uid="{00000000-0005-0000-0000-000010010000}"/>
    <cellStyle name="60% - 着色 2 3" xfId="238" xr:uid="{00000000-0005-0000-0000-000011010000}"/>
    <cellStyle name="60% - 着色 3 2" xfId="324" xr:uid="{00000000-0005-0000-0000-000012010000}"/>
    <cellStyle name="60% - 着色 3 3" xfId="239" xr:uid="{00000000-0005-0000-0000-000013010000}"/>
    <cellStyle name="60% - 着色 4 2" xfId="325" xr:uid="{00000000-0005-0000-0000-000014010000}"/>
    <cellStyle name="60% - 着色 4 3" xfId="240" xr:uid="{00000000-0005-0000-0000-000015010000}"/>
    <cellStyle name="60% - 着色 5 2" xfId="326" xr:uid="{00000000-0005-0000-0000-000016010000}"/>
    <cellStyle name="60% - 着色 5 3" xfId="241" xr:uid="{00000000-0005-0000-0000-000017010000}"/>
    <cellStyle name="60% - 着色 6 2" xfId="327" xr:uid="{00000000-0005-0000-0000-000018010000}"/>
    <cellStyle name="60% - 着色 6 3" xfId="242" xr:uid="{00000000-0005-0000-0000-000019010000}"/>
    <cellStyle name="Accent1" xfId="52" xr:uid="{00000000-0005-0000-0000-00001A010000}"/>
    <cellStyle name="Accent1 2" xfId="114" xr:uid="{00000000-0005-0000-0000-00001B010000}"/>
    <cellStyle name="Accent1 3" xfId="389" xr:uid="{00000000-0005-0000-0000-00001C010000}"/>
    <cellStyle name="Accent1 4" xfId="134" xr:uid="{00000000-0005-0000-0000-00001D010000}"/>
    <cellStyle name="Accent1 5" xfId="489" xr:uid="{00000000-0005-0000-0000-00001E010000}"/>
    <cellStyle name="Accent1 6" xfId="528" xr:uid="{00000000-0005-0000-0000-00001F010000}"/>
    <cellStyle name="Accent2" xfId="53" xr:uid="{00000000-0005-0000-0000-000020010000}"/>
    <cellStyle name="Accent2 2" xfId="115" xr:uid="{00000000-0005-0000-0000-000021010000}"/>
    <cellStyle name="Accent2 3" xfId="390" xr:uid="{00000000-0005-0000-0000-000022010000}"/>
    <cellStyle name="Accent2 4" xfId="86" xr:uid="{00000000-0005-0000-0000-000023010000}"/>
    <cellStyle name="Accent2 5" xfId="488" xr:uid="{00000000-0005-0000-0000-000024010000}"/>
    <cellStyle name="Accent2 6" xfId="509" xr:uid="{00000000-0005-0000-0000-000025010000}"/>
    <cellStyle name="Accent3" xfId="54" xr:uid="{00000000-0005-0000-0000-000026010000}"/>
    <cellStyle name="Accent3 2" xfId="116" xr:uid="{00000000-0005-0000-0000-000027010000}"/>
    <cellStyle name="Accent3 3" xfId="391" xr:uid="{00000000-0005-0000-0000-000028010000}"/>
    <cellStyle name="Accent3 4" xfId="85" xr:uid="{00000000-0005-0000-0000-000029010000}"/>
    <cellStyle name="Accent3 5" xfId="487" xr:uid="{00000000-0005-0000-0000-00002A010000}"/>
    <cellStyle name="Accent3 6" xfId="520" xr:uid="{00000000-0005-0000-0000-00002B010000}"/>
    <cellStyle name="Accent4" xfId="55" xr:uid="{00000000-0005-0000-0000-00002C010000}"/>
    <cellStyle name="Accent4 2" xfId="117" xr:uid="{00000000-0005-0000-0000-00002D010000}"/>
    <cellStyle name="Accent4 3" xfId="392" xr:uid="{00000000-0005-0000-0000-00002E010000}"/>
    <cellStyle name="Accent4 4" xfId="84" xr:uid="{00000000-0005-0000-0000-00002F010000}"/>
    <cellStyle name="Accent4 5" xfId="94" xr:uid="{00000000-0005-0000-0000-000030010000}"/>
    <cellStyle name="Accent4 6" xfId="521" xr:uid="{00000000-0005-0000-0000-000031010000}"/>
    <cellStyle name="Accent5" xfId="56" xr:uid="{00000000-0005-0000-0000-000032010000}"/>
    <cellStyle name="Accent5 2" xfId="118" xr:uid="{00000000-0005-0000-0000-000033010000}"/>
    <cellStyle name="Accent5 3" xfId="393" xr:uid="{00000000-0005-0000-0000-000034010000}"/>
    <cellStyle name="Accent5 4" xfId="83" xr:uid="{00000000-0005-0000-0000-000035010000}"/>
    <cellStyle name="Accent5 5" xfId="124" xr:uid="{00000000-0005-0000-0000-000036010000}"/>
    <cellStyle name="Accent5 6" xfId="474" xr:uid="{00000000-0005-0000-0000-000037010000}"/>
    <cellStyle name="Accent6" xfId="57" xr:uid="{00000000-0005-0000-0000-000038010000}"/>
    <cellStyle name="Accent6 2" xfId="119" xr:uid="{00000000-0005-0000-0000-000039010000}"/>
    <cellStyle name="Accent6 3" xfId="394" xr:uid="{00000000-0005-0000-0000-00003A010000}"/>
    <cellStyle name="Accent6 4" xfId="82" xr:uid="{00000000-0005-0000-0000-00003B010000}"/>
    <cellStyle name="Accent6 5" xfId="511" xr:uid="{00000000-0005-0000-0000-00003C010000}"/>
    <cellStyle name="Accent6 6" xfId="517" xr:uid="{00000000-0005-0000-0000-00003D010000}"/>
    <cellStyle name="Bad" xfId="5" xr:uid="{00000000-0005-0000-0000-00003E010000}"/>
    <cellStyle name="Bad 2" xfId="1" xr:uid="{00000000-0005-0000-0000-00003F010000}"/>
    <cellStyle name="Bad 3" xfId="120" xr:uid="{00000000-0005-0000-0000-000040010000}"/>
    <cellStyle name="Bad 3 2" xfId="282" xr:uid="{00000000-0005-0000-0000-000041010000}"/>
    <cellStyle name="Bad 3 2 2" xfId="415" xr:uid="{00000000-0005-0000-0000-000042010000}"/>
    <cellStyle name="Bad 3 2 3" xfId="523" xr:uid="{00000000-0005-0000-0000-000043010000}"/>
    <cellStyle name="Bad 3 2 4" xfId="527" xr:uid="{00000000-0005-0000-0000-000044010000}"/>
    <cellStyle name="Bad 3 2 5" xfId="484" xr:uid="{00000000-0005-0000-0000-000045010000}"/>
    <cellStyle name="Bad 3 3" xfId="506" xr:uid="{00000000-0005-0000-0000-000046010000}"/>
    <cellStyle name="Bad 3 4" xfId="500" xr:uid="{00000000-0005-0000-0000-000047010000}"/>
    <cellStyle name="Bad 3 5" xfId="504" xr:uid="{00000000-0005-0000-0000-000048010000}"/>
    <cellStyle name="Bad 4" xfId="395" xr:uid="{00000000-0005-0000-0000-000049010000}"/>
    <cellStyle name="Bad 5" xfId="81" xr:uid="{00000000-0005-0000-0000-00004A010000}"/>
    <cellStyle name="Bad 6" xfId="505" xr:uid="{00000000-0005-0000-0000-00004B010000}"/>
    <cellStyle name="Bad 7" xfId="133" xr:uid="{00000000-0005-0000-0000-00004C010000}"/>
    <cellStyle name="Bad_T11_Recovery" xfId="338" xr:uid="{00000000-0005-0000-0000-00004D010000}"/>
    <cellStyle name="Calculation" xfId="58" xr:uid="{00000000-0005-0000-0000-00004E010000}"/>
    <cellStyle name="Calculation 2" xfId="416" xr:uid="{00000000-0005-0000-0000-00004F010000}"/>
    <cellStyle name="Calculation 3" xfId="396" xr:uid="{00000000-0005-0000-0000-000050010000}"/>
    <cellStyle name="Check Cell" xfId="59" xr:uid="{00000000-0005-0000-0000-000051010000}"/>
    <cellStyle name="Check Cell 2" xfId="417" xr:uid="{00000000-0005-0000-0000-000052010000}"/>
    <cellStyle name="Check Cell 3" xfId="397" xr:uid="{00000000-0005-0000-0000-000053010000}"/>
    <cellStyle name="Explanatory Text" xfId="60" xr:uid="{00000000-0005-0000-0000-000054010000}"/>
    <cellStyle name="Explanatory Text 2" xfId="418" xr:uid="{00000000-0005-0000-0000-000055010000}"/>
    <cellStyle name="Explanatory Text 3" xfId="398" xr:uid="{00000000-0005-0000-0000-000056010000}"/>
    <cellStyle name="Good" xfId="61" xr:uid="{00000000-0005-0000-0000-000057010000}"/>
    <cellStyle name="Good 2" xfId="121" xr:uid="{00000000-0005-0000-0000-000058010000}"/>
    <cellStyle name="Good 3" xfId="399" xr:uid="{00000000-0005-0000-0000-000059010000}"/>
    <cellStyle name="Good 4" xfId="132" xr:uid="{00000000-0005-0000-0000-00005A010000}"/>
    <cellStyle name="Good 5" xfId="503" xr:uid="{00000000-0005-0000-0000-00005B010000}"/>
    <cellStyle name="Good 6" xfId="80" xr:uid="{00000000-0005-0000-0000-00005C010000}"/>
    <cellStyle name="Heading 1" xfId="62" xr:uid="{00000000-0005-0000-0000-00005D010000}"/>
    <cellStyle name="Heading 1 2" xfId="419" xr:uid="{00000000-0005-0000-0000-00005E010000}"/>
    <cellStyle name="Heading 1 3" xfId="400" xr:uid="{00000000-0005-0000-0000-00005F010000}"/>
    <cellStyle name="Heading 2" xfId="63" xr:uid="{00000000-0005-0000-0000-000060010000}"/>
    <cellStyle name="Heading 2 2" xfId="420" xr:uid="{00000000-0005-0000-0000-000061010000}"/>
    <cellStyle name="Heading 2 3" xfId="401" xr:uid="{00000000-0005-0000-0000-000062010000}"/>
    <cellStyle name="Heading 3" xfId="64" xr:uid="{00000000-0005-0000-0000-000063010000}"/>
    <cellStyle name="Heading 3 2" xfId="421" xr:uid="{00000000-0005-0000-0000-000064010000}"/>
    <cellStyle name="Heading 3 3" xfId="402" xr:uid="{00000000-0005-0000-0000-000065010000}"/>
    <cellStyle name="Heading 4" xfId="65" xr:uid="{00000000-0005-0000-0000-000066010000}"/>
    <cellStyle name="Heading 4 2" xfId="422" xr:uid="{00000000-0005-0000-0000-000067010000}"/>
    <cellStyle name="Heading 4 3" xfId="403" xr:uid="{00000000-0005-0000-0000-000068010000}"/>
    <cellStyle name="Input" xfId="66" xr:uid="{00000000-0005-0000-0000-000069010000}"/>
    <cellStyle name="Input 2" xfId="423" xr:uid="{00000000-0005-0000-0000-00006A010000}"/>
    <cellStyle name="Input 3" xfId="404" xr:uid="{00000000-0005-0000-0000-00006B010000}"/>
    <cellStyle name="Linked Cell" xfId="67" xr:uid="{00000000-0005-0000-0000-00006C010000}"/>
    <cellStyle name="Linked Cell 2" xfId="424" xr:uid="{00000000-0005-0000-0000-00006D010000}"/>
    <cellStyle name="Linked Cell 3" xfId="405" xr:uid="{00000000-0005-0000-0000-00006E010000}"/>
    <cellStyle name="Neutral" xfId="68" xr:uid="{00000000-0005-0000-0000-00006F010000}"/>
    <cellStyle name="Neutral 2" xfId="425" xr:uid="{00000000-0005-0000-0000-000070010000}"/>
    <cellStyle name="Neutral 3" xfId="406" xr:uid="{00000000-0005-0000-0000-000071010000}"/>
    <cellStyle name="Normal 2" xfId="2" xr:uid="{00000000-0005-0000-0000-000073010000}"/>
    <cellStyle name="Normal 2 2" xfId="188" xr:uid="{00000000-0005-0000-0000-000074010000}"/>
    <cellStyle name="Normal 3" xfId="3" xr:uid="{00000000-0005-0000-0000-000075010000}"/>
    <cellStyle name="Normal 3 2" xfId="190" xr:uid="{00000000-0005-0000-0000-000076010000}"/>
    <cellStyle name="Normal 3 2 2" xfId="191" xr:uid="{00000000-0005-0000-0000-000077010000}"/>
    <cellStyle name="Normal 3 3" xfId="189" xr:uid="{00000000-0005-0000-0000-000078010000}"/>
    <cellStyle name="Normal 5" xfId="192" xr:uid="{00000000-0005-0000-0000-000079010000}"/>
    <cellStyle name="Normal_Gilead Samples 02jan07" xfId="529" xr:uid="{46D450F8-0343-4B4E-A314-580C609DAAF5}"/>
    <cellStyle name="Note" xfId="69" xr:uid="{00000000-0005-0000-0000-00007A010000}"/>
    <cellStyle name="Note 2" xfId="126" xr:uid="{00000000-0005-0000-0000-00007B010000}"/>
    <cellStyle name="Note 2 2" xfId="471" xr:uid="{00000000-0005-0000-0000-00007C010000}"/>
    <cellStyle name="Note 3" xfId="458" xr:uid="{00000000-0005-0000-0000-00007D010000}"/>
    <cellStyle name="Note 4" xfId="407" xr:uid="{00000000-0005-0000-0000-00007E010000}"/>
    <cellStyle name="Note 5" xfId="78" xr:uid="{00000000-0005-0000-0000-00007F010000}"/>
    <cellStyle name="Note 6" xfId="522" xr:uid="{00000000-0005-0000-0000-000080010000}"/>
    <cellStyle name="Note 7" xfId="483" xr:uid="{00000000-0005-0000-0000-000081010000}"/>
    <cellStyle name="Output" xfId="70" xr:uid="{00000000-0005-0000-0000-000082010000}"/>
    <cellStyle name="Output 2" xfId="426" xr:uid="{00000000-0005-0000-0000-000083010000}"/>
    <cellStyle name="Output 3" xfId="408" xr:uid="{00000000-0005-0000-0000-000084010000}"/>
    <cellStyle name="Percent 2" xfId="4" xr:uid="{00000000-0005-0000-0000-000085010000}"/>
    <cellStyle name="Title" xfId="71" xr:uid="{00000000-0005-0000-0000-000086010000}"/>
    <cellStyle name="Title 2" xfId="427" xr:uid="{00000000-0005-0000-0000-000087010000}"/>
    <cellStyle name="Title 3" xfId="409" xr:uid="{00000000-0005-0000-0000-000088010000}"/>
    <cellStyle name="Total" xfId="72" xr:uid="{00000000-0005-0000-0000-000089010000}"/>
    <cellStyle name="Total 2" xfId="428" xr:uid="{00000000-0005-0000-0000-00008A010000}"/>
    <cellStyle name="Total 3" xfId="410" xr:uid="{00000000-0005-0000-0000-00008B010000}"/>
    <cellStyle name="Warning Text" xfId="73" xr:uid="{00000000-0005-0000-0000-00008C010000}"/>
    <cellStyle name="Warning Text 2" xfId="429" xr:uid="{00000000-0005-0000-0000-00008D010000}"/>
    <cellStyle name="Warning Text 3" xfId="411" xr:uid="{00000000-0005-0000-0000-00008E010000}"/>
    <cellStyle name="百分比 2" xfId="147" xr:uid="{00000000-0005-0000-0000-000004020000}"/>
    <cellStyle name="百分比 2 2" xfId="472" xr:uid="{00000000-0005-0000-0000-000005020000}"/>
    <cellStyle name="差 2" xfId="155" xr:uid="{00000000-0005-0000-0000-0000A5010000}"/>
    <cellStyle name="差 2 2" xfId="457" xr:uid="{00000000-0005-0000-0000-0000A6010000}"/>
    <cellStyle name="差_1.1" xfId="25" xr:uid="{00000000-0005-0000-0000-0000A7010000}"/>
    <cellStyle name="差_1.1 2" xfId="93" xr:uid="{00000000-0005-0000-0000-0000A8010000}"/>
    <cellStyle name="差_1.1 3" xfId="270" xr:uid="{00000000-0005-0000-0000-0000A9010000}"/>
    <cellStyle name="差_1.1 4" xfId="174" xr:uid="{00000000-0005-0000-0000-0000AA010000}"/>
    <cellStyle name="差_1.1 5" xfId="363" xr:uid="{00000000-0005-0000-0000-0000AB010000}"/>
    <cellStyle name="差_1.1 6" xfId="125" xr:uid="{00000000-0005-0000-0000-0000AC010000}"/>
    <cellStyle name="差_1.1 7" xfId="122" xr:uid="{00000000-0005-0000-0000-0000AD010000}"/>
    <cellStyle name="差_1.1 8" xfId="482" xr:uid="{00000000-0005-0000-0000-0000AE010000}"/>
    <cellStyle name="差_T11_Recovery" xfId="341" xr:uid="{00000000-0005-0000-0000-0000AF010000}"/>
    <cellStyle name="差_T11_Recovery 2" xfId="342" xr:uid="{00000000-0005-0000-0000-0000B0010000}"/>
    <cellStyle name="差_标曲及QC " xfId="194" xr:uid="{00000000-0005-0000-0000-0000B1010000}"/>
    <cellStyle name="差_表11_Recovery" xfId="74" xr:uid="{00000000-0005-0000-0000-0000B2010000}"/>
    <cellStyle name="差_表11_Recovery 2" xfId="128" xr:uid="{00000000-0005-0000-0000-0000B3010000}"/>
    <cellStyle name="差_表11_Recovery 3" xfId="278" xr:uid="{00000000-0005-0000-0000-0000B4010000}"/>
    <cellStyle name="差_表11_Recovery 4" xfId="182" xr:uid="{00000000-0005-0000-0000-0000B5010000}"/>
    <cellStyle name="差_表11_Recovery 5" xfId="412" xr:uid="{00000000-0005-0000-0000-0000B6010000}"/>
    <cellStyle name="差_表11_Recovery 6" xfId="130" xr:uid="{00000000-0005-0000-0000-0000B7010000}"/>
    <cellStyle name="差_表11_Recovery 7" xfId="510" xr:uid="{00000000-0005-0000-0000-0000B8010000}"/>
    <cellStyle name="差_表11_Recovery 8" xfId="475" xr:uid="{00000000-0005-0000-0000-0000B9010000}"/>
    <cellStyle name="差_表2_SST" xfId="148" xr:uid="{00000000-0005-0000-0000-0000BA010000}"/>
    <cellStyle name="差_表2_SST 2" xfId="329" xr:uid="{00000000-0005-0000-0000-0000BB010000}"/>
    <cellStyle name="差_表21_LTS" xfId="430" xr:uid="{00000000-0005-0000-0000-0000BC010000}"/>
    <cellStyle name="差_表25_干扰" xfId="76" xr:uid="{00000000-0005-0000-0000-0000BD010000}"/>
    <cellStyle name="差_表25_干扰 2" xfId="129" xr:uid="{00000000-0005-0000-0000-0000BE010000}"/>
    <cellStyle name="差_表25_干扰 3" xfId="280" xr:uid="{00000000-0005-0000-0000-0000BF010000}"/>
    <cellStyle name="差_表25_干扰 4" xfId="184" xr:uid="{00000000-0005-0000-0000-0000C0010000}"/>
    <cellStyle name="差_表25_干扰 5" xfId="414" xr:uid="{00000000-0005-0000-0000-0000C1010000}"/>
    <cellStyle name="差_表25_干扰 6" xfId="473" xr:uid="{00000000-0005-0000-0000-0000C2010000}"/>
    <cellStyle name="差_表25_干扰 7" xfId="512" xr:uid="{00000000-0005-0000-0000-0000C3010000}"/>
    <cellStyle name="差_表25_干扰 8" xfId="514" xr:uid="{00000000-0005-0000-0000-0000C4010000}"/>
    <cellStyle name="差_表3_Carryover" xfId="251" xr:uid="{00000000-0005-0000-0000-0000C5010000}"/>
    <cellStyle name="差_表3_CO" xfId="207" xr:uid="{00000000-0005-0000-0000-0000C6010000}"/>
    <cellStyle name="差_表3_CO_1" xfId="337" xr:uid="{00000000-0005-0000-0000-0000C7010000}"/>
    <cellStyle name="常规" xfId="0" builtinId="0"/>
    <cellStyle name="常规 10" xfId="206" xr:uid="{00000000-0005-0000-0000-0000C8010000}"/>
    <cellStyle name="常规 11" xfId="281" xr:uid="{00000000-0005-0000-0000-0000C9010000}"/>
    <cellStyle name="常规 12" xfId="344" xr:uid="{00000000-0005-0000-0000-0000CA010000}"/>
    <cellStyle name="常规 2" xfId="26" xr:uid="{00000000-0005-0000-0000-0000CB010000}"/>
    <cellStyle name="常规 2 2" xfId="6" xr:uid="{00000000-0005-0000-0000-0000CC010000}"/>
    <cellStyle name="常规 2 2 2" xfId="195" xr:uid="{00000000-0005-0000-0000-0000CD010000}"/>
    <cellStyle name="常规 2 3 2" xfId="196" xr:uid="{00000000-0005-0000-0000-0000CE010000}"/>
    <cellStyle name="常规 2_1513RD2_BA_二次数据" xfId="197" xr:uid="{00000000-0005-0000-0000-0000CF010000}"/>
    <cellStyle name="常规 3" xfId="150" xr:uid="{00000000-0005-0000-0000-0000D0010000}"/>
    <cellStyle name="常规 3 2" xfId="199" xr:uid="{00000000-0005-0000-0000-0000D1010000}"/>
    <cellStyle name="常规 3 3" xfId="198" xr:uid="{00000000-0005-0000-0000-0000D2010000}"/>
    <cellStyle name="常规 3 4" xfId="185" xr:uid="{00000000-0005-0000-0000-0000D3010000}"/>
    <cellStyle name="常规 3_表2_SST" xfId="243" xr:uid="{00000000-0005-0000-0000-0000D4010000}"/>
    <cellStyle name="常规 4" xfId="151" xr:uid="{00000000-0005-0000-0000-0000D5010000}"/>
    <cellStyle name="常规 4 2" xfId="201" xr:uid="{00000000-0005-0000-0000-0000D6010000}"/>
    <cellStyle name="常规 4 2 2" xfId="202" xr:uid="{00000000-0005-0000-0000-0000D7010000}"/>
    <cellStyle name="常规 4 3" xfId="200" xr:uid="{00000000-0005-0000-0000-0000D8010000}"/>
    <cellStyle name="常规 4 4" xfId="209" xr:uid="{00000000-0005-0000-0000-0000D9010000}"/>
    <cellStyle name="常规 4 5" xfId="146" xr:uid="{00000000-0005-0000-0000-0000DA010000}"/>
    <cellStyle name="常规 5" xfId="152" xr:uid="{00000000-0005-0000-0000-0000DB010000}"/>
    <cellStyle name="常规 5 2" xfId="203" xr:uid="{00000000-0005-0000-0000-0000DC010000}"/>
    <cellStyle name="常规 5 3" xfId="432" xr:uid="{00000000-0005-0000-0000-0000DD010000}"/>
    <cellStyle name="常规 6" xfId="153" xr:uid="{00000000-0005-0000-0000-0000DE010000}"/>
    <cellStyle name="常规 6 2" xfId="204" xr:uid="{00000000-0005-0000-0000-0000DF010000}"/>
    <cellStyle name="常规 7" xfId="154" xr:uid="{00000000-0005-0000-0000-0000E0010000}"/>
    <cellStyle name="常规 7 2" xfId="186" xr:uid="{00000000-0005-0000-0000-0000E1010000}"/>
    <cellStyle name="常规 7 3" xfId="210" xr:uid="{00000000-0005-0000-0000-0000E2010000}"/>
    <cellStyle name="常规 8" xfId="187" xr:uid="{00000000-0005-0000-0000-0000E3010000}"/>
    <cellStyle name="常规 9" xfId="205" xr:uid="{00000000-0005-0000-0000-0000E4010000}"/>
    <cellStyle name="好_1.1" xfId="27" xr:uid="{00000000-0005-0000-0000-000090010000}"/>
    <cellStyle name="好_1.1 2" xfId="223" xr:uid="{00000000-0005-0000-0000-000091010000}"/>
    <cellStyle name="好_1.1 2 2" xfId="302" xr:uid="{00000000-0005-0000-0000-000092010000}"/>
    <cellStyle name="好_1.1 3" xfId="271" xr:uid="{00000000-0005-0000-0000-000093010000}"/>
    <cellStyle name="好_1.1 4" xfId="175" xr:uid="{00000000-0005-0000-0000-000094010000}"/>
    <cellStyle name="好_1.1 5" xfId="364" xr:uid="{00000000-0005-0000-0000-000095010000}"/>
    <cellStyle name="好_T11_Recovery" xfId="339" xr:uid="{00000000-0005-0000-0000-000096010000}"/>
    <cellStyle name="好_T11_Recovery 2" xfId="340" xr:uid="{00000000-0005-0000-0000-000097010000}"/>
    <cellStyle name="好_标曲及QC " xfId="193" xr:uid="{00000000-0005-0000-0000-000098010000}"/>
    <cellStyle name="好_表11_Recovery" xfId="75" xr:uid="{00000000-0005-0000-0000-000099010000}"/>
    <cellStyle name="好_表11_Recovery 2" xfId="224" xr:uid="{00000000-0005-0000-0000-00009A010000}"/>
    <cellStyle name="好_表11_Recovery 2 2" xfId="309" xr:uid="{00000000-0005-0000-0000-00009B010000}"/>
    <cellStyle name="好_表11_Recovery 3" xfId="279" xr:uid="{00000000-0005-0000-0000-00009C010000}"/>
    <cellStyle name="好_表11_Recovery 4" xfId="183" xr:uid="{00000000-0005-0000-0000-00009D010000}"/>
    <cellStyle name="好_表11_Recovery 5" xfId="413" xr:uid="{00000000-0005-0000-0000-00009E010000}"/>
    <cellStyle name="好_表2_SST" xfId="149" xr:uid="{00000000-0005-0000-0000-00009F010000}"/>
    <cellStyle name="好_表2_SST 2" xfId="328" xr:uid="{00000000-0005-0000-0000-0000A0010000}"/>
    <cellStyle name="好_表21_LTS" xfId="431" xr:uid="{00000000-0005-0000-0000-0000A1010000}"/>
    <cellStyle name="好_表3_Carryover" xfId="250" xr:uid="{00000000-0005-0000-0000-0000A2010000}"/>
    <cellStyle name="好_表3_CO" xfId="208" xr:uid="{00000000-0005-0000-0000-0000A3010000}"/>
    <cellStyle name="好_表3_CO_1" xfId="336" xr:uid="{00000000-0005-0000-0000-0000A4010000}"/>
    <cellStyle name="千位分隔 2" xfId="343" xr:uid="{00000000-0005-0000-0000-00008F010000}"/>
    <cellStyle name="千位分隔 2 2" xfId="530" xr:uid="{7D988A6B-80FD-49C4-B0A6-2E41E649777D}"/>
    <cellStyle name="强调文字颜色 1" xfId="28" xr:uid="{00000000-0005-0000-0000-0000E6010000}"/>
    <cellStyle name="强调文字颜色 1 2" xfId="303" xr:uid="{00000000-0005-0000-0000-0000E7010000}"/>
    <cellStyle name="强调文字颜色 1 3" xfId="272" xr:uid="{00000000-0005-0000-0000-0000E8010000}"/>
    <cellStyle name="强调文字颜色 1 4" xfId="176" xr:uid="{00000000-0005-0000-0000-0000E9010000}"/>
    <cellStyle name="强调文字颜色 1 5" xfId="365" xr:uid="{00000000-0005-0000-0000-0000EA010000}"/>
    <cellStyle name="强调文字颜色 2" xfId="29" xr:uid="{00000000-0005-0000-0000-0000EB010000}"/>
    <cellStyle name="强调文字颜色 2 2" xfId="304" xr:uid="{00000000-0005-0000-0000-0000EC010000}"/>
    <cellStyle name="强调文字颜色 2 3" xfId="273" xr:uid="{00000000-0005-0000-0000-0000ED010000}"/>
    <cellStyle name="强调文字颜色 2 4" xfId="177" xr:uid="{00000000-0005-0000-0000-0000EE010000}"/>
    <cellStyle name="强调文字颜色 2 5" xfId="366" xr:uid="{00000000-0005-0000-0000-0000EF010000}"/>
    <cellStyle name="强调文字颜色 3" xfId="30" xr:uid="{00000000-0005-0000-0000-0000F0010000}"/>
    <cellStyle name="强调文字颜色 3 2" xfId="305" xr:uid="{00000000-0005-0000-0000-0000F1010000}"/>
    <cellStyle name="强调文字颜色 3 3" xfId="274" xr:uid="{00000000-0005-0000-0000-0000F2010000}"/>
    <cellStyle name="强调文字颜色 3 4" xfId="178" xr:uid="{00000000-0005-0000-0000-0000F3010000}"/>
    <cellStyle name="强调文字颜色 3 5" xfId="367" xr:uid="{00000000-0005-0000-0000-0000F4010000}"/>
    <cellStyle name="强调文字颜色 4" xfId="31" xr:uid="{00000000-0005-0000-0000-0000F5010000}"/>
    <cellStyle name="强调文字颜色 4 2" xfId="306" xr:uid="{00000000-0005-0000-0000-0000F6010000}"/>
    <cellStyle name="强调文字颜色 4 3" xfId="275" xr:uid="{00000000-0005-0000-0000-0000F7010000}"/>
    <cellStyle name="强调文字颜色 4 4" xfId="179" xr:uid="{00000000-0005-0000-0000-0000F8010000}"/>
    <cellStyle name="强调文字颜色 4 5" xfId="368" xr:uid="{00000000-0005-0000-0000-0000F9010000}"/>
    <cellStyle name="强调文字颜色 5" xfId="32" xr:uid="{00000000-0005-0000-0000-0000FA010000}"/>
    <cellStyle name="强调文字颜色 5 2" xfId="307" xr:uid="{00000000-0005-0000-0000-0000FB010000}"/>
    <cellStyle name="强调文字颜色 5 3" xfId="276" xr:uid="{00000000-0005-0000-0000-0000FC010000}"/>
    <cellStyle name="强调文字颜色 5 4" xfId="180" xr:uid="{00000000-0005-0000-0000-0000FD010000}"/>
    <cellStyle name="强调文字颜色 5 5" xfId="369" xr:uid="{00000000-0005-0000-0000-0000FE010000}"/>
    <cellStyle name="强调文字颜色 6" xfId="33" xr:uid="{00000000-0005-0000-0000-0000FF010000}"/>
    <cellStyle name="强调文字颜色 6 2" xfId="308" xr:uid="{00000000-0005-0000-0000-000000020000}"/>
    <cellStyle name="强调文字颜色 6 3" xfId="277" xr:uid="{00000000-0005-0000-0000-000001020000}"/>
    <cellStyle name="强调文字颜色 6 4" xfId="181" xr:uid="{00000000-0005-0000-0000-000002020000}"/>
    <cellStyle name="强调文字颜色 6 5" xfId="370" xr:uid="{00000000-0005-0000-0000-000003020000}"/>
    <cellStyle name="着色 1 2" xfId="330" xr:uid="{00000000-0005-0000-0000-000006020000}"/>
    <cellStyle name="着色 1 3" xfId="244" xr:uid="{00000000-0005-0000-0000-000007020000}"/>
    <cellStyle name="着色 2 2" xfId="331" xr:uid="{00000000-0005-0000-0000-000008020000}"/>
    <cellStyle name="着色 2 3" xfId="245" xr:uid="{00000000-0005-0000-0000-000009020000}"/>
    <cellStyle name="着色 3 2" xfId="332" xr:uid="{00000000-0005-0000-0000-00000A020000}"/>
    <cellStyle name="着色 3 3" xfId="246" xr:uid="{00000000-0005-0000-0000-00000B020000}"/>
    <cellStyle name="着色 4 2" xfId="333" xr:uid="{00000000-0005-0000-0000-00000C020000}"/>
    <cellStyle name="着色 4 3" xfId="247" xr:uid="{00000000-0005-0000-0000-00000D020000}"/>
    <cellStyle name="着色 5 2" xfId="334" xr:uid="{00000000-0005-0000-0000-00000E020000}"/>
    <cellStyle name="着色 5 3" xfId="248" xr:uid="{00000000-0005-0000-0000-00000F020000}"/>
    <cellStyle name="着色 6 2" xfId="335" xr:uid="{00000000-0005-0000-0000-000010020000}"/>
    <cellStyle name="着色 6 3" xfId="249" xr:uid="{00000000-0005-0000-0000-00001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C39"/>
  <sheetViews>
    <sheetView topLeftCell="A37" zoomScaleNormal="100" zoomScaleSheetLayoutView="100" workbookViewId="0">
      <selection activeCell="D44" sqref="D44"/>
    </sheetView>
  </sheetViews>
  <sheetFormatPr defaultColWidth="8.83203125" defaultRowHeight="19.5" customHeight="1"/>
  <cols>
    <col min="1" max="1" width="30.58203125" style="9" customWidth="1"/>
    <col min="2" max="2" width="34.83203125" style="9" customWidth="1"/>
    <col min="3" max="3" width="43.5" style="9" customWidth="1"/>
    <col min="4" max="4" width="22" style="9" customWidth="1"/>
    <col min="5" max="16384" width="8.83203125" style="9"/>
  </cols>
  <sheetData>
    <row r="1" spans="1:3" ht="19.5" customHeight="1">
      <c r="A1" s="9" t="s">
        <v>15</v>
      </c>
    </row>
    <row r="3" spans="1:3" ht="19.5" customHeight="1">
      <c r="A3" s="42" t="s">
        <v>78</v>
      </c>
      <c r="B3" s="103" t="s">
        <v>234</v>
      </c>
      <c r="C3" s="103"/>
    </row>
    <row r="4" spans="1:3" ht="19.5" customHeight="1">
      <c r="A4" s="42" t="s">
        <v>79</v>
      </c>
      <c r="B4" s="103" t="s">
        <v>142</v>
      </c>
      <c r="C4" s="103"/>
    </row>
    <row r="5" spans="1:3" ht="19.5" customHeight="1">
      <c r="A5" s="42" t="s">
        <v>80</v>
      </c>
      <c r="B5" s="104" t="s">
        <v>235</v>
      </c>
      <c r="C5" s="105"/>
    </row>
    <row r="6" spans="1:3" ht="19.5" customHeight="1">
      <c r="A6" s="42" t="s">
        <v>81</v>
      </c>
      <c r="B6" s="42" t="s">
        <v>82</v>
      </c>
      <c r="C6" s="42" t="s">
        <v>83</v>
      </c>
    </row>
    <row r="7" spans="1:3" ht="19.5" customHeight="1">
      <c r="A7" s="42" t="s">
        <v>84</v>
      </c>
      <c r="B7" s="42" t="s">
        <v>13</v>
      </c>
      <c r="C7" s="42" t="s">
        <v>14</v>
      </c>
    </row>
    <row r="8" spans="1:3" ht="19.5" customHeight="1">
      <c r="A8" s="42" t="s">
        <v>85</v>
      </c>
      <c r="B8" s="42" t="s">
        <v>12</v>
      </c>
      <c r="C8" s="42" t="s">
        <v>86</v>
      </c>
    </row>
    <row r="9" spans="1:3" ht="19.5" customHeight="1">
      <c r="A9" s="42" t="s">
        <v>87</v>
      </c>
      <c r="B9" s="42" t="s">
        <v>12</v>
      </c>
      <c r="C9" s="42" t="s">
        <v>88</v>
      </c>
    </row>
    <row r="10" spans="1:3" ht="19.5" customHeight="1">
      <c r="A10" s="45" t="s">
        <v>89</v>
      </c>
      <c r="B10" s="103" t="s">
        <v>129</v>
      </c>
      <c r="C10" s="103"/>
    </row>
    <row r="11" spans="1:3" ht="19.5" customHeight="1">
      <c r="A11" s="42" t="s">
        <v>90</v>
      </c>
      <c r="B11" s="103" t="s">
        <v>91</v>
      </c>
      <c r="C11" s="103"/>
    </row>
    <row r="12" spans="1:3" ht="19.5" customHeight="1">
      <c r="A12" s="42" t="s">
        <v>92</v>
      </c>
      <c r="B12" s="103" t="s">
        <v>93</v>
      </c>
      <c r="C12" s="103"/>
    </row>
    <row r="13" spans="1:3" ht="19.5" customHeight="1">
      <c r="A13" s="103" t="s">
        <v>94</v>
      </c>
      <c r="B13" s="107" t="s">
        <v>249</v>
      </c>
      <c r="C13" s="103"/>
    </row>
    <row r="14" spans="1:3" ht="19.5" customHeight="1">
      <c r="A14" s="103"/>
      <c r="B14" s="107" t="s">
        <v>187</v>
      </c>
      <c r="C14" s="103"/>
    </row>
    <row r="15" spans="1:3" ht="19.5" customHeight="1">
      <c r="A15" s="103" t="s">
        <v>95</v>
      </c>
      <c r="B15" s="103" t="s">
        <v>96</v>
      </c>
      <c r="C15" s="103"/>
    </row>
    <row r="16" spans="1:3" ht="19.5" customHeight="1">
      <c r="A16" s="103"/>
      <c r="B16" s="103" t="s">
        <v>97</v>
      </c>
      <c r="C16" s="103"/>
    </row>
    <row r="17" spans="1:3" ht="19.5" customHeight="1">
      <c r="A17" s="103"/>
      <c r="B17" s="108" t="s">
        <v>98</v>
      </c>
      <c r="C17" s="105"/>
    </row>
    <row r="18" spans="1:3" ht="19.5" customHeight="1">
      <c r="A18" s="42" t="s">
        <v>99</v>
      </c>
      <c r="B18" s="104" t="s">
        <v>100</v>
      </c>
      <c r="C18" s="105"/>
    </row>
    <row r="19" spans="1:3" ht="19.5" customHeight="1">
      <c r="A19" s="42" t="s">
        <v>101</v>
      </c>
      <c r="B19" s="103" t="s">
        <v>102</v>
      </c>
      <c r="C19" s="103"/>
    </row>
    <row r="20" spans="1:3" ht="19.5" customHeight="1">
      <c r="A20" s="42" t="s">
        <v>103</v>
      </c>
      <c r="B20" s="103" t="s">
        <v>104</v>
      </c>
      <c r="C20" s="103"/>
    </row>
    <row r="21" spans="1:3" ht="19.5" customHeight="1">
      <c r="A21" s="42" t="s">
        <v>16</v>
      </c>
      <c r="B21" s="103" t="s">
        <v>105</v>
      </c>
      <c r="C21" s="103"/>
    </row>
    <row r="22" spans="1:3" ht="19.5" customHeight="1">
      <c r="A22" s="42" t="s">
        <v>106</v>
      </c>
      <c r="B22" s="109" t="s">
        <v>107</v>
      </c>
      <c r="C22" s="105"/>
    </row>
    <row r="23" spans="1:3" ht="19.5" customHeight="1">
      <c r="A23" s="42" t="s">
        <v>108</v>
      </c>
      <c r="B23" s="110" t="s">
        <v>109</v>
      </c>
      <c r="C23" s="106"/>
    </row>
    <row r="24" spans="1:3" ht="19.5" customHeight="1">
      <c r="A24" s="42" t="s">
        <v>110</v>
      </c>
      <c r="B24" s="103" t="s">
        <v>111</v>
      </c>
      <c r="C24" s="103"/>
    </row>
    <row r="25" spans="1:3" ht="33" customHeight="1">
      <c r="A25" s="42" t="s">
        <v>112</v>
      </c>
      <c r="B25" s="106" t="s">
        <v>240</v>
      </c>
      <c r="C25" s="106"/>
    </row>
    <row r="26" spans="1:3" ht="19.5" customHeight="1">
      <c r="A26" s="42" t="s">
        <v>113</v>
      </c>
      <c r="B26" s="103" t="s">
        <v>114</v>
      </c>
      <c r="C26" s="103"/>
    </row>
    <row r="27" spans="1:3" ht="19.5" customHeight="1">
      <c r="A27" s="42" t="s">
        <v>115</v>
      </c>
      <c r="B27" s="103" t="s">
        <v>116</v>
      </c>
      <c r="C27" s="103"/>
    </row>
    <row r="28" spans="1:3" ht="19.5" customHeight="1">
      <c r="A28" s="42" t="s">
        <v>117</v>
      </c>
      <c r="B28" s="104" t="s">
        <v>236</v>
      </c>
      <c r="C28" s="105"/>
    </row>
    <row r="29" spans="1:3" ht="19.5" customHeight="1">
      <c r="A29" s="42" t="s">
        <v>118</v>
      </c>
      <c r="B29" s="104" t="s">
        <v>237</v>
      </c>
      <c r="C29" s="105"/>
    </row>
    <row r="30" spans="1:3" ht="19.5" customHeight="1">
      <c r="A30" s="42" t="s">
        <v>119</v>
      </c>
      <c r="B30" s="104" t="s">
        <v>237</v>
      </c>
      <c r="C30" s="105"/>
    </row>
    <row r="31" spans="1:3" ht="32.25" customHeight="1">
      <c r="A31" s="42" t="s">
        <v>120</v>
      </c>
      <c r="B31" s="106" t="s">
        <v>238</v>
      </c>
      <c r="C31" s="106"/>
    </row>
    <row r="32" spans="1:3" ht="33.75" customHeight="1">
      <c r="A32" s="23" t="s">
        <v>121</v>
      </c>
      <c r="B32" s="103" t="s">
        <v>239</v>
      </c>
      <c r="C32" s="103"/>
    </row>
    <row r="33" spans="1:3" ht="19.5" customHeight="1">
      <c r="A33" s="42" t="s">
        <v>122</v>
      </c>
      <c r="B33" s="103" t="s">
        <v>181</v>
      </c>
      <c r="C33" s="103"/>
    </row>
    <row r="34" spans="1:3" ht="19.5" customHeight="1">
      <c r="A34" s="42" t="s">
        <v>123</v>
      </c>
      <c r="B34" s="103" t="s">
        <v>182</v>
      </c>
      <c r="C34" s="103"/>
    </row>
    <row r="35" spans="1:3" ht="33.75" customHeight="1">
      <c r="A35" s="42" t="s">
        <v>124</v>
      </c>
      <c r="B35" s="103" t="s">
        <v>242</v>
      </c>
      <c r="C35" s="103"/>
    </row>
    <row r="36" spans="1:3" ht="19.5" customHeight="1">
      <c r="A36" s="42" t="s">
        <v>125</v>
      </c>
      <c r="B36" s="103" t="s">
        <v>243</v>
      </c>
      <c r="C36" s="103"/>
    </row>
    <row r="37" spans="1:3" ht="35.25" customHeight="1">
      <c r="A37" s="42" t="s">
        <v>126</v>
      </c>
      <c r="B37" s="103" t="s">
        <v>244</v>
      </c>
      <c r="C37" s="103"/>
    </row>
    <row r="38" spans="1:3" ht="39.75" customHeight="1">
      <c r="A38" s="42" t="s">
        <v>127</v>
      </c>
      <c r="B38" s="103" t="s">
        <v>245</v>
      </c>
      <c r="C38" s="103"/>
    </row>
    <row r="39" spans="1:3" ht="33" customHeight="1">
      <c r="A39" s="42" t="s">
        <v>128</v>
      </c>
      <c r="B39" s="103" t="s">
        <v>246</v>
      </c>
      <c r="C39" s="103"/>
    </row>
  </sheetData>
  <mergeCells count="35">
    <mergeCell ref="B25:C25"/>
    <mergeCell ref="B26:C26"/>
    <mergeCell ref="B27:C27"/>
    <mergeCell ref="B28:C28"/>
    <mergeCell ref="B29:C29"/>
    <mergeCell ref="B18:C18"/>
    <mergeCell ref="B24:C24"/>
    <mergeCell ref="B19:C19"/>
    <mergeCell ref="B20:C20"/>
    <mergeCell ref="B22:C22"/>
    <mergeCell ref="B23:C23"/>
    <mergeCell ref="B21:C21"/>
    <mergeCell ref="B12:C12"/>
    <mergeCell ref="B3:C3"/>
    <mergeCell ref="B4:C4"/>
    <mergeCell ref="B5:C5"/>
    <mergeCell ref="B10:C10"/>
    <mergeCell ref="B11:C11"/>
    <mergeCell ref="A13:A14"/>
    <mergeCell ref="B13:C13"/>
    <mergeCell ref="B14:C14"/>
    <mergeCell ref="A15:A17"/>
    <mergeCell ref="B15:C15"/>
    <mergeCell ref="B16:C16"/>
    <mergeCell ref="B17:C17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77" orientation="portrait" r:id="rId1"/>
  <headerFooter>
    <oddHeader>&amp;C 1632MV7生物分析方法学验证数据</oddHead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C12"/>
  <sheetViews>
    <sheetView zoomScaleNormal="100" zoomScaleSheetLayoutView="100" workbookViewId="0">
      <selection activeCell="B17" sqref="B17"/>
    </sheetView>
  </sheetViews>
  <sheetFormatPr defaultColWidth="9" defaultRowHeight="13.5"/>
  <cols>
    <col min="1" max="1" width="21" style="6" customWidth="1"/>
    <col min="2" max="3" width="29.33203125" style="6" customWidth="1"/>
    <col min="4" max="16384" width="9" style="6"/>
  </cols>
  <sheetData>
    <row r="2" spans="1:3" ht="14">
      <c r="A2" s="10" t="s">
        <v>23</v>
      </c>
    </row>
    <row r="3" spans="1:3">
      <c r="A3" s="10"/>
    </row>
    <row r="4" spans="1:3" ht="15" customHeight="1">
      <c r="A4" s="47" t="s">
        <v>130</v>
      </c>
      <c r="B4" s="47" t="s">
        <v>250</v>
      </c>
      <c r="C4" s="47" t="s">
        <v>241</v>
      </c>
    </row>
    <row r="5" spans="1:3" ht="15" customHeight="1">
      <c r="A5" s="47" t="s">
        <v>131</v>
      </c>
      <c r="B5" s="47" t="s">
        <v>234</v>
      </c>
      <c r="C5" s="47" t="s">
        <v>147</v>
      </c>
    </row>
    <row r="6" spans="1:3" ht="15" customHeight="1">
      <c r="A6" s="47" t="s">
        <v>132</v>
      </c>
      <c r="B6" s="47" t="s">
        <v>133</v>
      </c>
      <c r="C6" s="47" t="s">
        <v>148</v>
      </c>
    </row>
    <row r="7" spans="1:3" ht="15" customHeight="1">
      <c r="A7" s="47" t="s">
        <v>134</v>
      </c>
      <c r="B7" s="47">
        <v>268112</v>
      </c>
      <c r="C7" s="47" t="s">
        <v>149</v>
      </c>
    </row>
    <row r="8" spans="1:3" ht="15" customHeight="1">
      <c r="A8" s="48" t="s">
        <v>135</v>
      </c>
      <c r="B8" s="49">
        <v>0.99299999999999999</v>
      </c>
      <c r="C8" s="49" t="s">
        <v>190</v>
      </c>
    </row>
    <row r="9" spans="1:3" ht="15" customHeight="1">
      <c r="A9" s="47" t="s">
        <v>136</v>
      </c>
      <c r="B9" s="47">
        <v>493.48</v>
      </c>
      <c r="C9" s="47">
        <v>2534.8200000000002</v>
      </c>
    </row>
    <row r="10" spans="1:3" ht="15" customHeight="1">
      <c r="A10" s="47" t="s">
        <v>137</v>
      </c>
      <c r="B10" s="47" t="s">
        <v>138</v>
      </c>
      <c r="C10" s="47" t="s">
        <v>150</v>
      </c>
    </row>
    <row r="11" spans="1:3" ht="15" customHeight="1">
      <c r="A11" s="47" t="s">
        <v>139</v>
      </c>
      <c r="B11" s="50">
        <v>46627</v>
      </c>
      <c r="C11" s="50">
        <v>46470</v>
      </c>
    </row>
    <row r="12" spans="1:3">
      <c r="A12" s="47" t="s">
        <v>140</v>
      </c>
      <c r="B12" s="47" t="s">
        <v>141</v>
      </c>
      <c r="C12" s="47" t="s">
        <v>151</v>
      </c>
    </row>
  </sheetData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2:B11"/>
  <sheetViews>
    <sheetView tabSelected="1" zoomScaleNormal="100" zoomScaleSheetLayoutView="100" workbookViewId="0">
      <selection activeCell="H8" sqref="H8"/>
    </sheetView>
  </sheetViews>
  <sheetFormatPr defaultColWidth="9" defaultRowHeight="13.5"/>
  <cols>
    <col min="1" max="1" width="21" style="6" customWidth="1"/>
    <col min="2" max="2" width="30.83203125" style="6" customWidth="1"/>
    <col min="3" max="16384" width="9" style="6"/>
  </cols>
  <sheetData>
    <row r="2" spans="1:2" ht="14">
      <c r="A2" s="10" t="s">
        <v>24</v>
      </c>
    </row>
    <row r="3" spans="1:2" ht="14">
      <c r="B3" s="2"/>
    </row>
    <row r="4" spans="1:2" ht="15.75" customHeight="1">
      <c r="A4" s="47" t="s">
        <v>130</v>
      </c>
      <c r="B4" s="47" t="s">
        <v>251</v>
      </c>
    </row>
    <row r="5" spans="1:2" ht="15.75" customHeight="1">
      <c r="A5" s="47" t="s">
        <v>131</v>
      </c>
      <c r="B5" s="47" t="s">
        <v>143</v>
      </c>
    </row>
    <row r="6" spans="1:2" ht="15.75" customHeight="1">
      <c r="A6" s="47" t="s">
        <v>132</v>
      </c>
      <c r="B6" s="47" t="s">
        <v>144</v>
      </c>
    </row>
    <row r="7" spans="1:2" ht="15.75" customHeight="1">
      <c r="A7" s="47" t="s">
        <v>134</v>
      </c>
      <c r="B7" s="47">
        <v>365043</v>
      </c>
    </row>
    <row r="8" spans="1:2" ht="15.75" customHeight="1">
      <c r="A8" s="47" t="s">
        <v>145</v>
      </c>
      <c r="B8" s="49">
        <v>0.90410000000000001</v>
      </c>
    </row>
    <row r="9" spans="1:2" ht="15.75" customHeight="1">
      <c r="A9" s="47" t="s">
        <v>137</v>
      </c>
      <c r="B9" s="47" t="s">
        <v>146</v>
      </c>
    </row>
    <row r="10" spans="1:2" ht="15.75" customHeight="1">
      <c r="A10" s="47" t="s">
        <v>139</v>
      </c>
      <c r="B10" s="50">
        <v>46438</v>
      </c>
    </row>
    <row r="11" spans="1:2">
      <c r="A11" s="47" t="s">
        <v>140</v>
      </c>
      <c r="B11" s="47" t="s">
        <v>141</v>
      </c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C59"/>
  <sheetViews>
    <sheetView zoomScaleNormal="100" zoomScaleSheetLayoutView="115" workbookViewId="0">
      <selection activeCell="A5" sqref="A5:C11"/>
    </sheetView>
  </sheetViews>
  <sheetFormatPr defaultColWidth="9" defaultRowHeight="13.5"/>
  <cols>
    <col min="1" max="1" width="25.08203125" style="3" customWidth="1"/>
    <col min="2" max="2" width="35.83203125" style="3" customWidth="1"/>
    <col min="3" max="3" width="25.08203125" style="3" customWidth="1"/>
    <col min="4" max="4" width="16.5" style="3" customWidth="1"/>
    <col min="5" max="16384" width="9" style="3"/>
  </cols>
  <sheetData>
    <row r="1" spans="1:3" ht="15" customHeight="1"/>
    <row r="2" spans="1:3" ht="15" customHeight="1">
      <c r="A2" s="3" t="s">
        <v>25</v>
      </c>
    </row>
    <row r="3" spans="1:3" ht="15" customHeight="1"/>
    <row r="4" spans="1:3" ht="14" thickBot="1">
      <c r="A4" s="26" t="s">
        <v>57</v>
      </c>
      <c r="B4" s="26" t="s">
        <v>58</v>
      </c>
      <c r="C4" s="20" t="s">
        <v>59</v>
      </c>
    </row>
    <row r="5" spans="1:3" ht="15.75" customHeight="1" thickBot="1">
      <c r="A5" s="56" t="s">
        <v>152</v>
      </c>
      <c r="B5" s="89" t="s">
        <v>160</v>
      </c>
      <c r="C5" s="55" t="s">
        <v>153</v>
      </c>
    </row>
    <row r="6" spans="1:3" ht="15.75" customHeight="1" thickBot="1">
      <c r="A6" s="53" t="s">
        <v>154</v>
      </c>
      <c r="B6" s="89" t="s">
        <v>160</v>
      </c>
      <c r="C6" s="57" t="s">
        <v>153</v>
      </c>
    </row>
    <row r="7" spans="1:3" ht="15.75" customHeight="1" thickBot="1">
      <c r="A7" s="53" t="s">
        <v>155</v>
      </c>
      <c r="B7" s="89" t="s">
        <v>160</v>
      </c>
      <c r="C7" s="57" t="s">
        <v>153</v>
      </c>
    </row>
    <row r="8" spans="1:3" ht="15.75" customHeight="1" thickBot="1">
      <c r="A8" s="53" t="s">
        <v>156</v>
      </c>
      <c r="B8" s="89" t="s">
        <v>160</v>
      </c>
      <c r="C8" s="57" t="s">
        <v>153</v>
      </c>
    </row>
    <row r="9" spans="1:3" ht="15.75" customHeight="1" thickBot="1">
      <c r="A9" s="53" t="s">
        <v>157</v>
      </c>
      <c r="B9" s="89" t="s">
        <v>160</v>
      </c>
      <c r="C9" s="57" t="s">
        <v>153</v>
      </c>
    </row>
    <row r="10" spans="1:3" ht="62.25" customHeight="1" thickBot="1">
      <c r="A10" s="53" t="s">
        <v>191</v>
      </c>
      <c r="B10" s="67" t="s">
        <v>207</v>
      </c>
      <c r="C10" s="89" t="s">
        <v>159</v>
      </c>
    </row>
    <row r="11" spans="1:3" ht="15.75" customHeight="1">
      <c r="A11" s="68" t="s">
        <v>158</v>
      </c>
      <c r="B11" s="89" t="s">
        <v>160</v>
      </c>
      <c r="C11" s="80" t="s">
        <v>153</v>
      </c>
    </row>
    <row r="58" spans="2:2">
      <c r="B58" s="6"/>
    </row>
    <row r="59" spans="2:2">
      <c r="B59" s="6"/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98" orientation="portrait" r:id="rId1"/>
  <headerFooter>
    <oddHeader>&amp;C 1632MV7生物分析方法学验证数据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7"/>
  <sheetViews>
    <sheetView workbookViewId="0">
      <selection activeCell="B14" sqref="B14"/>
    </sheetView>
  </sheetViews>
  <sheetFormatPr defaultRowHeight="15.75" customHeight="1"/>
  <cols>
    <col min="1" max="1" width="21" customWidth="1"/>
    <col min="2" max="2" width="35.33203125" customWidth="1"/>
    <col min="3" max="3" width="18" customWidth="1"/>
    <col min="4" max="4" width="18.75" customWidth="1"/>
  </cols>
  <sheetData>
    <row r="1" spans="1:4" ht="15.75" customHeight="1">
      <c r="A1" s="2" t="s">
        <v>68</v>
      </c>
      <c r="B1" s="29"/>
    </row>
    <row r="3" spans="1:4" s="3" customFormat="1" ht="15.75" customHeight="1">
      <c r="A3" s="76" t="s">
        <v>55</v>
      </c>
      <c r="B3" s="76" t="s">
        <v>60</v>
      </c>
      <c r="C3" s="76" t="s">
        <v>61</v>
      </c>
      <c r="D3" s="76" t="s">
        <v>56</v>
      </c>
    </row>
    <row r="4" spans="1:4" s="3" customFormat="1" ht="15.75" customHeight="1">
      <c r="A4" s="76" t="s">
        <v>75</v>
      </c>
      <c r="B4" s="82" t="s">
        <v>62</v>
      </c>
      <c r="C4" s="74" t="s">
        <v>183</v>
      </c>
      <c r="D4" s="77">
        <v>45883</v>
      </c>
    </row>
    <row r="5" spans="1:4" s="3" customFormat="1" ht="15.75" customHeight="1">
      <c r="A5" s="76" t="s">
        <v>76</v>
      </c>
      <c r="B5" s="82" t="s">
        <v>62</v>
      </c>
      <c r="C5" s="74" t="s">
        <v>185</v>
      </c>
      <c r="D5" s="77">
        <v>45887</v>
      </c>
    </row>
    <row r="6" spans="1:4" ht="15.75" customHeight="1">
      <c r="A6" s="76" t="s">
        <v>75</v>
      </c>
      <c r="B6" s="82" t="s">
        <v>62</v>
      </c>
      <c r="C6" s="74" t="s">
        <v>186</v>
      </c>
      <c r="D6" s="77">
        <v>45967</v>
      </c>
    </row>
    <row r="7" spans="1:4" ht="15.75" customHeight="1">
      <c r="A7" s="76" t="s">
        <v>75</v>
      </c>
      <c r="B7" s="82" t="s">
        <v>62</v>
      </c>
      <c r="C7" s="74" t="s">
        <v>184</v>
      </c>
      <c r="D7" s="77">
        <v>45967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2:C12"/>
  <sheetViews>
    <sheetView zoomScaleNormal="100" zoomScaleSheetLayoutView="100" workbookViewId="0">
      <selection activeCell="A4" sqref="A4:C12"/>
    </sheetView>
  </sheetViews>
  <sheetFormatPr defaultColWidth="8.83203125" defaultRowHeight="16.5" customHeight="1"/>
  <cols>
    <col min="1" max="1" width="23.33203125" style="18" customWidth="1"/>
    <col min="2" max="2" width="26.08203125" style="18" customWidth="1"/>
    <col min="3" max="3" width="30.75" style="18" customWidth="1"/>
    <col min="4" max="16384" width="8.83203125" style="18"/>
  </cols>
  <sheetData>
    <row r="2" spans="1:3" ht="16.5" customHeight="1">
      <c r="A2" s="27" t="s">
        <v>69</v>
      </c>
    </row>
    <row r="4" spans="1:3" ht="15.75" customHeight="1">
      <c r="A4" s="28" t="s">
        <v>63</v>
      </c>
      <c r="B4" s="28" t="s">
        <v>64</v>
      </c>
      <c r="C4" s="28" t="s">
        <v>65</v>
      </c>
    </row>
    <row r="5" spans="1:3" ht="15.75" customHeight="1">
      <c r="A5" s="111" t="s">
        <v>66</v>
      </c>
      <c r="B5" s="39">
        <v>45887</v>
      </c>
      <c r="C5" s="111" t="s">
        <v>74</v>
      </c>
    </row>
    <row r="6" spans="1:3" ht="15.75" customHeight="1">
      <c r="A6" s="112"/>
      <c r="B6" s="39">
        <v>45890</v>
      </c>
      <c r="C6" s="112"/>
    </row>
    <row r="7" spans="1:3" ht="15.75" customHeight="1">
      <c r="A7" s="112"/>
      <c r="B7" s="39">
        <v>45981</v>
      </c>
      <c r="C7" s="112" t="s">
        <v>74</v>
      </c>
    </row>
    <row r="8" spans="1:3" ht="15.75" customHeight="1">
      <c r="A8" s="113"/>
      <c r="B8" s="39">
        <v>45995</v>
      </c>
      <c r="C8" s="113"/>
    </row>
    <row r="9" spans="1:3" ht="16.5" customHeight="1">
      <c r="A9" s="111" t="s">
        <v>67</v>
      </c>
      <c r="B9" s="39">
        <v>45887</v>
      </c>
      <c r="C9" s="111" t="s">
        <v>74</v>
      </c>
    </row>
    <row r="10" spans="1:3" ht="16.5" customHeight="1">
      <c r="A10" s="112"/>
      <c r="B10" s="39">
        <v>45890</v>
      </c>
      <c r="C10" s="112"/>
    </row>
    <row r="11" spans="1:3" ht="16.5" customHeight="1">
      <c r="A11" s="112"/>
      <c r="B11" s="39">
        <v>45981</v>
      </c>
      <c r="C11" s="112"/>
    </row>
    <row r="12" spans="1:3" ht="16.5" customHeight="1">
      <c r="A12" s="113"/>
      <c r="B12" s="39">
        <v>45995</v>
      </c>
      <c r="C12" s="113"/>
    </row>
  </sheetData>
  <mergeCells count="4">
    <mergeCell ref="A5:A8"/>
    <mergeCell ref="C5:C8"/>
    <mergeCell ref="A9:A12"/>
    <mergeCell ref="C9:C12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89" orientation="landscape" r:id="rId1"/>
  <headerFooter>
    <oddHeader>&amp;C18903MV01验证数据汇总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2:H26"/>
  <sheetViews>
    <sheetView topLeftCell="A7" zoomScaleNormal="100" zoomScaleSheetLayoutView="100" workbookViewId="0">
      <selection activeCell="A12" sqref="A12:F16"/>
    </sheetView>
  </sheetViews>
  <sheetFormatPr defaultColWidth="9" defaultRowHeight="13.5"/>
  <cols>
    <col min="1" max="1" width="7.83203125" style="6" customWidth="1"/>
    <col min="2" max="2" width="41.75" style="6" customWidth="1"/>
    <col min="3" max="4" width="12.25" style="6" customWidth="1"/>
    <col min="5" max="5" width="13.83203125" style="12" customWidth="1"/>
    <col min="6" max="6" width="13.83203125" style="6" customWidth="1"/>
    <col min="7" max="7" width="8.83203125" style="6"/>
    <col min="8" max="8" width="23" style="6" customWidth="1"/>
    <col min="9" max="16384" width="9" style="6"/>
  </cols>
  <sheetData>
    <row r="2" spans="1:8">
      <c r="A2" s="114" t="s">
        <v>37</v>
      </c>
      <c r="B2" s="114"/>
      <c r="C2" s="8"/>
    </row>
    <row r="3" spans="1:8">
      <c r="A3" s="10"/>
    </row>
    <row r="4" spans="1:8" ht="31.5" customHeight="1">
      <c r="A4" s="114" t="s">
        <v>37</v>
      </c>
      <c r="B4" s="114"/>
      <c r="C4" s="8"/>
    </row>
    <row r="5" spans="1:8">
      <c r="A5" s="10"/>
    </row>
    <row r="6" spans="1:8" ht="27">
      <c r="A6" s="24" t="s">
        <v>17</v>
      </c>
      <c r="B6" s="24" t="s">
        <v>18</v>
      </c>
      <c r="C6" s="24" t="s">
        <v>192</v>
      </c>
      <c r="D6" s="24" t="s">
        <v>19</v>
      </c>
      <c r="E6" s="25" t="s">
        <v>193</v>
      </c>
      <c r="F6" s="51" t="s">
        <v>194</v>
      </c>
    </row>
    <row r="7" spans="1:8" ht="16">
      <c r="A7" s="13">
        <v>1</v>
      </c>
      <c r="B7" s="60" t="s">
        <v>195</v>
      </c>
      <c r="C7" s="39">
        <v>45887</v>
      </c>
      <c r="D7" s="39">
        <v>45888</v>
      </c>
      <c r="E7" s="24" t="s">
        <v>196</v>
      </c>
      <c r="F7" s="51" t="s">
        <v>197</v>
      </c>
      <c r="H7" s="71"/>
    </row>
    <row r="8" spans="1:8" ht="29.5">
      <c r="A8" s="13">
        <v>2</v>
      </c>
      <c r="B8" s="60" t="s">
        <v>198</v>
      </c>
      <c r="C8" s="39">
        <v>45890</v>
      </c>
      <c r="D8" s="39">
        <v>45890</v>
      </c>
      <c r="E8" s="87" t="s">
        <v>199</v>
      </c>
      <c r="F8" s="51" t="s">
        <v>197</v>
      </c>
      <c r="H8" s="71"/>
    </row>
    <row r="9" spans="1:8" ht="16">
      <c r="A9" s="13">
        <v>3</v>
      </c>
      <c r="B9" s="54" t="s">
        <v>200</v>
      </c>
      <c r="C9" s="39">
        <v>45890</v>
      </c>
      <c r="D9" s="39">
        <v>45891</v>
      </c>
      <c r="E9" s="87" t="s">
        <v>201</v>
      </c>
      <c r="F9" s="51" t="s">
        <v>197</v>
      </c>
      <c r="H9" s="71"/>
    </row>
    <row r="10" spans="1:8" ht="27">
      <c r="A10" s="13">
        <v>4</v>
      </c>
      <c r="B10" s="46" t="s">
        <v>77</v>
      </c>
      <c r="C10" s="39">
        <v>45981</v>
      </c>
      <c r="D10" s="39">
        <v>45981</v>
      </c>
      <c r="E10" s="25" t="s">
        <v>26</v>
      </c>
      <c r="F10" s="51" t="s">
        <v>161</v>
      </c>
      <c r="H10" s="71"/>
    </row>
    <row r="11" spans="1:8" ht="27">
      <c r="A11" s="13">
        <v>5</v>
      </c>
      <c r="B11" s="46" t="s">
        <v>77</v>
      </c>
      <c r="C11" s="39">
        <v>45995</v>
      </c>
      <c r="D11" s="39">
        <v>45996</v>
      </c>
      <c r="E11" s="25" t="s">
        <v>26</v>
      </c>
      <c r="F11" s="51" t="s">
        <v>161</v>
      </c>
      <c r="H11" s="71"/>
    </row>
    <row r="12" spans="1:8">
      <c r="A12" s="9" t="s">
        <v>50</v>
      </c>
    </row>
    <row r="13" spans="1:8" ht="41.25" customHeight="1">
      <c r="A13" s="115" t="s">
        <v>202</v>
      </c>
      <c r="B13" s="116"/>
      <c r="C13" s="116"/>
      <c r="D13" s="116"/>
      <c r="E13" s="116"/>
      <c r="F13" s="116"/>
    </row>
    <row r="14" spans="1:8">
      <c r="A14" s="44" t="s">
        <v>203</v>
      </c>
    </row>
    <row r="15" spans="1:8" ht="14.25" customHeight="1">
      <c r="A15" s="58" t="s">
        <v>204</v>
      </c>
    </row>
    <row r="16" spans="1:8">
      <c r="A16" s="44" t="s">
        <v>205</v>
      </c>
    </row>
    <row r="19" spans="2:8" ht="14">
      <c r="B19" s="11"/>
      <c r="C19" s="11"/>
      <c r="D19" s="11"/>
      <c r="E19" s="11"/>
    </row>
    <row r="20" spans="2:8" ht="14">
      <c r="B20" s="11"/>
      <c r="C20" s="11"/>
      <c r="D20" s="11"/>
      <c r="E20" s="11"/>
    </row>
    <row r="21" spans="2:8" ht="14">
      <c r="B21" s="11"/>
      <c r="C21" s="11"/>
      <c r="D21" s="11"/>
      <c r="E21" s="11"/>
    </row>
    <row r="22" spans="2:8" ht="14">
      <c r="B22" s="11"/>
      <c r="C22" s="11"/>
      <c r="D22" s="11"/>
      <c r="E22" s="11"/>
    </row>
    <row r="23" spans="2:8" ht="14">
      <c r="B23" s="11"/>
      <c r="C23" s="11"/>
      <c r="D23" s="11"/>
      <c r="E23" s="11"/>
    </row>
    <row r="24" spans="2:8" ht="14">
      <c r="B24" s="11"/>
      <c r="C24" s="11"/>
      <c r="D24" s="11"/>
      <c r="E24" s="11"/>
      <c r="G24" s="14"/>
      <c r="H24" s="14"/>
    </row>
    <row r="25" spans="2:8" ht="14">
      <c r="B25" s="11"/>
      <c r="C25" s="11"/>
      <c r="D25" s="11"/>
      <c r="E25" s="11"/>
    </row>
    <row r="26" spans="2:8" ht="14">
      <c r="B26" s="11"/>
      <c r="C26" s="11"/>
      <c r="D26" s="11"/>
      <c r="E26" s="11"/>
    </row>
  </sheetData>
  <mergeCells count="3">
    <mergeCell ref="A2:B2"/>
    <mergeCell ref="A4:B4"/>
    <mergeCell ref="A13:F13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82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2:D12"/>
  <sheetViews>
    <sheetView zoomScaleSheetLayoutView="100" workbookViewId="0">
      <selection activeCell="A7" sqref="A7:D11"/>
    </sheetView>
  </sheetViews>
  <sheetFormatPr defaultColWidth="8.83203125" defaultRowHeight="13.5"/>
  <cols>
    <col min="1" max="4" width="17.5" style="5" customWidth="1"/>
    <col min="5" max="8" width="17.58203125" style="5" customWidth="1"/>
    <col min="9" max="16384" width="8.83203125" style="5"/>
  </cols>
  <sheetData>
    <row r="2" spans="1:4">
      <c r="A2" s="117" t="s">
        <v>36</v>
      </c>
      <c r="B2" s="117"/>
      <c r="C2" s="117"/>
    </row>
    <row r="4" spans="1:4">
      <c r="A4" s="31"/>
    </row>
    <row r="5" spans="1:4" ht="16.5" customHeight="1">
      <c r="A5" s="118" t="s">
        <v>17</v>
      </c>
      <c r="B5" s="119" t="s">
        <v>38</v>
      </c>
      <c r="C5" s="120"/>
      <c r="D5" s="121"/>
    </row>
    <row r="6" spans="1:4" ht="16.5" customHeight="1">
      <c r="A6" s="118"/>
      <c r="B6" s="24" t="s">
        <v>49</v>
      </c>
      <c r="C6" s="24" t="s">
        <v>20</v>
      </c>
      <c r="D6" s="20" t="s">
        <v>54</v>
      </c>
    </row>
    <row r="7" spans="1:4" ht="16.5" customHeight="1">
      <c r="A7" s="51">
        <v>1</v>
      </c>
      <c r="B7" s="75">
        <v>0</v>
      </c>
      <c r="C7" s="75">
        <v>0</v>
      </c>
      <c r="D7" s="75">
        <v>4</v>
      </c>
    </row>
    <row r="8" spans="1:4" ht="16.5" customHeight="1">
      <c r="A8" s="51">
        <v>2</v>
      </c>
      <c r="B8" s="75">
        <v>0.6</v>
      </c>
      <c r="C8" s="75">
        <v>0</v>
      </c>
      <c r="D8" s="75">
        <v>2</v>
      </c>
    </row>
    <row r="9" spans="1:4" ht="16.5" customHeight="1">
      <c r="A9" s="51">
        <v>3</v>
      </c>
      <c r="B9" s="75">
        <v>0.6</v>
      </c>
      <c r="C9" s="75">
        <v>0</v>
      </c>
      <c r="D9" s="75">
        <v>2.2999999999999998</v>
      </c>
    </row>
    <row r="10" spans="1:4" ht="16.5" customHeight="1">
      <c r="A10" s="51">
        <v>4</v>
      </c>
      <c r="B10" s="75">
        <v>0</v>
      </c>
      <c r="C10" s="75">
        <v>0</v>
      </c>
      <c r="D10" s="75">
        <v>2.2999999999999998</v>
      </c>
    </row>
    <row r="11" spans="1:4" ht="16.5" customHeight="1">
      <c r="A11" s="51">
        <v>5</v>
      </c>
      <c r="B11" s="75">
        <v>0.6</v>
      </c>
      <c r="C11" s="75">
        <v>0</v>
      </c>
      <c r="D11" s="75">
        <v>6</v>
      </c>
    </row>
    <row r="12" spans="1:4" ht="16.5" customHeight="1"/>
  </sheetData>
  <mergeCells count="3">
    <mergeCell ref="A2:C2"/>
    <mergeCell ref="A5:A6"/>
    <mergeCell ref="B5:D5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84" orientation="portrait" r:id="rId1"/>
  <headerFooter>
    <oddHeader>&amp;C 1632MV7生物分析方法学验证数据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2:I25"/>
  <sheetViews>
    <sheetView zoomScaleNormal="100" zoomScaleSheetLayoutView="100" workbookViewId="0">
      <selection activeCell="I8" sqref="I8"/>
    </sheetView>
  </sheetViews>
  <sheetFormatPr defaultColWidth="8.83203125" defaultRowHeight="13.5"/>
  <cols>
    <col min="1" max="1" width="9.83203125" style="6" customWidth="1"/>
    <col min="2" max="2" width="15.08203125" style="6" customWidth="1"/>
    <col min="3" max="3" width="14.75" style="6" customWidth="1"/>
    <col min="4" max="6" width="11.08203125" style="6" customWidth="1"/>
    <col min="7" max="7" width="15" style="6" customWidth="1"/>
    <col min="8" max="8" width="9.75" style="6" customWidth="1"/>
    <col min="9" max="9" width="11.83203125" style="6" customWidth="1"/>
    <col min="10" max="10" width="11.08203125" style="6" customWidth="1"/>
    <col min="11" max="16384" width="8.83203125" style="6"/>
  </cols>
  <sheetData>
    <row r="2" spans="1:9" s="5" customFormat="1" ht="18" customHeight="1">
      <c r="A2" s="124" t="s">
        <v>29</v>
      </c>
      <c r="B2" s="124"/>
      <c r="C2" s="124"/>
    </row>
    <row r="3" spans="1:9" s="5" customFormat="1" ht="18" customHeight="1">
      <c r="A3" s="9"/>
      <c r="B3" s="9"/>
      <c r="C3" s="9"/>
    </row>
    <row r="4" spans="1:9" s="5" customFormat="1" ht="18" customHeight="1">
      <c r="A4" s="125"/>
      <c r="B4" s="125"/>
      <c r="C4" s="125"/>
    </row>
    <row r="5" spans="1:9" ht="70.5" customHeight="1">
      <c r="A5" s="24" t="s">
        <v>46</v>
      </c>
      <c r="B5" s="24" t="s">
        <v>47</v>
      </c>
      <c r="C5" s="24" t="s">
        <v>48</v>
      </c>
      <c r="D5" s="24" t="s">
        <v>70</v>
      </c>
      <c r="E5" s="24" t="s">
        <v>71</v>
      </c>
      <c r="F5" s="87" t="s">
        <v>72</v>
      </c>
      <c r="G5" s="24" t="s">
        <v>73</v>
      </c>
      <c r="H5" s="24" t="s">
        <v>41</v>
      </c>
      <c r="I5" s="24" t="s">
        <v>42</v>
      </c>
    </row>
    <row r="6" spans="1:9" ht="14.25" customHeight="1">
      <c r="A6" s="122">
        <v>1</v>
      </c>
      <c r="B6" s="24">
        <v>0</v>
      </c>
      <c r="C6" s="24">
        <v>0</v>
      </c>
      <c r="D6" s="24">
        <v>1658</v>
      </c>
      <c r="E6" s="24">
        <v>40390</v>
      </c>
      <c r="F6" s="126">
        <f>ROUND(AVERAGE(D6:D7),0)</f>
        <v>1543</v>
      </c>
      <c r="G6" s="122">
        <f>ROUND(AVERAGE(E6:E7),0)</f>
        <v>40555</v>
      </c>
      <c r="H6" s="88">
        <f>ROUND(B6/F6*100,1)</f>
        <v>0</v>
      </c>
      <c r="I6" s="88">
        <f>ROUND(C6/G6*100,1)</f>
        <v>0</v>
      </c>
    </row>
    <row r="7" spans="1:9" ht="14.25" customHeight="1">
      <c r="A7" s="123"/>
      <c r="B7" s="24">
        <v>0</v>
      </c>
      <c r="C7" s="24">
        <v>0</v>
      </c>
      <c r="D7" s="24">
        <v>1428</v>
      </c>
      <c r="E7" s="24">
        <v>40720</v>
      </c>
      <c r="F7" s="127"/>
      <c r="G7" s="123"/>
      <c r="H7" s="88">
        <f>ROUND(B7/F6*100,1)</f>
        <v>0</v>
      </c>
      <c r="I7" s="88">
        <f>ROUND(C7/G6*100,1)</f>
        <v>0</v>
      </c>
    </row>
    <row r="8" spans="1:9" ht="14.25" customHeight="1">
      <c r="A8" s="122">
        <v>2</v>
      </c>
      <c r="B8" s="24">
        <v>0</v>
      </c>
      <c r="C8" s="24">
        <v>0</v>
      </c>
      <c r="D8" s="24">
        <v>1576</v>
      </c>
      <c r="E8" s="24">
        <v>37017</v>
      </c>
      <c r="F8" s="126">
        <f>ROUND(AVERAGE(D8:D9),0)</f>
        <v>1627</v>
      </c>
      <c r="G8" s="122">
        <f>ROUND(AVERAGE(E8:E9),0)</f>
        <v>36267</v>
      </c>
      <c r="H8" s="88">
        <f>ROUND(B8/F8*100,1)</f>
        <v>0</v>
      </c>
      <c r="I8" s="88">
        <f>ROUND(C8/G8*100,1)</f>
        <v>0</v>
      </c>
    </row>
    <row r="9" spans="1:9" ht="14.25" customHeight="1">
      <c r="A9" s="123"/>
      <c r="B9" s="24">
        <v>0</v>
      </c>
      <c r="C9" s="24">
        <v>0</v>
      </c>
      <c r="D9" s="24">
        <v>1677</v>
      </c>
      <c r="E9" s="24">
        <v>35516</v>
      </c>
      <c r="F9" s="127"/>
      <c r="G9" s="123"/>
      <c r="H9" s="88">
        <f>ROUND(B9/F8*100,1)</f>
        <v>0</v>
      </c>
      <c r="I9" s="88">
        <f>ROUND(C9/G8*100,1)</f>
        <v>0</v>
      </c>
    </row>
    <row r="10" spans="1:9" ht="14.25" customHeight="1">
      <c r="A10" s="122">
        <v>4</v>
      </c>
      <c r="B10" s="24">
        <v>0</v>
      </c>
      <c r="C10" s="24">
        <v>0</v>
      </c>
      <c r="D10" s="24">
        <v>2765</v>
      </c>
      <c r="E10" s="24">
        <v>75144</v>
      </c>
      <c r="F10" s="126">
        <f>ROUND(AVERAGE(D10:D11),0)</f>
        <v>2846</v>
      </c>
      <c r="G10" s="122">
        <f>ROUND(AVERAGE(E10:E11),0)</f>
        <v>77653</v>
      </c>
      <c r="H10" s="88">
        <f>ROUND(B10/F10*100,1)</f>
        <v>0</v>
      </c>
      <c r="I10" s="88">
        <f>ROUND(C10/G10*100,1)</f>
        <v>0</v>
      </c>
    </row>
    <row r="11" spans="1:9" ht="14.25" customHeight="1">
      <c r="A11" s="123"/>
      <c r="B11" s="24">
        <v>0</v>
      </c>
      <c r="C11" s="24">
        <v>0</v>
      </c>
      <c r="D11" s="24">
        <v>2926</v>
      </c>
      <c r="E11" s="24">
        <v>80162</v>
      </c>
      <c r="F11" s="127"/>
      <c r="G11" s="123"/>
      <c r="H11" s="88">
        <f>ROUND(B11/F10*100,1)</f>
        <v>0</v>
      </c>
      <c r="I11" s="88">
        <f>ROUND(C11/G10*100,1)</f>
        <v>0</v>
      </c>
    </row>
    <row r="12" spans="1:9" ht="14.25" customHeight="1">
      <c r="A12" s="122">
        <v>5</v>
      </c>
      <c r="B12" s="24">
        <v>0</v>
      </c>
      <c r="C12" s="24">
        <v>0</v>
      </c>
      <c r="D12" s="24">
        <v>2641</v>
      </c>
      <c r="E12" s="24">
        <v>71747</v>
      </c>
      <c r="F12" s="126">
        <f>ROUND(AVERAGE(D12:D13),0)</f>
        <v>2511</v>
      </c>
      <c r="G12" s="122">
        <f>ROUND(AVERAGE(E12:E13),0)</f>
        <v>72830</v>
      </c>
      <c r="H12" s="88">
        <f>ROUND(B12/F12*100,1)</f>
        <v>0</v>
      </c>
      <c r="I12" s="88">
        <f>ROUND(C12/G12*100,1)</f>
        <v>0</v>
      </c>
    </row>
    <row r="13" spans="1:9" ht="14.25" customHeight="1">
      <c r="A13" s="123"/>
      <c r="B13" s="24">
        <v>0</v>
      </c>
      <c r="C13" s="24">
        <v>0</v>
      </c>
      <c r="D13" s="24">
        <v>2380</v>
      </c>
      <c r="E13" s="24">
        <v>73912</v>
      </c>
      <c r="F13" s="127"/>
      <c r="G13" s="123"/>
      <c r="H13" s="88">
        <f>ROUND(B13/F12*100,1)</f>
        <v>0</v>
      </c>
      <c r="I13" s="88">
        <f>ROUND(C13/G12*100,1)</f>
        <v>0</v>
      </c>
    </row>
    <row r="14" spans="1:9">
      <c r="B14" s="8"/>
    </row>
    <row r="17" ht="70.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</sheetData>
  <mergeCells count="14">
    <mergeCell ref="F12:F13"/>
    <mergeCell ref="G6:G7"/>
    <mergeCell ref="G8:G9"/>
    <mergeCell ref="G10:G11"/>
    <mergeCell ref="G12:G13"/>
    <mergeCell ref="F6:F7"/>
    <mergeCell ref="F8:F9"/>
    <mergeCell ref="F10:F11"/>
    <mergeCell ref="A12:A13"/>
    <mergeCell ref="A2:C2"/>
    <mergeCell ref="A4:C4"/>
    <mergeCell ref="A6:A7"/>
    <mergeCell ref="A8:A9"/>
    <mergeCell ref="A10:A11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76"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2:H58"/>
  <sheetViews>
    <sheetView zoomScaleNormal="100" zoomScaleSheetLayoutView="100" zoomScalePageLayoutView="90" workbookViewId="0">
      <selection activeCell="C10" sqref="C10:E13"/>
    </sheetView>
  </sheetViews>
  <sheetFormatPr defaultColWidth="9" defaultRowHeight="13.5"/>
  <cols>
    <col min="1" max="1" width="12.5" style="3" customWidth="1"/>
    <col min="2" max="2" width="12.25" style="3" customWidth="1"/>
    <col min="3" max="5" width="9.33203125" style="3" customWidth="1"/>
    <col min="6" max="6" width="16.33203125" style="3" customWidth="1"/>
    <col min="7" max="7" width="13" style="3" customWidth="1"/>
    <col min="8" max="16384" width="9" style="3"/>
  </cols>
  <sheetData>
    <row r="2" spans="1:7" ht="15.75" customHeight="1">
      <c r="A2" s="130" t="s">
        <v>34</v>
      </c>
      <c r="B2" s="130"/>
      <c r="C2" s="130"/>
      <c r="D2" s="130"/>
    </row>
    <row r="3" spans="1:7" ht="15.75" customHeight="1">
      <c r="A3" s="19"/>
      <c r="B3" s="19"/>
      <c r="C3" s="19"/>
      <c r="D3" s="19"/>
    </row>
    <row r="4" spans="1:7" ht="15.75" customHeight="1">
      <c r="A4" s="128"/>
      <c r="B4" s="129"/>
      <c r="C4" s="129"/>
      <c r="D4" s="129"/>
    </row>
    <row r="5" spans="1:7" s="16" customFormat="1" ht="30" customHeight="1">
      <c r="A5" s="24" t="s">
        <v>19</v>
      </c>
      <c r="B5" s="24" t="s">
        <v>17</v>
      </c>
      <c r="C5" s="24" t="s">
        <v>162</v>
      </c>
      <c r="D5" s="24" t="s">
        <v>163</v>
      </c>
      <c r="E5" s="24" t="s">
        <v>164</v>
      </c>
      <c r="F5" s="24" t="s">
        <v>165</v>
      </c>
      <c r="G5" s="24" t="s">
        <v>166</v>
      </c>
    </row>
    <row r="6" spans="1:7" s="16" customFormat="1" ht="16.5" customHeight="1">
      <c r="A6" s="84">
        <v>45888</v>
      </c>
      <c r="B6" s="85">
        <v>1</v>
      </c>
      <c r="C6" s="72">
        <v>2.4549999999999999E-2</v>
      </c>
      <c r="D6" s="79">
        <v>1.877E-3</v>
      </c>
      <c r="E6" s="81">
        <v>0.998</v>
      </c>
      <c r="F6" s="69">
        <v>1.5</v>
      </c>
      <c r="G6" s="69">
        <v>1500</v>
      </c>
    </row>
    <row r="7" spans="1:7" s="16" customFormat="1" ht="16.5" customHeight="1">
      <c r="A7" s="84">
        <v>45890</v>
      </c>
      <c r="B7" s="85">
        <v>2</v>
      </c>
      <c r="C7" s="72">
        <v>2.443E-2</v>
      </c>
      <c r="D7" s="79">
        <v>7.6530000000000001E-3</v>
      </c>
      <c r="E7" s="81">
        <v>0.99829999999999997</v>
      </c>
      <c r="F7" s="69">
        <v>1.5</v>
      </c>
      <c r="G7" s="69">
        <v>1500</v>
      </c>
    </row>
    <row r="8" spans="1:7" s="16" customFormat="1" ht="16.5" customHeight="1">
      <c r="A8" s="84">
        <v>45981</v>
      </c>
      <c r="B8" s="85">
        <v>4</v>
      </c>
      <c r="C8" s="72">
        <v>2.222E-2</v>
      </c>
      <c r="D8" s="79">
        <v>3.4989999999999999E-3</v>
      </c>
      <c r="E8" s="81">
        <v>0.99860000000000004</v>
      </c>
      <c r="F8" s="69">
        <v>1.5</v>
      </c>
      <c r="G8" s="69">
        <v>1500</v>
      </c>
    </row>
    <row r="9" spans="1:7" s="16" customFormat="1" ht="16.5" customHeight="1">
      <c r="A9" s="84">
        <v>45996</v>
      </c>
      <c r="B9" s="85">
        <v>5</v>
      </c>
      <c r="C9" s="72">
        <v>2.1989999999999999E-2</v>
      </c>
      <c r="D9" s="79">
        <v>2.1489999999999999E-3</v>
      </c>
      <c r="E9" s="81">
        <v>0.99750000000000005</v>
      </c>
      <c r="F9" s="69">
        <v>1.5</v>
      </c>
      <c r="G9" s="69">
        <v>1500</v>
      </c>
    </row>
    <row r="10" spans="1:7" s="16" customFormat="1" ht="16.5" customHeight="1">
      <c r="A10" s="20" t="s">
        <v>22</v>
      </c>
      <c r="B10" s="131"/>
      <c r="C10" s="72">
        <v>2.3300000000000001E-2</v>
      </c>
      <c r="D10" s="79">
        <v>3.7950000000000002E-3</v>
      </c>
      <c r="E10" s="81">
        <v>0.99809999999999999</v>
      </c>
      <c r="F10" s="131"/>
      <c r="G10" s="131"/>
    </row>
    <row r="11" spans="1:7" s="16" customFormat="1" ht="16.5" customHeight="1">
      <c r="A11" s="20" t="s">
        <v>2</v>
      </c>
      <c r="B11" s="131"/>
      <c r="C11" s="79">
        <v>1.3810000000000001E-3</v>
      </c>
      <c r="D11" s="79">
        <v>2.6679999999999998E-3</v>
      </c>
      <c r="E11" s="81">
        <v>5.0000000000000001E-4</v>
      </c>
      <c r="F11" s="131"/>
      <c r="G11" s="131"/>
    </row>
    <row r="12" spans="1:7" s="16" customFormat="1" ht="16.5" customHeight="1">
      <c r="A12" s="20" t="s">
        <v>38</v>
      </c>
      <c r="B12" s="131"/>
      <c r="C12" s="86">
        <v>5.9</v>
      </c>
      <c r="D12" s="86">
        <v>70.3</v>
      </c>
      <c r="E12" s="86">
        <v>0.1</v>
      </c>
      <c r="F12" s="131"/>
      <c r="G12" s="131"/>
    </row>
    <row r="13" spans="1:7" s="16" customFormat="1" ht="16.5" customHeight="1">
      <c r="A13" s="20" t="s">
        <v>3</v>
      </c>
      <c r="B13" s="131"/>
      <c r="C13" s="85">
        <v>4</v>
      </c>
      <c r="D13" s="85">
        <v>4</v>
      </c>
      <c r="E13" s="85">
        <v>4</v>
      </c>
      <c r="F13" s="131"/>
      <c r="G13" s="131"/>
    </row>
    <row r="14" spans="1:7">
      <c r="A14" s="3" t="s">
        <v>35</v>
      </c>
    </row>
    <row r="18" spans="1:8" s="16" customFormat="1" ht="30" customHeight="1">
      <c r="A18" s="3"/>
      <c r="B18" s="3"/>
      <c r="C18" s="3"/>
      <c r="D18" s="3"/>
      <c r="E18" s="3"/>
      <c r="F18" s="3"/>
      <c r="G18" s="3"/>
      <c r="H18" s="3"/>
    </row>
    <row r="19" spans="1:8" s="16" customFormat="1" ht="16.5" customHeight="1">
      <c r="A19" s="3"/>
      <c r="B19" s="3"/>
      <c r="C19" s="3"/>
      <c r="D19" s="3"/>
      <c r="E19" s="3"/>
      <c r="F19" s="3"/>
      <c r="G19" s="3"/>
      <c r="H19" s="3"/>
    </row>
    <row r="20" spans="1:8" s="16" customFormat="1" ht="16.5" customHeight="1">
      <c r="A20" s="3"/>
      <c r="B20" s="3"/>
      <c r="C20" s="3"/>
      <c r="D20" s="3"/>
      <c r="E20" s="3"/>
      <c r="F20" s="3"/>
      <c r="G20" s="3"/>
      <c r="H20" s="3"/>
    </row>
    <row r="21" spans="1:8" s="16" customFormat="1" ht="16.5" customHeight="1">
      <c r="A21" s="3"/>
      <c r="B21" s="3"/>
      <c r="C21" s="3"/>
      <c r="D21" s="3"/>
      <c r="E21" s="3"/>
      <c r="F21" s="3"/>
      <c r="G21" s="3"/>
      <c r="H21" s="3"/>
    </row>
    <row r="22" spans="1:8" s="16" customFormat="1" ht="16.5" customHeight="1">
      <c r="A22" s="3"/>
      <c r="B22" s="3"/>
      <c r="C22" s="3"/>
      <c r="D22" s="3"/>
      <c r="E22" s="3"/>
      <c r="F22" s="3"/>
      <c r="G22" s="3"/>
      <c r="H22" s="3"/>
    </row>
    <row r="23" spans="1:8" s="16" customFormat="1" ht="16.5" customHeight="1">
      <c r="A23" s="3"/>
      <c r="B23" s="3"/>
      <c r="C23" s="3"/>
      <c r="D23" s="3"/>
      <c r="E23" s="3"/>
      <c r="F23" s="3"/>
      <c r="G23" s="3"/>
      <c r="H23" s="3"/>
    </row>
    <row r="24" spans="1:8" s="16" customFormat="1" ht="16.5" customHeight="1">
      <c r="A24" s="3"/>
      <c r="B24" s="3"/>
      <c r="C24" s="3"/>
      <c r="D24" s="3"/>
      <c r="E24" s="3"/>
      <c r="F24" s="3"/>
      <c r="G24" s="3"/>
      <c r="H24" s="3"/>
    </row>
    <row r="25" spans="1:8" s="16" customFormat="1" ht="16.5" customHeight="1">
      <c r="A25" s="3"/>
      <c r="B25" s="3"/>
      <c r="C25" s="3"/>
      <c r="D25" s="3"/>
      <c r="E25" s="3"/>
      <c r="F25" s="3"/>
      <c r="G25" s="3"/>
      <c r="H25" s="3"/>
    </row>
    <row r="26" spans="1:8" s="16" customFormat="1" ht="16.5" customHeight="1">
      <c r="A26" s="3"/>
      <c r="B26" s="3"/>
      <c r="C26" s="3"/>
      <c r="D26" s="3"/>
      <c r="E26" s="3"/>
      <c r="F26" s="3"/>
      <c r="G26" s="3"/>
      <c r="H26" s="3"/>
    </row>
    <row r="57" spans="2:2">
      <c r="B57" s="6"/>
    </row>
    <row r="58" spans="2:2">
      <c r="B58" s="6"/>
    </row>
  </sheetData>
  <mergeCells count="4">
    <mergeCell ref="A4:D4"/>
    <mergeCell ref="A2:D2"/>
    <mergeCell ref="B10:B13"/>
    <mergeCell ref="F10:G13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2:R34"/>
  <sheetViews>
    <sheetView topLeftCell="A4" zoomScaleNormal="100" zoomScaleSheetLayoutView="100" workbookViewId="0">
      <selection activeCell="A5" sqref="A5:R20"/>
    </sheetView>
  </sheetViews>
  <sheetFormatPr defaultColWidth="9" defaultRowHeight="13.5"/>
  <cols>
    <col min="1" max="1" width="12.75" style="1" customWidth="1"/>
    <col min="2" max="2" width="7.33203125" style="1" customWidth="1"/>
    <col min="3" max="3" width="8.83203125" style="1" customWidth="1"/>
    <col min="4" max="4" width="6.83203125" style="1" customWidth="1"/>
    <col min="5" max="5" width="8.08203125" style="1" customWidth="1"/>
    <col min="6" max="6" width="7.25" style="1" customWidth="1"/>
    <col min="7" max="7" width="8.25" style="1" customWidth="1"/>
    <col min="8" max="8" width="7.33203125" style="1" customWidth="1"/>
    <col min="9" max="9" width="8.58203125" style="1" customWidth="1"/>
    <col min="10" max="10" width="6.75" style="1" customWidth="1"/>
    <col min="11" max="11" width="8.75" style="1" customWidth="1"/>
    <col min="12" max="12" width="7.25" style="1" customWidth="1"/>
    <col min="13" max="13" width="9.33203125" style="1" customWidth="1"/>
    <col min="14" max="14" width="7" style="1" customWidth="1"/>
    <col min="15" max="15" width="8.75" style="1" customWidth="1"/>
    <col min="16" max="16" width="6.58203125" style="1" customWidth="1"/>
    <col min="17" max="17" width="9.5" style="1" customWidth="1"/>
    <col min="18" max="18" width="6.83203125" style="1" customWidth="1"/>
    <col min="19" max="16384" width="9" style="1"/>
  </cols>
  <sheetData>
    <row r="2" spans="1:18">
      <c r="A2" s="135" t="s">
        <v>33</v>
      </c>
      <c r="B2" s="135"/>
      <c r="C2" s="135"/>
      <c r="D2" s="135"/>
      <c r="E2" s="135"/>
    </row>
    <row r="3" spans="1:18">
      <c r="A3" s="22"/>
      <c r="B3" s="22"/>
      <c r="C3" s="22"/>
      <c r="D3" s="22"/>
      <c r="E3" s="22"/>
    </row>
    <row r="4" spans="1:18">
      <c r="A4" s="136"/>
      <c r="B4" s="125"/>
      <c r="C4" s="125"/>
      <c r="D4" s="125"/>
      <c r="E4" s="125"/>
    </row>
    <row r="5" spans="1:18" ht="14.15" customHeight="1">
      <c r="A5" s="118" t="s">
        <v>19</v>
      </c>
      <c r="B5" s="118" t="s">
        <v>17</v>
      </c>
      <c r="C5" s="24" t="s">
        <v>4</v>
      </c>
      <c r="D5" s="118" t="s">
        <v>40</v>
      </c>
      <c r="E5" s="24" t="s">
        <v>5</v>
      </c>
      <c r="F5" s="118" t="s">
        <v>40</v>
      </c>
      <c r="G5" s="24" t="s">
        <v>6</v>
      </c>
      <c r="H5" s="118" t="s">
        <v>40</v>
      </c>
      <c r="I5" s="24" t="s">
        <v>7</v>
      </c>
      <c r="J5" s="118" t="s">
        <v>40</v>
      </c>
      <c r="K5" s="24" t="s">
        <v>8</v>
      </c>
      <c r="L5" s="118" t="s">
        <v>167</v>
      </c>
      <c r="M5" s="24" t="s">
        <v>9</v>
      </c>
      <c r="N5" s="118" t="s">
        <v>167</v>
      </c>
      <c r="O5" s="24" t="s">
        <v>10</v>
      </c>
      <c r="P5" s="118" t="s">
        <v>167</v>
      </c>
      <c r="Q5" s="24" t="s">
        <v>11</v>
      </c>
      <c r="R5" s="118" t="s">
        <v>167</v>
      </c>
    </row>
    <row r="6" spans="1:18" s="32" customFormat="1">
      <c r="A6" s="118"/>
      <c r="B6" s="118"/>
      <c r="C6" s="73">
        <v>1.5</v>
      </c>
      <c r="D6" s="118"/>
      <c r="E6" s="73">
        <v>3</v>
      </c>
      <c r="F6" s="118"/>
      <c r="G6" s="73">
        <v>7.5</v>
      </c>
      <c r="H6" s="118"/>
      <c r="I6" s="73">
        <v>30</v>
      </c>
      <c r="J6" s="118"/>
      <c r="K6" s="73">
        <v>150</v>
      </c>
      <c r="L6" s="118"/>
      <c r="M6" s="73">
        <v>750</v>
      </c>
      <c r="N6" s="118"/>
      <c r="O6" s="73">
        <v>1200</v>
      </c>
      <c r="P6" s="118"/>
      <c r="Q6" s="73">
        <v>1500</v>
      </c>
      <c r="R6" s="118"/>
    </row>
    <row r="7" spans="1:18" s="30" customFormat="1">
      <c r="A7" s="118"/>
      <c r="B7" s="118"/>
      <c r="C7" s="61" t="s">
        <v>168</v>
      </c>
      <c r="D7" s="118"/>
      <c r="E7" s="61" t="s">
        <v>168</v>
      </c>
      <c r="F7" s="118"/>
      <c r="G7" s="61" t="s">
        <v>168</v>
      </c>
      <c r="H7" s="118"/>
      <c r="I7" s="61" t="s">
        <v>168</v>
      </c>
      <c r="J7" s="118"/>
      <c r="K7" s="61" t="s">
        <v>168</v>
      </c>
      <c r="L7" s="118"/>
      <c r="M7" s="61" t="s">
        <v>168</v>
      </c>
      <c r="N7" s="118"/>
      <c r="O7" s="61" t="s">
        <v>168</v>
      </c>
      <c r="P7" s="118"/>
      <c r="Q7" s="61" t="s">
        <v>168</v>
      </c>
      <c r="R7" s="118"/>
    </row>
    <row r="8" spans="1:18">
      <c r="A8" s="137">
        <v>45888</v>
      </c>
      <c r="B8" s="122">
        <v>1</v>
      </c>
      <c r="C8" s="59">
        <v>1.595</v>
      </c>
      <c r="D8" s="64">
        <v>6.3</v>
      </c>
      <c r="E8" s="59">
        <v>3.085</v>
      </c>
      <c r="F8" s="64">
        <v>2.8</v>
      </c>
      <c r="G8" s="59">
        <v>7.367</v>
      </c>
      <c r="H8" s="64">
        <v>-1.8</v>
      </c>
      <c r="I8" s="59">
        <v>31.379000000000001</v>
      </c>
      <c r="J8" s="64">
        <v>4.5999999999999996</v>
      </c>
      <c r="K8" s="59">
        <v>150.03800000000001</v>
      </c>
      <c r="L8" s="64">
        <v>0</v>
      </c>
      <c r="M8" s="59">
        <v>745.62300000000005</v>
      </c>
      <c r="N8" s="64">
        <v>-0.6</v>
      </c>
      <c r="O8" s="59">
        <v>1224.8810000000001</v>
      </c>
      <c r="P8" s="64">
        <v>2.1</v>
      </c>
      <c r="Q8" s="59">
        <v>1488.2329999999999</v>
      </c>
      <c r="R8" s="64">
        <v>-0.8</v>
      </c>
    </row>
    <row r="9" spans="1:18">
      <c r="A9" s="138"/>
      <c r="B9" s="123"/>
      <c r="C9" s="59">
        <v>1.3520000000000001</v>
      </c>
      <c r="D9" s="64">
        <v>-9.9</v>
      </c>
      <c r="E9" s="59">
        <v>3.157</v>
      </c>
      <c r="F9" s="64">
        <v>5.2</v>
      </c>
      <c r="G9" s="59">
        <v>7.3959999999999999</v>
      </c>
      <c r="H9" s="64">
        <v>-1.4</v>
      </c>
      <c r="I9" s="59">
        <v>29.431000000000001</v>
      </c>
      <c r="J9" s="64">
        <v>-1.9</v>
      </c>
      <c r="K9" s="59">
        <v>149.297</v>
      </c>
      <c r="L9" s="64">
        <v>-0.5</v>
      </c>
      <c r="M9" s="59">
        <v>756.18399999999997</v>
      </c>
      <c r="N9" s="64">
        <v>0.8</v>
      </c>
      <c r="O9" s="59">
        <v>1158.345</v>
      </c>
      <c r="P9" s="64">
        <v>-3.5</v>
      </c>
      <c r="Q9" s="59">
        <v>1474.57</v>
      </c>
      <c r="R9" s="64">
        <v>-1.7</v>
      </c>
    </row>
    <row r="10" spans="1:18">
      <c r="A10" s="137">
        <v>45890</v>
      </c>
      <c r="B10" s="122">
        <v>2</v>
      </c>
      <c r="C10" s="59">
        <v>1.43</v>
      </c>
      <c r="D10" s="64">
        <v>-4.7</v>
      </c>
      <c r="E10" s="59">
        <v>3.0390000000000001</v>
      </c>
      <c r="F10" s="64">
        <v>1.3</v>
      </c>
      <c r="G10" s="59">
        <v>7.1879999999999997</v>
      </c>
      <c r="H10" s="64">
        <v>-4.2</v>
      </c>
      <c r="I10" s="59">
        <v>30.382999999999999</v>
      </c>
      <c r="J10" s="64">
        <v>1.3</v>
      </c>
      <c r="K10" s="59">
        <v>152.108</v>
      </c>
      <c r="L10" s="64">
        <v>1.4</v>
      </c>
      <c r="M10" s="59">
        <v>754.87599999999998</v>
      </c>
      <c r="N10" s="64">
        <v>0.7</v>
      </c>
      <c r="O10" s="59">
        <v>1203.2059999999999</v>
      </c>
      <c r="P10" s="64">
        <v>0.3</v>
      </c>
      <c r="Q10" s="59">
        <v>1478.6679999999999</v>
      </c>
      <c r="R10" s="64">
        <v>-1.4</v>
      </c>
    </row>
    <row r="11" spans="1:18">
      <c r="A11" s="138"/>
      <c r="B11" s="123"/>
      <c r="C11" s="59">
        <v>1.62</v>
      </c>
      <c r="D11" s="64">
        <v>8</v>
      </c>
      <c r="E11" s="59">
        <v>2.8570000000000002</v>
      </c>
      <c r="F11" s="64">
        <v>-4.8</v>
      </c>
      <c r="G11" s="59">
        <v>7.093</v>
      </c>
      <c r="H11" s="64">
        <v>-5.4</v>
      </c>
      <c r="I11" s="59">
        <v>31.614999999999998</v>
      </c>
      <c r="J11" s="64">
        <v>5.4</v>
      </c>
      <c r="K11" s="59">
        <v>151.29499999999999</v>
      </c>
      <c r="L11" s="64">
        <v>0.9</v>
      </c>
      <c r="M11" s="59">
        <v>759.07299999999998</v>
      </c>
      <c r="N11" s="64">
        <v>1.2</v>
      </c>
      <c r="O11" s="59">
        <v>1200.991</v>
      </c>
      <c r="P11" s="64">
        <v>0.1</v>
      </c>
      <c r="Q11" s="59">
        <v>1500.6279999999999</v>
      </c>
      <c r="R11" s="64">
        <v>0</v>
      </c>
    </row>
    <row r="12" spans="1:18">
      <c r="A12" s="139">
        <v>45981</v>
      </c>
      <c r="B12" s="118">
        <v>4</v>
      </c>
      <c r="C12" s="59">
        <v>1.498</v>
      </c>
      <c r="D12" s="64">
        <v>-0.1</v>
      </c>
      <c r="E12" s="59">
        <v>2.9169999999999998</v>
      </c>
      <c r="F12" s="64">
        <v>-2.8</v>
      </c>
      <c r="G12" s="59">
        <v>8.0139999999999993</v>
      </c>
      <c r="H12" s="64">
        <v>6.9</v>
      </c>
      <c r="I12" s="59">
        <v>31.404</v>
      </c>
      <c r="J12" s="64">
        <v>4.7</v>
      </c>
      <c r="K12" s="59">
        <v>150.87799999999999</v>
      </c>
      <c r="L12" s="64">
        <v>0.6</v>
      </c>
      <c r="M12" s="59">
        <v>732.63900000000001</v>
      </c>
      <c r="N12" s="64">
        <v>-2.2999999999999998</v>
      </c>
      <c r="O12" s="59">
        <v>1162.836</v>
      </c>
      <c r="P12" s="64">
        <v>-3.1</v>
      </c>
      <c r="Q12" s="59">
        <v>1422.943</v>
      </c>
      <c r="R12" s="64">
        <v>-5.0999999999999996</v>
      </c>
    </row>
    <row r="13" spans="1:18">
      <c r="A13" s="139"/>
      <c r="B13" s="118"/>
      <c r="C13" s="59">
        <v>1.4850000000000001</v>
      </c>
      <c r="D13" s="64">
        <v>-1</v>
      </c>
      <c r="E13" s="59">
        <v>3.0089999999999999</v>
      </c>
      <c r="F13" s="64">
        <v>0.3</v>
      </c>
      <c r="G13" s="59">
        <v>7.7080000000000002</v>
      </c>
      <c r="H13" s="64">
        <v>2.8</v>
      </c>
      <c r="I13" s="59">
        <v>31.248999999999999</v>
      </c>
      <c r="J13" s="64">
        <v>4.2</v>
      </c>
      <c r="K13" s="59">
        <v>150.54400000000001</v>
      </c>
      <c r="L13" s="64">
        <v>0.4</v>
      </c>
      <c r="M13" s="59">
        <v>748.05399999999997</v>
      </c>
      <c r="N13" s="64">
        <v>-0.3</v>
      </c>
      <c r="O13" s="59">
        <v>1164.5119999999999</v>
      </c>
      <c r="P13" s="64">
        <v>-3</v>
      </c>
      <c r="Q13" s="59">
        <v>1469.384</v>
      </c>
      <c r="R13" s="64">
        <v>-2</v>
      </c>
    </row>
    <row r="14" spans="1:18">
      <c r="A14" s="139">
        <v>45996</v>
      </c>
      <c r="B14" s="118">
        <v>5</v>
      </c>
      <c r="C14" s="59">
        <v>1.5760000000000001</v>
      </c>
      <c r="D14" s="64">
        <v>5.0999999999999996</v>
      </c>
      <c r="E14" s="59">
        <v>2.984</v>
      </c>
      <c r="F14" s="64">
        <v>-0.5</v>
      </c>
      <c r="G14" s="59">
        <v>7.7270000000000003</v>
      </c>
      <c r="H14" s="64">
        <v>3</v>
      </c>
      <c r="I14" s="59">
        <v>30.562000000000001</v>
      </c>
      <c r="J14" s="64">
        <v>1.9</v>
      </c>
      <c r="K14" s="59">
        <v>151.88800000000001</v>
      </c>
      <c r="L14" s="64">
        <v>1.3</v>
      </c>
      <c r="M14" s="59">
        <v>696.87699999999995</v>
      </c>
      <c r="N14" s="64">
        <v>-7.1</v>
      </c>
      <c r="O14" s="59">
        <v>1178.931</v>
      </c>
      <c r="P14" s="64">
        <v>-1.8</v>
      </c>
      <c r="Q14" s="59">
        <v>1489.7090000000001</v>
      </c>
      <c r="R14" s="64">
        <v>-0.7</v>
      </c>
    </row>
    <row r="15" spans="1:18">
      <c r="A15" s="139"/>
      <c r="B15" s="118"/>
      <c r="C15" s="59">
        <v>1.367</v>
      </c>
      <c r="D15" s="64">
        <v>-8.9</v>
      </c>
      <c r="E15" s="59">
        <v>3.1040000000000001</v>
      </c>
      <c r="F15" s="64">
        <v>3.5</v>
      </c>
      <c r="G15" s="59">
        <v>8.1639999999999997</v>
      </c>
      <c r="H15" s="64">
        <v>8.9</v>
      </c>
      <c r="I15" s="59">
        <v>29.234000000000002</v>
      </c>
      <c r="J15" s="64">
        <v>-2.6</v>
      </c>
      <c r="K15" s="59">
        <v>151.756</v>
      </c>
      <c r="L15" s="64">
        <v>1.2</v>
      </c>
      <c r="M15" s="59">
        <v>746.4</v>
      </c>
      <c r="N15" s="64">
        <v>-0.5</v>
      </c>
      <c r="O15" s="59">
        <v>1181.316</v>
      </c>
      <c r="P15" s="64">
        <v>-1.6</v>
      </c>
      <c r="Q15" s="59">
        <v>1482.2349999999999</v>
      </c>
      <c r="R15" s="64">
        <v>-1.2</v>
      </c>
    </row>
    <row r="16" spans="1:18" ht="14.15" customHeight="1">
      <c r="A16" s="24" t="s">
        <v>21</v>
      </c>
      <c r="B16" s="132"/>
      <c r="C16" s="59">
        <v>1.49</v>
      </c>
      <c r="D16" s="132"/>
      <c r="E16" s="59">
        <v>3.0190000000000001</v>
      </c>
      <c r="F16" s="132"/>
      <c r="G16" s="59">
        <v>7.5819999999999999</v>
      </c>
      <c r="H16" s="132"/>
      <c r="I16" s="59">
        <v>30.657</v>
      </c>
      <c r="J16" s="132"/>
      <c r="K16" s="59">
        <v>150.976</v>
      </c>
      <c r="L16" s="132"/>
      <c r="M16" s="59">
        <v>742.46600000000001</v>
      </c>
      <c r="N16" s="132"/>
      <c r="O16" s="59">
        <v>1184.377</v>
      </c>
      <c r="P16" s="132"/>
      <c r="Q16" s="59">
        <v>1475.796</v>
      </c>
      <c r="R16" s="132"/>
    </row>
    <row r="17" spans="1:18" ht="14.15" customHeight="1">
      <c r="A17" s="24" t="s">
        <v>2</v>
      </c>
      <c r="B17" s="133"/>
      <c r="C17" s="59">
        <v>0.10199999999999999</v>
      </c>
      <c r="D17" s="133"/>
      <c r="E17" s="59">
        <v>9.9000000000000005E-2</v>
      </c>
      <c r="F17" s="133"/>
      <c r="G17" s="59">
        <v>0.38500000000000001</v>
      </c>
      <c r="H17" s="133"/>
      <c r="I17" s="59">
        <v>0.92300000000000004</v>
      </c>
      <c r="J17" s="133"/>
      <c r="K17" s="59">
        <v>0.98</v>
      </c>
      <c r="L17" s="133"/>
      <c r="M17" s="59">
        <v>20.175999999999998</v>
      </c>
      <c r="N17" s="133"/>
      <c r="O17" s="59">
        <v>23.440999999999999</v>
      </c>
      <c r="P17" s="133"/>
      <c r="Q17" s="59">
        <v>23.454000000000001</v>
      </c>
      <c r="R17" s="133"/>
    </row>
    <row r="18" spans="1:18" ht="14.15" customHeight="1">
      <c r="A18" s="24" t="s">
        <v>38</v>
      </c>
      <c r="B18" s="133"/>
      <c r="C18" s="64">
        <v>6.8</v>
      </c>
      <c r="D18" s="133"/>
      <c r="E18" s="64">
        <v>3.3</v>
      </c>
      <c r="F18" s="133"/>
      <c r="G18" s="64">
        <v>5.0999999999999996</v>
      </c>
      <c r="H18" s="133"/>
      <c r="I18" s="64">
        <v>3</v>
      </c>
      <c r="J18" s="133"/>
      <c r="K18" s="64">
        <v>0.6</v>
      </c>
      <c r="L18" s="133"/>
      <c r="M18" s="64">
        <v>2.7</v>
      </c>
      <c r="N18" s="133"/>
      <c r="O18" s="64">
        <v>2</v>
      </c>
      <c r="P18" s="133"/>
      <c r="Q18" s="64">
        <v>1.6</v>
      </c>
      <c r="R18" s="133"/>
    </row>
    <row r="19" spans="1:18" ht="14.15" customHeight="1">
      <c r="A19" s="24" t="s">
        <v>40</v>
      </c>
      <c r="B19" s="133"/>
      <c r="C19" s="64">
        <v>-0.7</v>
      </c>
      <c r="D19" s="133"/>
      <c r="E19" s="64">
        <v>0.6</v>
      </c>
      <c r="F19" s="133"/>
      <c r="G19" s="64">
        <v>1.1000000000000001</v>
      </c>
      <c r="H19" s="133"/>
      <c r="I19" s="64">
        <v>2.2000000000000002</v>
      </c>
      <c r="J19" s="133"/>
      <c r="K19" s="64">
        <v>0.7</v>
      </c>
      <c r="L19" s="133"/>
      <c r="M19" s="64">
        <v>-1</v>
      </c>
      <c r="N19" s="133"/>
      <c r="O19" s="64">
        <v>-1.3</v>
      </c>
      <c r="P19" s="133"/>
      <c r="Q19" s="64">
        <v>-1.6</v>
      </c>
      <c r="R19" s="133"/>
    </row>
    <row r="20" spans="1:18" ht="14.15" customHeight="1">
      <c r="A20" s="24" t="s">
        <v>3</v>
      </c>
      <c r="B20" s="134"/>
      <c r="C20" s="83">
        <v>8</v>
      </c>
      <c r="D20" s="134"/>
      <c r="E20" s="83">
        <v>8</v>
      </c>
      <c r="F20" s="134"/>
      <c r="G20" s="83">
        <v>8</v>
      </c>
      <c r="H20" s="134"/>
      <c r="I20" s="83">
        <v>8</v>
      </c>
      <c r="J20" s="134"/>
      <c r="K20" s="83">
        <v>8</v>
      </c>
      <c r="L20" s="134"/>
      <c r="M20" s="83">
        <v>8</v>
      </c>
      <c r="N20" s="134"/>
      <c r="O20" s="83">
        <v>8</v>
      </c>
      <c r="P20" s="134"/>
      <c r="Q20" s="83">
        <v>8</v>
      </c>
      <c r="R20" s="134"/>
    </row>
    <row r="33" spans="2:2">
      <c r="B33" s="7"/>
    </row>
    <row r="34" spans="2:2">
      <c r="B34" s="7"/>
    </row>
  </sheetData>
  <mergeCells count="29">
    <mergeCell ref="A2:E2"/>
    <mergeCell ref="A4:E4"/>
    <mergeCell ref="A5:A7"/>
    <mergeCell ref="B5:B7"/>
    <mergeCell ref="B16:B20"/>
    <mergeCell ref="A8:A9"/>
    <mergeCell ref="A10:A11"/>
    <mergeCell ref="B8:B9"/>
    <mergeCell ref="B10:B11"/>
    <mergeCell ref="B12:B13"/>
    <mergeCell ref="A12:A13"/>
    <mergeCell ref="B14:B15"/>
    <mergeCell ref="A14:A15"/>
    <mergeCell ref="D5:D7"/>
    <mergeCell ref="D16:D20"/>
    <mergeCell ref="P5:P7"/>
    <mergeCell ref="N16:N20"/>
    <mergeCell ref="J5:J7"/>
    <mergeCell ref="R16:R20"/>
    <mergeCell ref="L16:L20"/>
    <mergeCell ref="R5:R7"/>
    <mergeCell ref="P16:P20"/>
    <mergeCell ref="L5:L7"/>
    <mergeCell ref="N5:N7"/>
    <mergeCell ref="F5:F7"/>
    <mergeCell ref="H16:H20"/>
    <mergeCell ref="J16:J20"/>
    <mergeCell ref="H5:H7"/>
    <mergeCell ref="F16:F20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59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2:K67"/>
  <sheetViews>
    <sheetView topLeftCell="A20" zoomScaleNormal="100" zoomScaleSheetLayoutView="100" workbookViewId="0">
      <selection activeCell="G35" sqref="G35:G36"/>
    </sheetView>
  </sheetViews>
  <sheetFormatPr defaultColWidth="9" defaultRowHeight="13.5"/>
  <cols>
    <col min="1" max="1" width="16" style="41" customWidth="1"/>
    <col min="2" max="3" width="10.83203125" style="1" customWidth="1"/>
    <col min="4" max="4" width="10.83203125" style="35" customWidth="1"/>
    <col min="5" max="5" width="10.83203125" style="1" customWidth="1"/>
    <col min="6" max="6" width="10.83203125" style="35" customWidth="1"/>
    <col min="7" max="7" width="10.83203125" style="1" customWidth="1"/>
    <col min="8" max="8" width="10.83203125" style="35" customWidth="1"/>
    <col min="9" max="10" width="10.83203125" style="1" customWidth="1"/>
    <col min="11" max="16384" width="9" style="1"/>
  </cols>
  <sheetData>
    <row r="2" spans="1:11" s="17" customFormat="1" ht="14">
      <c r="A2" s="124" t="s">
        <v>32</v>
      </c>
      <c r="B2" s="124"/>
      <c r="C2" s="124"/>
      <c r="D2" s="124"/>
      <c r="E2" s="11"/>
      <c r="F2" s="34"/>
      <c r="G2" s="11"/>
      <c r="H2" s="34"/>
      <c r="I2" s="7"/>
    </row>
    <row r="3" spans="1:11" s="17" customFormat="1" ht="14">
      <c r="A3" s="37"/>
      <c r="B3" s="9"/>
      <c r="C3" s="9"/>
      <c r="D3" s="33"/>
      <c r="E3" s="11"/>
      <c r="F3" s="34"/>
      <c r="G3" s="11"/>
      <c r="H3" s="34"/>
      <c r="I3" s="7"/>
    </row>
    <row r="4" spans="1:11" s="17" customFormat="1" ht="14.5">
      <c r="A4" s="38"/>
      <c r="B4" s="11"/>
      <c r="C4" s="11"/>
      <c r="D4" s="34"/>
      <c r="E4" s="11"/>
      <c r="F4" s="34"/>
      <c r="G4" s="11"/>
      <c r="H4" s="34"/>
      <c r="I4" s="7"/>
    </row>
    <row r="5" spans="1:11" s="7" customFormat="1" ht="13.5" customHeight="1">
      <c r="A5" s="118" t="s">
        <v>19</v>
      </c>
      <c r="B5" s="118" t="s">
        <v>17</v>
      </c>
      <c r="C5" s="24" t="s">
        <v>1</v>
      </c>
      <c r="D5" s="118" t="s">
        <v>40</v>
      </c>
      <c r="E5" s="24" t="s">
        <v>169</v>
      </c>
      <c r="F5" s="118" t="s">
        <v>40</v>
      </c>
      <c r="G5" s="24" t="s">
        <v>170</v>
      </c>
      <c r="H5" s="118" t="s">
        <v>40</v>
      </c>
      <c r="I5" s="24" t="s">
        <v>0</v>
      </c>
      <c r="J5" s="118" t="s">
        <v>40</v>
      </c>
    </row>
    <row r="6" spans="1:11" s="17" customFormat="1">
      <c r="A6" s="118"/>
      <c r="B6" s="118"/>
      <c r="C6" s="73">
        <v>4.5</v>
      </c>
      <c r="D6" s="118"/>
      <c r="E6" s="73">
        <v>45</v>
      </c>
      <c r="F6" s="118"/>
      <c r="G6" s="73">
        <v>450</v>
      </c>
      <c r="H6" s="118"/>
      <c r="I6" s="73">
        <v>1125</v>
      </c>
      <c r="J6" s="118"/>
      <c r="K6" s="7"/>
    </row>
    <row r="7" spans="1:11" s="17" customFormat="1">
      <c r="A7" s="118"/>
      <c r="B7" s="118"/>
      <c r="C7" s="61" t="s">
        <v>168</v>
      </c>
      <c r="D7" s="118"/>
      <c r="E7" s="61" t="s">
        <v>168</v>
      </c>
      <c r="F7" s="118"/>
      <c r="G7" s="61" t="s">
        <v>168</v>
      </c>
      <c r="H7" s="118"/>
      <c r="I7" s="61" t="s">
        <v>168</v>
      </c>
      <c r="J7" s="118"/>
      <c r="K7" s="7"/>
    </row>
    <row r="8" spans="1:11" s="17" customFormat="1">
      <c r="A8" s="144">
        <v>45888</v>
      </c>
      <c r="B8" s="147">
        <v>1</v>
      </c>
      <c r="C8" s="65">
        <v>4.5039999999999996</v>
      </c>
      <c r="D8" s="78">
        <v>0.1</v>
      </c>
      <c r="E8" s="65">
        <v>43.167999999999999</v>
      </c>
      <c r="F8" s="78">
        <v>-4.0999999999999996</v>
      </c>
      <c r="G8" s="65">
        <v>452.61700000000002</v>
      </c>
      <c r="H8" s="78">
        <v>0.6</v>
      </c>
      <c r="I8" s="65">
        <v>1087.374</v>
      </c>
      <c r="J8" s="78">
        <v>-3.3</v>
      </c>
      <c r="K8" s="7"/>
    </row>
    <row r="9" spans="1:11" s="17" customFormat="1">
      <c r="A9" s="145"/>
      <c r="B9" s="148"/>
      <c r="C9" s="65">
        <v>4.6100000000000003</v>
      </c>
      <c r="D9" s="78">
        <v>2.4</v>
      </c>
      <c r="E9" s="65">
        <v>44.86</v>
      </c>
      <c r="F9" s="78">
        <v>-0.3</v>
      </c>
      <c r="G9" s="65">
        <v>437.66199999999998</v>
      </c>
      <c r="H9" s="78">
        <v>-2.7</v>
      </c>
      <c r="I9" s="65">
        <v>1112.742</v>
      </c>
      <c r="J9" s="78">
        <v>-1.1000000000000001</v>
      </c>
      <c r="K9" s="7"/>
    </row>
    <row r="10" spans="1:11" s="17" customFormat="1">
      <c r="A10" s="145"/>
      <c r="B10" s="148"/>
      <c r="C10" s="65">
        <v>4.5030000000000001</v>
      </c>
      <c r="D10" s="66">
        <v>0.1</v>
      </c>
      <c r="E10" s="65">
        <v>43.164999999999999</v>
      </c>
      <c r="F10" s="66">
        <v>-4.0999999999999996</v>
      </c>
      <c r="G10" s="65">
        <v>442.79199999999997</v>
      </c>
      <c r="H10" s="66">
        <v>-1.6</v>
      </c>
      <c r="I10" s="65">
        <v>1077.625</v>
      </c>
      <c r="J10" s="66">
        <v>-4.2</v>
      </c>
      <c r="K10" s="7"/>
    </row>
    <row r="11" spans="1:11" s="17" customFormat="1">
      <c r="A11" s="146"/>
      <c r="B11" s="149"/>
      <c r="C11" s="65">
        <v>4.4790000000000001</v>
      </c>
      <c r="D11" s="66">
        <v>-0.5</v>
      </c>
      <c r="E11" s="65">
        <v>45.442999999999998</v>
      </c>
      <c r="F11" s="66">
        <v>1</v>
      </c>
      <c r="G11" s="65">
        <v>441.654</v>
      </c>
      <c r="H11" s="66">
        <v>-1.9</v>
      </c>
      <c r="I11" s="65">
        <v>1087.5619999999999</v>
      </c>
      <c r="J11" s="66">
        <v>-3.3</v>
      </c>
      <c r="K11" s="7"/>
    </row>
    <row r="12" spans="1:11" s="17" customFormat="1">
      <c r="A12" s="144">
        <v>45890</v>
      </c>
      <c r="B12" s="147">
        <v>2</v>
      </c>
      <c r="C12" s="65">
        <v>4.7290000000000001</v>
      </c>
      <c r="D12" s="78">
        <v>5.0999999999999996</v>
      </c>
      <c r="E12" s="65">
        <v>44.738</v>
      </c>
      <c r="F12" s="78">
        <v>-0.6</v>
      </c>
      <c r="G12" s="65">
        <v>438.154</v>
      </c>
      <c r="H12" s="78">
        <v>-2.6</v>
      </c>
      <c r="I12" s="65">
        <v>1073.0250000000001</v>
      </c>
      <c r="J12" s="78">
        <v>-4.5999999999999996</v>
      </c>
      <c r="K12" s="7"/>
    </row>
    <row r="13" spans="1:11" s="17" customFormat="1">
      <c r="A13" s="145"/>
      <c r="B13" s="148"/>
      <c r="C13" s="65">
        <v>5.0890000000000004</v>
      </c>
      <c r="D13" s="78">
        <v>13.1</v>
      </c>
      <c r="E13" s="65">
        <v>46.029000000000003</v>
      </c>
      <c r="F13" s="78">
        <v>2.2999999999999998</v>
      </c>
      <c r="G13" s="65">
        <v>429.87299999999999</v>
      </c>
      <c r="H13" s="78">
        <v>-4.5</v>
      </c>
      <c r="I13" s="65">
        <v>1064.288</v>
      </c>
      <c r="J13" s="78">
        <v>-5.4</v>
      </c>
      <c r="K13" s="7"/>
    </row>
    <row r="14" spans="1:11" s="17" customFormat="1">
      <c r="A14" s="145"/>
      <c r="B14" s="148"/>
      <c r="C14" s="65">
        <v>4.173</v>
      </c>
      <c r="D14" s="66">
        <v>-7.3</v>
      </c>
      <c r="E14" s="65">
        <v>45.887999999999998</v>
      </c>
      <c r="F14" s="66">
        <v>2</v>
      </c>
      <c r="G14" s="65">
        <v>437.69299999999998</v>
      </c>
      <c r="H14" s="66">
        <v>-2.7</v>
      </c>
      <c r="I14" s="65">
        <v>1092.2249999999999</v>
      </c>
      <c r="J14" s="66">
        <v>-2.9</v>
      </c>
      <c r="K14" s="7"/>
    </row>
    <row r="15" spans="1:11" s="17" customFormat="1">
      <c r="A15" s="146"/>
      <c r="B15" s="149"/>
      <c r="C15" s="65">
        <v>4.984</v>
      </c>
      <c r="D15" s="66">
        <v>10.8</v>
      </c>
      <c r="E15" s="65">
        <v>44.749000000000002</v>
      </c>
      <c r="F15" s="66">
        <v>-0.6</v>
      </c>
      <c r="G15" s="65">
        <v>439.37299999999999</v>
      </c>
      <c r="H15" s="66">
        <v>-2.4</v>
      </c>
      <c r="I15" s="65">
        <v>1074.4359999999999</v>
      </c>
      <c r="J15" s="66">
        <v>-4.5</v>
      </c>
      <c r="K15" s="7"/>
    </row>
    <row r="16" spans="1:11" s="17" customFormat="1">
      <c r="A16" s="144">
        <v>45981</v>
      </c>
      <c r="B16" s="147">
        <v>4</v>
      </c>
      <c r="C16" s="65">
        <v>4.6079999999999997</v>
      </c>
      <c r="D16" s="78">
        <v>2.4</v>
      </c>
      <c r="E16" s="65">
        <v>44.191000000000003</v>
      </c>
      <c r="F16" s="78">
        <v>-1.8</v>
      </c>
      <c r="G16" s="65">
        <v>451.98500000000001</v>
      </c>
      <c r="H16" s="78">
        <v>0.4</v>
      </c>
      <c r="I16" s="65">
        <v>1096.739</v>
      </c>
      <c r="J16" s="78">
        <v>-2.5</v>
      </c>
      <c r="K16" s="7"/>
    </row>
    <row r="17" spans="1:11" s="17" customFormat="1">
      <c r="A17" s="145"/>
      <c r="B17" s="148"/>
      <c r="C17" s="65">
        <v>4.6239999999999997</v>
      </c>
      <c r="D17" s="78">
        <v>2.8</v>
      </c>
      <c r="E17" s="65">
        <v>45.48</v>
      </c>
      <c r="F17" s="78">
        <v>1.1000000000000001</v>
      </c>
      <c r="G17" s="65">
        <v>450.13299999999998</v>
      </c>
      <c r="H17" s="78">
        <v>0</v>
      </c>
      <c r="I17" s="65">
        <v>1101.4490000000001</v>
      </c>
      <c r="J17" s="78">
        <v>-2.1</v>
      </c>
      <c r="K17" s="7"/>
    </row>
    <row r="18" spans="1:11" s="17" customFormat="1">
      <c r="A18" s="145"/>
      <c r="B18" s="148"/>
      <c r="C18" s="65">
        <v>4.4450000000000003</v>
      </c>
      <c r="D18" s="66">
        <v>-1.2</v>
      </c>
      <c r="E18" s="65">
        <v>45.607999999999997</v>
      </c>
      <c r="F18" s="66">
        <v>1.4</v>
      </c>
      <c r="G18" s="65">
        <v>456.661</v>
      </c>
      <c r="H18" s="66">
        <v>1.5</v>
      </c>
      <c r="I18" s="65">
        <v>1126.8810000000001</v>
      </c>
      <c r="J18" s="66">
        <v>0.2</v>
      </c>
      <c r="K18" s="7"/>
    </row>
    <row r="19" spans="1:11" s="17" customFormat="1">
      <c r="A19" s="146"/>
      <c r="B19" s="149"/>
      <c r="C19" s="65">
        <v>4.6399999999999997</v>
      </c>
      <c r="D19" s="66">
        <v>3.1</v>
      </c>
      <c r="E19" s="65">
        <v>45.15</v>
      </c>
      <c r="F19" s="66">
        <v>0.3</v>
      </c>
      <c r="G19" s="65">
        <v>461.02499999999998</v>
      </c>
      <c r="H19" s="66">
        <v>2.5</v>
      </c>
      <c r="I19" s="65">
        <v>1125.3789999999999</v>
      </c>
      <c r="J19" s="66">
        <v>0</v>
      </c>
      <c r="K19" s="7"/>
    </row>
    <row r="20" spans="1:11" s="17" customFormat="1">
      <c r="A20" s="144">
        <v>45996</v>
      </c>
      <c r="B20" s="147">
        <v>5</v>
      </c>
      <c r="C20" s="65">
        <v>4.4080000000000004</v>
      </c>
      <c r="D20" s="78">
        <v>-2</v>
      </c>
      <c r="E20" s="65">
        <v>46.273000000000003</v>
      </c>
      <c r="F20" s="78">
        <v>2.8</v>
      </c>
      <c r="G20" s="65">
        <v>441.43400000000003</v>
      </c>
      <c r="H20" s="78">
        <v>-1.9</v>
      </c>
      <c r="I20" s="65">
        <v>1066.2070000000001</v>
      </c>
      <c r="J20" s="78">
        <v>-5.2</v>
      </c>
      <c r="K20" s="7"/>
    </row>
    <row r="21" spans="1:11" s="17" customFormat="1">
      <c r="A21" s="145"/>
      <c r="B21" s="148"/>
      <c r="C21" s="65">
        <v>4.6559999999999997</v>
      </c>
      <c r="D21" s="78">
        <v>3.5</v>
      </c>
      <c r="E21" s="65">
        <v>45.826999999999998</v>
      </c>
      <c r="F21" s="78">
        <v>1.8</v>
      </c>
      <c r="G21" s="65">
        <v>458.87900000000002</v>
      </c>
      <c r="H21" s="78">
        <v>2</v>
      </c>
      <c r="I21" s="65">
        <v>1113.816</v>
      </c>
      <c r="J21" s="78">
        <v>-1</v>
      </c>
      <c r="K21" s="7"/>
    </row>
    <row r="22" spans="1:11" s="17" customFormat="1">
      <c r="A22" s="145"/>
      <c r="B22" s="148"/>
      <c r="C22" s="65">
        <v>4.6959999999999997</v>
      </c>
      <c r="D22" s="66">
        <v>4.4000000000000004</v>
      </c>
      <c r="E22" s="65">
        <v>44.860999999999997</v>
      </c>
      <c r="F22" s="66">
        <v>-0.3</v>
      </c>
      <c r="G22" s="65">
        <v>456.36200000000002</v>
      </c>
      <c r="H22" s="66">
        <v>1.4</v>
      </c>
      <c r="I22" s="65">
        <v>1128.48</v>
      </c>
      <c r="J22" s="66">
        <v>0.3</v>
      </c>
      <c r="K22" s="7"/>
    </row>
    <row r="23" spans="1:11" s="17" customFormat="1">
      <c r="A23" s="146"/>
      <c r="B23" s="149"/>
      <c r="C23" s="65">
        <v>4.774</v>
      </c>
      <c r="D23" s="66">
        <v>6.1</v>
      </c>
      <c r="E23" s="65">
        <v>46.256999999999998</v>
      </c>
      <c r="F23" s="66">
        <v>2.8</v>
      </c>
      <c r="G23" s="65">
        <v>457.10300000000001</v>
      </c>
      <c r="H23" s="66">
        <v>1.6</v>
      </c>
      <c r="I23" s="65">
        <v>1135.67</v>
      </c>
      <c r="J23" s="66">
        <v>0.9</v>
      </c>
      <c r="K23" s="7"/>
    </row>
    <row r="24" spans="1:11" s="17" customFormat="1">
      <c r="A24" s="39" t="s">
        <v>206</v>
      </c>
      <c r="B24" s="143"/>
      <c r="C24" s="65">
        <v>4.62</v>
      </c>
      <c r="D24" s="140"/>
      <c r="E24" s="65">
        <v>45.104999999999997</v>
      </c>
      <c r="F24" s="140"/>
      <c r="G24" s="65">
        <v>447.08800000000002</v>
      </c>
      <c r="H24" s="140"/>
      <c r="I24" s="65">
        <v>1097.7439999999999</v>
      </c>
      <c r="J24" s="140"/>
      <c r="K24" s="7"/>
    </row>
    <row r="25" spans="1:11" s="17" customFormat="1">
      <c r="A25" s="39" t="s">
        <v>2</v>
      </c>
      <c r="B25" s="143"/>
      <c r="C25" s="65">
        <v>0.219</v>
      </c>
      <c r="D25" s="141"/>
      <c r="E25" s="65">
        <v>0.96299999999999997</v>
      </c>
      <c r="F25" s="141"/>
      <c r="G25" s="65">
        <v>9.5489999999999995</v>
      </c>
      <c r="H25" s="141"/>
      <c r="I25" s="65">
        <v>23.675999999999998</v>
      </c>
      <c r="J25" s="141"/>
      <c r="K25" s="7"/>
    </row>
    <row r="26" spans="1:11" s="36" customFormat="1">
      <c r="A26" s="39" t="s">
        <v>38</v>
      </c>
      <c r="B26" s="143"/>
      <c r="C26" s="78">
        <v>4.7</v>
      </c>
      <c r="D26" s="141"/>
      <c r="E26" s="78">
        <v>2.1</v>
      </c>
      <c r="F26" s="141"/>
      <c r="G26" s="78">
        <v>2.1</v>
      </c>
      <c r="H26" s="141"/>
      <c r="I26" s="78">
        <v>2.2000000000000002</v>
      </c>
      <c r="J26" s="141"/>
      <c r="K26" s="70"/>
    </row>
    <row r="27" spans="1:11" s="36" customFormat="1">
      <c r="A27" s="39" t="s">
        <v>40</v>
      </c>
      <c r="B27" s="143"/>
      <c r="C27" s="78">
        <v>2.7</v>
      </c>
      <c r="D27" s="141"/>
      <c r="E27" s="78">
        <v>0.2</v>
      </c>
      <c r="F27" s="141"/>
      <c r="G27" s="78">
        <v>-0.6</v>
      </c>
      <c r="H27" s="141"/>
      <c r="I27" s="78">
        <v>-2.4</v>
      </c>
      <c r="J27" s="141"/>
      <c r="K27" s="70"/>
    </row>
    <row r="28" spans="1:11" s="17" customFormat="1">
      <c r="A28" s="39" t="s">
        <v>3</v>
      </c>
      <c r="B28" s="143"/>
      <c r="C28" s="51">
        <v>16</v>
      </c>
      <c r="D28" s="142"/>
      <c r="E28" s="51">
        <v>16</v>
      </c>
      <c r="F28" s="142"/>
      <c r="G28" s="51">
        <v>16</v>
      </c>
      <c r="H28" s="142"/>
      <c r="I28" s="51">
        <v>16</v>
      </c>
      <c r="J28" s="142"/>
      <c r="K28" s="7"/>
    </row>
    <row r="29" spans="1:11" s="40" customFormat="1"/>
    <row r="30" spans="1:11" s="40" customFormat="1"/>
    <row r="31" spans="1:11" s="40" customFormat="1"/>
    <row r="32" spans="1:11" s="40" customFormat="1" ht="13.5" customHeight="1"/>
    <row r="33" s="40" customFormat="1"/>
    <row r="34" s="40" customFormat="1"/>
    <row r="35" s="40" customFormat="1"/>
    <row r="36" s="40" customFormat="1"/>
    <row r="37" s="40" customFormat="1"/>
    <row r="38" s="40" customFormat="1"/>
    <row r="39" s="40" customFormat="1"/>
    <row r="40" s="40" customFormat="1"/>
    <row r="41" s="40" customFormat="1"/>
    <row r="42" s="40" customFormat="1"/>
    <row r="43" s="40" customFormat="1"/>
    <row r="44" s="40" customFormat="1"/>
    <row r="45" s="40" customFormat="1"/>
    <row r="46" s="40" customFormat="1"/>
    <row r="66" spans="2:2">
      <c r="B66" s="7"/>
    </row>
    <row r="67" spans="2:2">
      <c r="B67" s="7"/>
    </row>
  </sheetData>
  <mergeCells count="20">
    <mergeCell ref="A2:D2"/>
    <mergeCell ref="A5:A7"/>
    <mergeCell ref="B5:B7"/>
    <mergeCell ref="D5:D7"/>
    <mergeCell ref="F5:F7"/>
    <mergeCell ref="J5:J7"/>
    <mergeCell ref="J24:J28"/>
    <mergeCell ref="B24:B28"/>
    <mergeCell ref="A20:A23"/>
    <mergeCell ref="B20:B23"/>
    <mergeCell ref="H5:H7"/>
    <mergeCell ref="H24:H28"/>
    <mergeCell ref="D24:D28"/>
    <mergeCell ref="F24:F28"/>
    <mergeCell ref="A16:A19"/>
    <mergeCell ref="B16:B19"/>
    <mergeCell ref="A12:A15"/>
    <mergeCell ref="B12:B15"/>
    <mergeCell ref="A8:A11"/>
    <mergeCell ref="B8:B11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 1632MV7生物分析方法学验证数据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6D6D-72B0-4014-823A-3F46E5220EE3}">
  <sheetPr>
    <pageSetUpPr fitToPage="1"/>
  </sheetPr>
  <dimension ref="A2:J20"/>
  <sheetViews>
    <sheetView view="pageBreakPreview" topLeftCell="A7" zoomScale="110" zoomScaleNormal="100" zoomScaleSheetLayoutView="110" workbookViewId="0">
      <selection activeCell="D19" sqref="D19:G19"/>
    </sheetView>
  </sheetViews>
  <sheetFormatPr defaultColWidth="8.83203125" defaultRowHeight="13.5"/>
  <cols>
    <col min="1" max="6" width="14.58203125" style="6" customWidth="1"/>
    <col min="7" max="7" width="12.33203125" style="6" customWidth="1"/>
    <col min="8" max="8" width="8.83203125" style="6"/>
    <col min="9" max="9" width="16.83203125" style="6" customWidth="1"/>
    <col min="10" max="10" width="20.08203125" style="6" customWidth="1"/>
    <col min="11" max="16384" width="8.83203125" style="6"/>
  </cols>
  <sheetData>
    <row r="2" spans="1:10">
      <c r="A2" s="114" t="s">
        <v>208</v>
      </c>
      <c r="B2" s="114"/>
      <c r="C2" s="114"/>
    </row>
    <row r="3" spans="1:10">
      <c r="A3" s="8"/>
      <c r="B3" s="8"/>
      <c r="C3" s="8"/>
    </row>
    <row r="4" spans="1:10" ht="14">
      <c r="A4" s="6" t="s">
        <v>247</v>
      </c>
      <c r="I4" s="21" t="s">
        <v>209</v>
      </c>
      <c r="J4" s="90">
        <v>45888.71875</v>
      </c>
    </row>
    <row r="5" spans="1:10" ht="14.25" customHeight="1">
      <c r="A5" s="91" t="s">
        <v>210</v>
      </c>
      <c r="C5" s="8"/>
      <c r="D5" s="8"/>
      <c r="E5" s="8"/>
      <c r="I5" s="21" t="s">
        <v>211</v>
      </c>
      <c r="J5" s="90">
        <v>45889.388888888891</v>
      </c>
    </row>
    <row r="6" spans="1:10" ht="13.5" customHeight="1">
      <c r="A6" s="161" t="s">
        <v>212</v>
      </c>
      <c r="B6" s="122" t="s">
        <v>17</v>
      </c>
      <c r="C6" s="122" t="s">
        <v>27</v>
      </c>
      <c r="D6" s="164" t="s">
        <v>248</v>
      </c>
      <c r="E6" s="164"/>
      <c r="F6" s="164"/>
      <c r="G6" s="164"/>
      <c r="I6" s="4" t="s">
        <v>213</v>
      </c>
      <c r="J6" s="92">
        <f>(J5-J4)*24</f>
        <v>16.083333333372138</v>
      </c>
    </row>
    <row r="7" spans="1:10" ht="27">
      <c r="A7" s="162"/>
      <c r="B7" s="153"/>
      <c r="C7" s="153"/>
      <c r="D7" s="59" t="s">
        <v>214</v>
      </c>
      <c r="E7" s="52" t="s">
        <v>215</v>
      </c>
      <c r="F7" s="59" t="s">
        <v>216</v>
      </c>
      <c r="G7" s="52" t="s">
        <v>217</v>
      </c>
    </row>
    <row r="8" spans="1:10">
      <c r="A8" s="162"/>
      <c r="B8" s="153"/>
      <c r="C8" s="153"/>
      <c r="D8" s="123" t="s">
        <v>175</v>
      </c>
      <c r="E8" s="165"/>
      <c r="F8" s="118" t="s">
        <v>175</v>
      </c>
      <c r="G8" s="118"/>
    </row>
    <row r="9" spans="1:10" ht="15.5">
      <c r="A9" s="163"/>
      <c r="B9" s="123"/>
      <c r="C9" s="123"/>
      <c r="D9" s="24" t="s">
        <v>218</v>
      </c>
      <c r="E9" s="24" t="s">
        <v>28</v>
      </c>
      <c r="F9" s="24" t="s">
        <v>218</v>
      </c>
      <c r="G9" s="24" t="s">
        <v>28</v>
      </c>
    </row>
    <row r="10" spans="1:10" ht="13.5" customHeight="1">
      <c r="A10" s="150" t="s">
        <v>219</v>
      </c>
      <c r="B10" s="152" t="s">
        <v>220</v>
      </c>
      <c r="C10" s="24">
        <v>1</v>
      </c>
      <c r="D10" s="93">
        <v>19.198</v>
      </c>
      <c r="E10" s="93">
        <v>19.283000000000001</v>
      </c>
      <c r="F10" s="93">
        <v>1061.5350000000001</v>
      </c>
      <c r="G10" s="93">
        <v>1089.472</v>
      </c>
    </row>
    <row r="11" spans="1:10">
      <c r="A11" s="151"/>
      <c r="B11" s="153"/>
      <c r="C11" s="24">
        <v>2</v>
      </c>
      <c r="D11" s="93">
        <v>19.137</v>
      </c>
      <c r="E11" s="93">
        <v>19.303000000000001</v>
      </c>
      <c r="F11" s="93">
        <v>1077.9359999999999</v>
      </c>
      <c r="G11" s="93">
        <v>1136.4349999999999</v>
      </c>
    </row>
    <row r="12" spans="1:10">
      <c r="A12" s="151"/>
      <c r="B12" s="153"/>
      <c r="C12" s="24">
        <v>3</v>
      </c>
      <c r="D12" s="93">
        <v>19.431000000000001</v>
      </c>
      <c r="E12" s="93">
        <v>18.835000000000001</v>
      </c>
      <c r="F12" s="93">
        <v>1038.8979999999999</v>
      </c>
      <c r="G12" s="93">
        <v>1085.316</v>
      </c>
    </row>
    <row r="13" spans="1:10">
      <c r="A13" s="151"/>
      <c r="B13" s="153"/>
      <c r="C13" s="24">
        <v>4</v>
      </c>
      <c r="D13" s="93">
        <v>19.378</v>
      </c>
      <c r="E13" s="93">
        <v>19.312000000000001</v>
      </c>
      <c r="F13" s="93">
        <v>1022.737</v>
      </c>
      <c r="G13" s="93">
        <v>1102.779</v>
      </c>
    </row>
    <row r="14" spans="1:10">
      <c r="A14" s="151"/>
      <c r="B14" s="153"/>
      <c r="C14" s="24">
        <v>5</v>
      </c>
      <c r="D14" s="93">
        <v>17.741</v>
      </c>
      <c r="E14" s="93">
        <v>18.579999999999998</v>
      </c>
      <c r="F14" s="93">
        <v>1078.6279999999999</v>
      </c>
      <c r="G14" s="93">
        <v>1109.796</v>
      </c>
    </row>
    <row r="15" spans="1:10">
      <c r="A15" s="151"/>
      <c r="B15" s="153"/>
      <c r="C15" s="43">
        <v>6</v>
      </c>
      <c r="D15" s="93">
        <v>19.923999999999999</v>
      </c>
      <c r="E15" s="93">
        <v>17.919</v>
      </c>
      <c r="F15" s="93">
        <v>1107.575</v>
      </c>
      <c r="G15" s="93">
        <v>1101.2070000000001</v>
      </c>
    </row>
    <row r="16" spans="1:10">
      <c r="A16" s="24" t="s">
        <v>21</v>
      </c>
      <c r="B16" s="154"/>
      <c r="C16" s="155"/>
      <c r="D16" s="52">
        <f>ROUND(AVERAGE(D10:D15),3)</f>
        <v>19.135000000000002</v>
      </c>
      <c r="E16" s="52">
        <f>ROUND(AVERAGE(E10:E15),3)</f>
        <v>18.872</v>
      </c>
      <c r="F16" s="52">
        <f t="shared" ref="F16:G16" si="0">ROUND(AVERAGE(F10:F15),3)</f>
        <v>1064.5519999999999</v>
      </c>
      <c r="G16" s="52">
        <f t="shared" si="0"/>
        <v>1104.1679999999999</v>
      </c>
    </row>
    <row r="17" spans="1:7">
      <c r="A17" s="24" t="s">
        <v>2</v>
      </c>
      <c r="B17" s="156"/>
      <c r="C17" s="157"/>
      <c r="D17" s="52">
        <f>ROUND(STDEV(D10:D15),3)</f>
        <v>0.73699999999999999</v>
      </c>
      <c r="E17" s="52">
        <f>ROUND(STDEV(E10:E15),3)</f>
        <v>0.55600000000000005</v>
      </c>
      <c r="F17" s="52">
        <f t="shared" ref="F17:G17" si="1">ROUND(STDEV(F10:F15),3)</f>
        <v>30.475999999999999</v>
      </c>
      <c r="G17" s="52">
        <f t="shared" si="1"/>
        <v>18.193000000000001</v>
      </c>
    </row>
    <row r="18" spans="1:7">
      <c r="A18" s="24" t="s">
        <v>38</v>
      </c>
      <c r="B18" s="156"/>
      <c r="C18" s="157"/>
      <c r="D18" s="94">
        <f>ROUND(D17/D16*100,1)</f>
        <v>3.9</v>
      </c>
      <c r="E18" s="94">
        <f>ROUND(E17/E16*100,1)</f>
        <v>2.9</v>
      </c>
      <c r="F18" s="94">
        <f>ROUND(F17/F16*100,1)</f>
        <v>2.9</v>
      </c>
      <c r="G18" s="94">
        <f>ROUND(G17/G16*100,1)</f>
        <v>1.6</v>
      </c>
    </row>
    <row r="19" spans="1:7">
      <c r="A19" s="24" t="s">
        <v>39</v>
      </c>
      <c r="B19" s="158"/>
      <c r="C19" s="159"/>
      <c r="D19" s="160">
        <f>ROUND((D16-E16)/E16*100,1)</f>
        <v>1.4</v>
      </c>
      <c r="E19" s="160"/>
      <c r="F19" s="160">
        <f>ROUND((F16-G16)/G16*100,1)</f>
        <v>-3.6</v>
      </c>
      <c r="G19" s="160"/>
    </row>
    <row r="20" spans="1:7">
      <c r="A20" s="12"/>
      <c r="B20" s="12"/>
      <c r="C20" s="12"/>
      <c r="D20" s="12"/>
      <c r="E20" s="12"/>
    </row>
  </sheetData>
  <mergeCells count="12">
    <mergeCell ref="A2:C2"/>
    <mergeCell ref="A6:A9"/>
    <mergeCell ref="B6:B9"/>
    <mergeCell ref="C6:C9"/>
    <mergeCell ref="D6:G6"/>
    <mergeCell ref="D8:E8"/>
    <mergeCell ref="F8:G8"/>
    <mergeCell ref="A10:A15"/>
    <mergeCell ref="B10:B15"/>
    <mergeCell ref="B16:C19"/>
    <mergeCell ref="D19:E19"/>
    <mergeCell ref="F19:G19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59" orientation="portrait" r:id="rId1"/>
  <headerFooter>
    <oddHeader>&amp;C 1632MV7生物分析方法学验证数据</oddHeader>
    <oddFooter>&amp;C第&amp;P页，共&amp;N页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6FD1-259C-4323-9132-4D100EAFC4FE}">
  <sheetPr>
    <pageSetUpPr fitToPage="1"/>
  </sheetPr>
  <dimension ref="A2:H20"/>
  <sheetViews>
    <sheetView view="pageBreakPreview" zoomScaleNormal="100" zoomScaleSheetLayoutView="100" workbookViewId="0">
      <selection activeCell="E19" sqref="E19:H19"/>
    </sheetView>
  </sheetViews>
  <sheetFormatPr defaultColWidth="8.83203125" defaultRowHeight="13.5"/>
  <cols>
    <col min="1" max="1" width="16.5" style="6" customWidth="1"/>
    <col min="2" max="3" width="12.83203125" style="6" customWidth="1"/>
    <col min="4" max="4" width="10.75" style="6" customWidth="1"/>
    <col min="5" max="5" width="12.83203125" style="6" customWidth="1"/>
    <col min="6" max="6" width="11.25" style="6" customWidth="1"/>
    <col min="7" max="8" width="12.83203125" style="6" customWidth="1"/>
    <col min="9" max="9" width="13.5" style="6" customWidth="1"/>
    <col min="10" max="16384" width="8.83203125" style="6"/>
  </cols>
  <sheetData>
    <row r="2" spans="1:8">
      <c r="A2" s="114" t="s">
        <v>221</v>
      </c>
      <c r="B2" s="114"/>
      <c r="C2" s="114"/>
      <c r="D2" s="114"/>
      <c r="E2" s="114"/>
      <c r="F2" s="114"/>
      <c r="G2" s="114"/>
    </row>
    <row r="3" spans="1:8">
      <c r="A3" s="8"/>
      <c r="B3" s="8"/>
      <c r="C3" s="8"/>
      <c r="D3" s="8"/>
      <c r="E3" s="8"/>
      <c r="F3" s="8"/>
      <c r="G3" s="8"/>
    </row>
    <row r="4" spans="1:8" ht="14">
      <c r="A4" s="6" t="s">
        <v>247</v>
      </c>
      <c r="B4" s="8"/>
      <c r="C4" s="8"/>
      <c r="D4" s="8"/>
      <c r="E4" s="8"/>
      <c r="F4" s="8"/>
      <c r="G4" s="8"/>
    </row>
    <row r="5" spans="1:8" ht="14">
      <c r="A5" s="95" t="s">
        <v>222</v>
      </c>
      <c r="B5" s="96"/>
      <c r="C5" s="96"/>
      <c r="D5" s="96"/>
      <c r="E5" s="96"/>
      <c r="F5" s="96"/>
      <c r="G5" s="96"/>
    </row>
    <row r="6" spans="1:8" s="7" customFormat="1" ht="15.75" customHeight="1">
      <c r="A6" s="161" t="s">
        <v>212</v>
      </c>
      <c r="B6" s="122" t="s">
        <v>17</v>
      </c>
      <c r="C6" s="169" t="s">
        <v>223</v>
      </c>
      <c r="D6" s="122" t="s">
        <v>27</v>
      </c>
      <c r="E6" s="164" t="s">
        <v>248</v>
      </c>
      <c r="F6" s="164"/>
      <c r="G6" s="164"/>
      <c r="H6" s="164"/>
    </row>
    <row r="7" spans="1:8" s="7" customFormat="1" ht="27">
      <c r="A7" s="162"/>
      <c r="B7" s="153"/>
      <c r="C7" s="153"/>
      <c r="D7" s="153"/>
      <c r="E7" s="59" t="s">
        <v>214</v>
      </c>
      <c r="F7" s="52" t="s">
        <v>215</v>
      </c>
      <c r="G7" s="59" t="s">
        <v>216</v>
      </c>
      <c r="H7" s="52" t="s">
        <v>217</v>
      </c>
    </row>
    <row r="8" spans="1:8" s="7" customFormat="1" ht="15.75" customHeight="1">
      <c r="A8" s="162"/>
      <c r="B8" s="153"/>
      <c r="C8" s="153"/>
      <c r="D8" s="153"/>
      <c r="E8" s="170" t="s">
        <v>175</v>
      </c>
      <c r="F8" s="165"/>
      <c r="G8" s="171" t="s">
        <v>175</v>
      </c>
      <c r="H8" s="118"/>
    </row>
    <row r="9" spans="1:8" s="7" customFormat="1" ht="15.75" customHeight="1">
      <c r="A9" s="163"/>
      <c r="B9" s="123"/>
      <c r="C9" s="123"/>
      <c r="D9" s="123"/>
      <c r="E9" s="24" t="s">
        <v>218</v>
      </c>
      <c r="F9" s="24" t="s">
        <v>28</v>
      </c>
      <c r="G9" s="24" t="s">
        <v>218</v>
      </c>
      <c r="H9" s="24" t="s">
        <v>28</v>
      </c>
    </row>
    <row r="10" spans="1:8" s="7" customFormat="1" ht="15.75" customHeight="1">
      <c r="A10" s="150" t="s">
        <v>219</v>
      </c>
      <c r="B10" s="152" t="s">
        <v>220</v>
      </c>
      <c r="C10" s="122">
        <v>4</v>
      </c>
      <c r="D10" s="24">
        <v>1</v>
      </c>
      <c r="E10" s="93">
        <v>19.251000000000001</v>
      </c>
      <c r="F10" s="93">
        <v>19.283000000000001</v>
      </c>
      <c r="G10" s="93">
        <v>1083.694</v>
      </c>
      <c r="H10" s="93">
        <v>1089.472</v>
      </c>
    </row>
    <row r="11" spans="1:8" s="7" customFormat="1" ht="15.75" customHeight="1">
      <c r="A11" s="151"/>
      <c r="B11" s="153"/>
      <c r="C11" s="153"/>
      <c r="D11" s="24">
        <v>2</v>
      </c>
      <c r="E11" s="93">
        <v>18.574000000000002</v>
      </c>
      <c r="F11" s="93">
        <v>19.303000000000001</v>
      </c>
      <c r="G11" s="93">
        <v>1034.393</v>
      </c>
      <c r="H11" s="93">
        <v>1136.4349999999999</v>
      </c>
    </row>
    <row r="12" spans="1:8" s="7" customFormat="1" ht="15.75" customHeight="1">
      <c r="A12" s="151"/>
      <c r="B12" s="153"/>
      <c r="C12" s="153"/>
      <c r="D12" s="24">
        <v>3</v>
      </c>
      <c r="E12" s="93">
        <v>19.733000000000001</v>
      </c>
      <c r="F12" s="93">
        <v>18.835000000000001</v>
      </c>
      <c r="G12" s="93">
        <v>1135.9659999999999</v>
      </c>
      <c r="H12" s="93">
        <v>1085.316</v>
      </c>
    </row>
    <row r="13" spans="1:8" s="7" customFormat="1" ht="15.75" customHeight="1">
      <c r="A13" s="151"/>
      <c r="B13" s="153"/>
      <c r="C13" s="153"/>
      <c r="D13" s="24">
        <v>4</v>
      </c>
      <c r="E13" s="93">
        <v>19.227</v>
      </c>
      <c r="F13" s="93">
        <v>19.312000000000001</v>
      </c>
      <c r="G13" s="93">
        <v>1134.6220000000001</v>
      </c>
      <c r="H13" s="93">
        <v>1102.779</v>
      </c>
    </row>
    <row r="14" spans="1:8" s="7" customFormat="1" ht="15.75" customHeight="1">
      <c r="A14" s="151"/>
      <c r="B14" s="153"/>
      <c r="C14" s="153"/>
      <c r="D14" s="24">
        <v>5</v>
      </c>
      <c r="E14" s="93">
        <v>18.922999999999998</v>
      </c>
      <c r="F14" s="93">
        <v>18.579999999999998</v>
      </c>
      <c r="G14" s="93">
        <v>1095.8240000000001</v>
      </c>
      <c r="H14" s="93">
        <v>1109.796</v>
      </c>
    </row>
    <row r="15" spans="1:8" s="7" customFormat="1" ht="15.75" customHeight="1">
      <c r="A15" s="151"/>
      <c r="B15" s="153"/>
      <c r="C15" s="123"/>
      <c r="D15" s="43">
        <v>6</v>
      </c>
      <c r="E15" s="93">
        <v>19.04</v>
      </c>
      <c r="F15" s="93">
        <v>17.919</v>
      </c>
      <c r="G15" s="93">
        <v>1073.742</v>
      </c>
      <c r="H15" s="93">
        <v>1101.2070000000001</v>
      </c>
    </row>
    <row r="16" spans="1:8" s="7" customFormat="1" ht="15.75" customHeight="1">
      <c r="A16" s="24" t="s">
        <v>21</v>
      </c>
      <c r="B16" s="154"/>
      <c r="C16" s="166"/>
      <c r="D16" s="155"/>
      <c r="E16" s="52">
        <f>ROUND(AVERAGE(E10:E15),3)</f>
        <v>19.125</v>
      </c>
      <c r="F16" s="52">
        <f>ROUND(AVERAGE(F10:F15),3)</f>
        <v>18.872</v>
      </c>
      <c r="G16" s="52">
        <f t="shared" ref="G16:H16" si="0">ROUND(AVERAGE(G10:G15),3)</f>
        <v>1093.04</v>
      </c>
      <c r="H16" s="52">
        <f t="shared" si="0"/>
        <v>1104.1679999999999</v>
      </c>
    </row>
    <row r="17" spans="1:8" s="7" customFormat="1" ht="15.75" customHeight="1">
      <c r="A17" s="24" t="s">
        <v>2</v>
      </c>
      <c r="B17" s="156"/>
      <c r="C17" s="167"/>
      <c r="D17" s="157"/>
      <c r="E17" s="52">
        <f>ROUND(STDEV(E10:E15),3)</f>
        <v>0.38700000000000001</v>
      </c>
      <c r="F17" s="52">
        <f>ROUND(STDEV(F10:F15),3)</f>
        <v>0.55600000000000005</v>
      </c>
      <c r="G17" s="52">
        <f t="shared" ref="G17:H17" si="1">ROUND(STDEV(G10:G15),3)</f>
        <v>38.674999999999997</v>
      </c>
      <c r="H17" s="52">
        <f t="shared" si="1"/>
        <v>18.193000000000001</v>
      </c>
    </row>
    <row r="18" spans="1:8" s="7" customFormat="1" ht="15.75" customHeight="1">
      <c r="A18" s="24" t="s">
        <v>38</v>
      </c>
      <c r="B18" s="156"/>
      <c r="C18" s="167"/>
      <c r="D18" s="157"/>
      <c r="E18" s="94">
        <f>ROUND(E17/E16*100,1)</f>
        <v>2</v>
      </c>
      <c r="F18" s="94">
        <f>ROUND(F17/F16*100,1)</f>
        <v>2.9</v>
      </c>
      <c r="G18" s="94">
        <f>ROUND(G17/G16*100,1)</f>
        <v>3.5</v>
      </c>
      <c r="H18" s="94">
        <f>ROUND(H17/H16*100,1)</f>
        <v>1.6</v>
      </c>
    </row>
    <row r="19" spans="1:8" s="7" customFormat="1" ht="15.75" customHeight="1">
      <c r="A19" s="24" t="s">
        <v>39</v>
      </c>
      <c r="B19" s="158"/>
      <c r="C19" s="168"/>
      <c r="D19" s="159"/>
      <c r="E19" s="160">
        <f>ROUND((E16-F16)/F16*100,1)</f>
        <v>1.3</v>
      </c>
      <c r="F19" s="160"/>
      <c r="G19" s="160">
        <f>ROUND((G16-H16)/H16*100,1)</f>
        <v>-1</v>
      </c>
      <c r="H19" s="160"/>
    </row>
    <row r="20" spans="1:8" ht="14">
      <c r="A20" s="12"/>
      <c r="B20" s="12"/>
      <c r="C20" s="12"/>
      <c r="D20" s="12"/>
      <c r="E20" s="12"/>
      <c r="F20" s="12"/>
      <c r="G20" s="11"/>
    </row>
  </sheetData>
  <mergeCells count="14">
    <mergeCell ref="G19:H19"/>
    <mergeCell ref="A2:G2"/>
    <mergeCell ref="A6:A9"/>
    <mergeCell ref="B6:B9"/>
    <mergeCell ref="C6:C9"/>
    <mergeCell ref="D6:D9"/>
    <mergeCell ref="E6:H6"/>
    <mergeCell ref="E8:F8"/>
    <mergeCell ref="G8:H8"/>
    <mergeCell ref="A10:A15"/>
    <mergeCell ref="B10:B15"/>
    <mergeCell ref="C10:C15"/>
    <mergeCell ref="B16:D19"/>
    <mergeCell ref="E19:F19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81" orientation="portrait" r:id="rId1"/>
  <headerFooter>
    <oddHeader>&amp;C 1632MV7生物分析方法学验证数据</oddHeader>
    <oddFooter>&amp;C第&amp;P页，共&amp;N页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B27A-750D-4785-861F-54AAA2CD1341}">
  <sheetPr>
    <pageSetUpPr fitToPage="1"/>
  </sheetPr>
  <dimension ref="A2:J20"/>
  <sheetViews>
    <sheetView view="pageBreakPreview" zoomScaleNormal="100" zoomScaleSheetLayoutView="100" workbookViewId="0">
      <selection activeCell="F10" sqref="F10"/>
    </sheetView>
  </sheetViews>
  <sheetFormatPr defaultColWidth="8.83203125" defaultRowHeight="13.5"/>
  <cols>
    <col min="1" max="1" width="14.08203125" style="6" customWidth="1"/>
    <col min="2" max="2" width="11.25" style="6" customWidth="1"/>
    <col min="3" max="3" width="9" style="6" customWidth="1"/>
    <col min="4" max="7" width="12.5" style="6" customWidth="1"/>
    <col min="8" max="8" width="18.5" style="6" customWidth="1"/>
    <col min="9" max="9" width="8.83203125" style="6"/>
    <col min="10" max="10" width="18.5" style="6" customWidth="1"/>
    <col min="11" max="16384" width="8.83203125" style="6"/>
  </cols>
  <sheetData>
    <row r="2" spans="1:10">
      <c r="A2" s="6" t="s">
        <v>224</v>
      </c>
    </row>
    <row r="5" spans="1:10" ht="14">
      <c r="A5" s="6" t="s">
        <v>247</v>
      </c>
      <c r="B5" s="8"/>
      <c r="C5" s="8"/>
      <c r="D5" s="8"/>
      <c r="E5" s="8"/>
      <c r="I5" s="4" t="s">
        <v>225</v>
      </c>
      <c r="J5" s="90">
        <v>45887.757638888892</v>
      </c>
    </row>
    <row r="6" spans="1:10" ht="15.75" customHeight="1">
      <c r="A6" s="6" t="s">
        <v>226</v>
      </c>
      <c r="I6" s="4" t="s">
        <v>227</v>
      </c>
      <c r="J6" s="90">
        <v>45891.000127314815</v>
      </c>
    </row>
    <row r="7" spans="1:10" ht="15.75" customHeight="1">
      <c r="A7" s="161" t="s">
        <v>212</v>
      </c>
      <c r="B7" s="122" t="s">
        <v>17</v>
      </c>
      <c r="C7" s="122" t="s">
        <v>27</v>
      </c>
      <c r="D7" s="164" t="s">
        <v>248</v>
      </c>
      <c r="E7" s="164"/>
      <c r="F7" s="164"/>
      <c r="G7" s="164"/>
      <c r="I7" s="4" t="s">
        <v>228</v>
      </c>
      <c r="J7" s="92">
        <f>(J6-J5)*24</f>
        <v>77.819722222164273</v>
      </c>
    </row>
    <row r="8" spans="1:10" ht="47.25" customHeight="1">
      <c r="A8" s="162"/>
      <c r="B8" s="153"/>
      <c r="C8" s="153"/>
      <c r="D8" s="59" t="s">
        <v>214</v>
      </c>
      <c r="E8" s="52" t="s">
        <v>215</v>
      </c>
      <c r="F8" s="59" t="s">
        <v>216</v>
      </c>
      <c r="G8" s="52" t="s">
        <v>217</v>
      </c>
    </row>
    <row r="9" spans="1:10" ht="15.75" customHeight="1">
      <c r="A9" s="162"/>
      <c r="B9" s="153"/>
      <c r="C9" s="153"/>
      <c r="D9" s="123" t="s">
        <v>175</v>
      </c>
      <c r="E9" s="165"/>
      <c r="F9" s="118" t="s">
        <v>175</v>
      </c>
      <c r="G9" s="118"/>
    </row>
    <row r="10" spans="1:10" ht="15.75" customHeight="1">
      <c r="A10" s="163"/>
      <c r="B10" s="123"/>
      <c r="C10" s="123"/>
      <c r="D10" s="24" t="s">
        <v>218</v>
      </c>
      <c r="E10" s="24" t="s">
        <v>28</v>
      </c>
      <c r="F10" s="24" t="s">
        <v>218</v>
      </c>
      <c r="G10" s="24" t="s">
        <v>28</v>
      </c>
    </row>
    <row r="11" spans="1:10" ht="15.75" customHeight="1">
      <c r="A11" s="150" t="s">
        <v>219</v>
      </c>
      <c r="B11" s="152" t="s">
        <v>220</v>
      </c>
      <c r="C11" s="24">
        <v>1</v>
      </c>
      <c r="D11" s="93">
        <v>18.526</v>
      </c>
      <c r="E11" s="93">
        <v>19.283000000000001</v>
      </c>
      <c r="F11" s="93">
        <v>1088.1389999999999</v>
      </c>
      <c r="G11" s="93">
        <v>1089.472</v>
      </c>
    </row>
    <row r="12" spans="1:10" ht="15.75" customHeight="1">
      <c r="A12" s="151"/>
      <c r="B12" s="153"/>
      <c r="C12" s="24">
        <v>2</v>
      </c>
      <c r="D12" s="93">
        <v>18.065000000000001</v>
      </c>
      <c r="E12" s="93">
        <v>19.303000000000001</v>
      </c>
      <c r="F12" s="93">
        <v>1118.1489999999999</v>
      </c>
      <c r="G12" s="93">
        <v>1136.4349999999999</v>
      </c>
    </row>
    <row r="13" spans="1:10" ht="15.75" customHeight="1">
      <c r="A13" s="151"/>
      <c r="B13" s="153"/>
      <c r="C13" s="24">
        <v>3</v>
      </c>
      <c r="D13" s="93">
        <v>18.344999999999999</v>
      </c>
      <c r="E13" s="93">
        <v>18.835000000000001</v>
      </c>
      <c r="F13" s="93">
        <v>1057.4570000000001</v>
      </c>
      <c r="G13" s="93">
        <v>1085.316</v>
      </c>
    </row>
    <row r="14" spans="1:10" ht="15.75" customHeight="1">
      <c r="A14" s="151"/>
      <c r="B14" s="153"/>
      <c r="C14" s="24">
        <v>4</v>
      </c>
      <c r="D14" s="93">
        <v>18.722999999999999</v>
      </c>
      <c r="E14" s="93">
        <v>19.312000000000001</v>
      </c>
      <c r="F14" s="93">
        <v>1117.251</v>
      </c>
      <c r="G14" s="93">
        <v>1102.779</v>
      </c>
    </row>
    <row r="15" spans="1:10" ht="15.75" customHeight="1">
      <c r="A15" s="151"/>
      <c r="B15" s="153"/>
      <c r="C15" s="24">
        <v>5</v>
      </c>
      <c r="D15" s="93">
        <v>17.869</v>
      </c>
      <c r="E15" s="93">
        <v>18.579999999999998</v>
      </c>
      <c r="F15" s="93">
        <v>1101.9110000000001</v>
      </c>
      <c r="G15" s="93">
        <v>1109.796</v>
      </c>
    </row>
    <row r="16" spans="1:10" ht="15.75" customHeight="1">
      <c r="A16" s="151"/>
      <c r="B16" s="153"/>
      <c r="C16" s="43">
        <v>6</v>
      </c>
      <c r="D16" s="93">
        <v>17.802</v>
      </c>
      <c r="E16" s="93">
        <v>17.919</v>
      </c>
      <c r="F16" s="93">
        <v>1090.3599999999999</v>
      </c>
      <c r="G16" s="93">
        <v>1101.2070000000001</v>
      </c>
    </row>
    <row r="17" spans="1:8" ht="15.75" customHeight="1">
      <c r="A17" s="24" t="s">
        <v>21</v>
      </c>
      <c r="B17" s="154"/>
      <c r="C17" s="155"/>
      <c r="D17" s="52">
        <f>ROUND(AVERAGE(D11:D16),3)</f>
        <v>18.222000000000001</v>
      </c>
      <c r="E17" s="52">
        <f>ROUND(AVERAGE(E11:E16),3)</f>
        <v>18.872</v>
      </c>
      <c r="F17" s="52">
        <f t="shared" ref="F17:G17" si="0">ROUND(AVERAGE(F11:F16),3)</f>
        <v>1095.5450000000001</v>
      </c>
      <c r="G17" s="52">
        <f t="shared" si="0"/>
        <v>1104.1679999999999</v>
      </c>
    </row>
    <row r="18" spans="1:8" ht="15.75" customHeight="1">
      <c r="A18" s="24" t="s">
        <v>2</v>
      </c>
      <c r="B18" s="156"/>
      <c r="C18" s="157"/>
      <c r="D18" s="52">
        <f>ROUND(STDEV(D11:D16),3)</f>
        <v>0.37</v>
      </c>
      <c r="E18" s="52">
        <f>ROUND(STDEV(E11:E16),3)</f>
        <v>0.55600000000000005</v>
      </c>
      <c r="F18" s="52">
        <f t="shared" ref="F18:G18" si="1">ROUND(STDEV(F11:F16),3)</f>
        <v>22.606000000000002</v>
      </c>
      <c r="G18" s="52">
        <f t="shared" si="1"/>
        <v>18.193000000000001</v>
      </c>
    </row>
    <row r="19" spans="1:8" ht="15.75" customHeight="1">
      <c r="A19" s="24" t="s">
        <v>38</v>
      </c>
      <c r="B19" s="156"/>
      <c r="C19" s="157"/>
      <c r="D19" s="94">
        <f>ROUND(D18/D17*100,1)</f>
        <v>2</v>
      </c>
      <c r="E19" s="94">
        <f>ROUND(E18/E17*100,1)</f>
        <v>2.9</v>
      </c>
      <c r="F19" s="94">
        <f>ROUND(F18/F17*100,1)</f>
        <v>2.1</v>
      </c>
      <c r="G19" s="94">
        <f>ROUND(G18/G17*100,1)</f>
        <v>1.6</v>
      </c>
    </row>
    <row r="20" spans="1:8" ht="15.75" customHeight="1">
      <c r="A20" s="24" t="s">
        <v>39</v>
      </c>
      <c r="B20" s="158"/>
      <c r="C20" s="159"/>
      <c r="D20" s="160">
        <f>ROUND((D17-E17)/E17*100,1)</f>
        <v>-3.4</v>
      </c>
      <c r="E20" s="160"/>
      <c r="F20" s="160">
        <f>ROUND((F17-G17)/G17*100,1)</f>
        <v>-0.8</v>
      </c>
      <c r="G20" s="160"/>
      <c r="H20" s="97"/>
    </row>
  </sheetData>
  <mergeCells count="11">
    <mergeCell ref="A7:A10"/>
    <mergeCell ref="B7:B10"/>
    <mergeCell ref="C7:C10"/>
    <mergeCell ref="D7:G7"/>
    <mergeCell ref="D9:E9"/>
    <mergeCell ref="F9:G9"/>
    <mergeCell ref="A11:A16"/>
    <mergeCell ref="B11:B16"/>
    <mergeCell ref="B17:C20"/>
    <mergeCell ref="D20:E20"/>
    <mergeCell ref="F20:G20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scale="64" orientation="portrait" r:id="rId1"/>
  <headerFooter>
    <oddHeader>&amp;C 1632MV7生物分析方法学验证数据</oddHeader>
    <oddFooter>&amp;C第&amp;P页，共&amp;N页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2:K42"/>
  <sheetViews>
    <sheetView topLeftCell="A40" zoomScaleNormal="100" zoomScaleSheetLayoutView="100" workbookViewId="0">
      <selection activeCell="I58" sqref="I58"/>
    </sheetView>
  </sheetViews>
  <sheetFormatPr defaultColWidth="9" defaultRowHeight="13.5"/>
  <cols>
    <col min="1" max="1" width="13.5" style="6" customWidth="1"/>
    <col min="2" max="2" width="14.58203125" style="6" customWidth="1"/>
    <col min="3" max="3" width="10.58203125" style="6" customWidth="1"/>
    <col min="4" max="4" width="12.83203125" style="6" customWidth="1"/>
    <col min="5" max="5" width="10.83203125" style="6" customWidth="1"/>
    <col min="6" max="6" width="14.5" style="6" customWidth="1"/>
    <col min="7" max="9" width="8.83203125" style="6"/>
    <col min="10" max="10" width="27.58203125" style="21" bestFit="1" customWidth="1"/>
    <col min="11" max="11" width="9.5" style="6" bestFit="1" customWidth="1"/>
    <col min="12" max="16384" width="9" style="6"/>
  </cols>
  <sheetData>
    <row r="2" spans="1:11">
      <c r="A2" s="6" t="s">
        <v>30</v>
      </c>
    </row>
    <row r="3" spans="1:11">
      <c r="A3" s="12"/>
      <c r="B3" s="12"/>
      <c r="C3" s="12"/>
      <c r="D3" s="12"/>
      <c r="E3" s="12"/>
    </row>
    <row r="4" spans="1:11" ht="14">
      <c r="A4" s="6" t="s">
        <v>247</v>
      </c>
      <c r="J4" s="4" t="s">
        <v>44</v>
      </c>
      <c r="K4" s="62">
        <v>45887</v>
      </c>
    </row>
    <row r="5" spans="1:11" ht="14">
      <c r="A5" s="172" t="s">
        <v>188</v>
      </c>
      <c r="B5" s="172"/>
      <c r="C5" s="172"/>
      <c r="D5" s="172"/>
      <c r="E5" s="172"/>
      <c r="F5" s="172"/>
      <c r="J5" s="4" t="s">
        <v>45</v>
      </c>
      <c r="K5" s="62">
        <v>45981</v>
      </c>
    </row>
    <row r="6" spans="1:11" ht="14.15" customHeight="1">
      <c r="A6" s="122" t="s">
        <v>19</v>
      </c>
      <c r="B6" s="122" t="s">
        <v>17</v>
      </c>
      <c r="C6" s="122" t="s">
        <v>27</v>
      </c>
      <c r="D6" s="164" t="s">
        <v>248</v>
      </c>
      <c r="E6" s="164"/>
      <c r="F6" s="164"/>
      <c r="G6" s="164"/>
      <c r="J6" s="4" t="s">
        <v>31</v>
      </c>
      <c r="K6" s="15">
        <f>K5-K4</f>
        <v>94</v>
      </c>
    </row>
    <row r="7" spans="1:11" ht="14.15" customHeight="1">
      <c r="A7" s="153"/>
      <c r="B7" s="153"/>
      <c r="C7" s="153"/>
      <c r="D7" s="59" t="s">
        <v>171</v>
      </c>
      <c r="E7" s="52" t="s">
        <v>172</v>
      </c>
      <c r="F7" s="59" t="s">
        <v>173</v>
      </c>
      <c r="G7" s="52" t="s">
        <v>174</v>
      </c>
      <c r="J7" s="6"/>
    </row>
    <row r="8" spans="1:11" ht="15" customHeight="1">
      <c r="A8" s="153"/>
      <c r="B8" s="153"/>
      <c r="C8" s="153"/>
      <c r="D8" s="123" t="s">
        <v>175</v>
      </c>
      <c r="E8" s="165"/>
      <c r="F8" s="118" t="s">
        <v>175</v>
      </c>
      <c r="G8" s="118"/>
      <c r="J8" s="6"/>
    </row>
    <row r="9" spans="1:11" ht="15" customHeight="1">
      <c r="A9" s="123"/>
      <c r="B9" s="123"/>
      <c r="C9" s="123"/>
      <c r="D9" s="24" t="s">
        <v>176</v>
      </c>
      <c r="E9" s="24" t="s">
        <v>28</v>
      </c>
      <c r="F9" s="24" t="s">
        <v>176</v>
      </c>
      <c r="G9" s="24" t="s">
        <v>28</v>
      </c>
      <c r="J9" s="6"/>
    </row>
    <row r="10" spans="1:11" ht="15" customHeight="1">
      <c r="A10" s="150" t="s">
        <v>179</v>
      </c>
      <c r="B10" s="152" t="s">
        <v>180</v>
      </c>
      <c r="C10" s="24">
        <v>1</v>
      </c>
      <c r="D10" s="59">
        <v>17.175000000000001</v>
      </c>
      <c r="E10" s="59">
        <v>19.283000000000001</v>
      </c>
      <c r="F10" s="59">
        <v>1055.8610000000001</v>
      </c>
      <c r="G10" s="59">
        <v>1089.472</v>
      </c>
      <c r="J10" s="6"/>
    </row>
    <row r="11" spans="1:11" ht="15" customHeight="1">
      <c r="A11" s="151"/>
      <c r="B11" s="153"/>
      <c r="C11" s="24">
        <v>2</v>
      </c>
      <c r="D11" s="59">
        <v>17.488</v>
      </c>
      <c r="E11" s="59">
        <v>19.303000000000001</v>
      </c>
      <c r="F11" s="59">
        <v>1048.306</v>
      </c>
      <c r="G11" s="59">
        <v>1136.4349999999999</v>
      </c>
      <c r="J11" s="6"/>
    </row>
    <row r="12" spans="1:11" ht="15" customHeight="1">
      <c r="A12" s="151"/>
      <c r="B12" s="153"/>
      <c r="C12" s="24">
        <v>3</v>
      </c>
      <c r="D12" s="59">
        <v>16.678000000000001</v>
      </c>
      <c r="E12" s="59">
        <v>18.835000000000001</v>
      </c>
      <c r="F12" s="59">
        <v>1047.175</v>
      </c>
      <c r="G12" s="59">
        <v>1085.316</v>
      </c>
      <c r="J12" s="6"/>
    </row>
    <row r="13" spans="1:11" ht="15" customHeight="1">
      <c r="A13" s="151"/>
      <c r="B13" s="153"/>
      <c r="C13" s="24">
        <v>4</v>
      </c>
      <c r="D13" s="59">
        <v>17.695</v>
      </c>
      <c r="E13" s="59">
        <v>19.312000000000001</v>
      </c>
      <c r="F13" s="59">
        <v>1040.9649999999999</v>
      </c>
      <c r="G13" s="59">
        <v>1102.779</v>
      </c>
      <c r="J13" s="6"/>
    </row>
    <row r="14" spans="1:11" ht="15" customHeight="1">
      <c r="A14" s="151"/>
      <c r="B14" s="153"/>
      <c r="C14" s="24">
        <v>5</v>
      </c>
      <c r="D14" s="59">
        <v>16.968</v>
      </c>
      <c r="E14" s="59">
        <v>18.579999999999998</v>
      </c>
      <c r="F14" s="59">
        <v>1031.9490000000001</v>
      </c>
      <c r="G14" s="59">
        <v>1109.796</v>
      </c>
      <c r="J14" s="6"/>
    </row>
    <row r="15" spans="1:11" ht="15" customHeight="1">
      <c r="A15" s="151"/>
      <c r="B15" s="153"/>
      <c r="C15" s="43">
        <v>6</v>
      </c>
      <c r="D15" s="59">
        <v>17.372</v>
      </c>
      <c r="E15" s="59">
        <v>17.919</v>
      </c>
      <c r="F15" s="59">
        <v>1066.498</v>
      </c>
      <c r="G15" s="59">
        <v>1101.2070000000001</v>
      </c>
      <c r="J15" s="6"/>
    </row>
    <row r="16" spans="1:11" ht="15" customHeight="1">
      <c r="A16" s="24" t="s">
        <v>21</v>
      </c>
      <c r="B16" s="173"/>
      <c r="C16" s="174"/>
      <c r="D16" s="59">
        <f>ROUND(AVERAGE(D10:D15),3)</f>
        <v>17.228999999999999</v>
      </c>
      <c r="E16" s="59">
        <f>ROUND(AVERAGE(E10:E15),3)</f>
        <v>18.872</v>
      </c>
      <c r="F16" s="59">
        <f>ROUND(AVERAGE(F10:F15),3)</f>
        <v>1048.4590000000001</v>
      </c>
      <c r="G16" s="59">
        <f>ROUND(AVERAGE(G10:G15),3)</f>
        <v>1104.1679999999999</v>
      </c>
      <c r="J16" s="6"/>
    </row>
    <row r="17" spans="1:11" ht="15" customHeight="1">
      <c r="A17" s="24" t="s">
        <v>2</v>
      </c>
      <c r="B17" s="175"/>
      <c r="C17" s="176"/>
      <c r="D17" s="59">
        <f>ROUND(STDEV(D10:D15),3)</f>
        <v>0.36899999999999999</v>
      </c>
      <c r="E17" s="59">
        <f>ROUND(STDEV(E10:E15),3)</f>
        <v>0.55600000000000005</v>
      </c>
      <c r="F17" s="59">
        <f>ROUND(STDEV(F10:F15),3)</f>
        <v>11.920999999999999</v>
      </c>
      <c r="G17" s="59">
        <f>ROUND(STDEV(G10:G15),3)</f>
        <v>18.193000000000001</v>
      </c>
      <c r="J17" s="6"/>
    </row>
    <row r="18" spans="1:11" ht="15" customHeight="1">
      <c r="A18" s="24" t="s">
        <v>38</v>
      </c>
      <c r="B18" s="175"/>
      <c r="C18" s="176"/>
      <c r="D18" s="64">
        <f>ROUND(D17/D16*100,1)</f>
        <v>2.1</v>
      </c>
      <c r="E18" s="64">
        <f>ROUND(E17/E16*100,1)</f>
        <v>2.9</v>
      </c>
      <c r="F18" s="64">
        <f>ROUND(F17/F16*100,1)</f>
        <v>1.1000000000000001</v>
      </c>
      <c r="G18" s="64">
        <f>ROUND(G17/G16*100,1)</f>
        <v>1.6</v>
      </c>
      <c r="J18" s="6"/>
    </row>
    <row r="19" spans="1:11" ht="15" customHeight="1">
      <c r="A19" s="24" t="s">
        <v>39</v>
      </c>
      <c r="B19" s="177"/>
      <c r="C19" s="178"/>
      <c r="D19" s="179">
        <f>ROUND((D16-E16)/E16*100,1)</f>
        <v>-8.6999999999999993</v>
      </c>
      <c r="E19" s="179"/>
      <c r="F19" s="179">
        <f>ROUND((F16-G16)/G16*100,1)</f>
        <v>-5</v>
      </c>
      <c r="G19" s="179"/>
      <c r="J19" s="6"/>
    </row>
    <row r="20" spans="1:11">
      <c r="A20" s="12"/>
      <c r="B20" s="12"/>
      <c r="C20" s="12"/>
      <c r="D20" s="12"/>
      <c r="E20" s="12"/>
      <c r="J20" s="6"/>
    </row>
    <row r="23" spans="1:11">
      <c r="A23" s="8"/>
      <c r="B23" s="8"/>
      <c r="C23" s="8"/>
      <c r="J23" s="6"/>
    </row>
    <row r="24" spans="1:11">
      <c r="A24" s="6" t="s">
        <v>247</v>
      </c>
      <c r="J24" s="4" t="s">
        <v>44</v>
      </c>
      <c r="K24" s="62">
        <v>45887</v>
      </c>
    </row>
    <row r="25" spans="1:11" ht="14">
      <c r="A25" s="172" t="s">
        <v>189</v>
      </c>
      <c r="B25" s="172"/>
      <c r="C25" s="172"/>
      <c r="D25" s="172"/>
      <c r="E25" s="172"/>
      <c r="F25" s="172"/>
      <c r="J25" s="4" t="s">
        <v>45</v>
      </c>
      <c r="K25" s="62">
        <v>45995</v>
      </c>
    </row>
    <row r="26" spans="1:11">
      <c r="A26" s="122" t="s">
        <v>19</v>
      </c>
      <c r="B26" s="122" t="s">
        <v>17</v>
      </c>
      <c r="C26" s="122" t="s">
        <v>27</v>
      </c>
      <c r="D26" s="164" t="s">
        <v>248</v>
      </c>
      <c r="E26" s="164"/>
      <c r="F26" s="164"/>
      <c r="G26" s="164"/>
      <c r="J26" s="4" t="s">
        <v>31</v>
      </c>
      <c r="K26" s="15">
        <f>K25-K24</f>
        <v>108</v>
      </c>
    </row>
    <row r="27" spans="1:11" ht="27">
      <c r="A27" s="153"/>
      <c r="B27" s="153"/>
      <c r="C27" s="153"/>
      <c r="D27" s="59" t="s">
        <v>171</v>
      </c>
      <c r="E27" s="52" t="s">
        <v>172</v>
      </c>
      <c r="F27" s="59" t="s">
        <v>173</v>
      </c>
      <c r="G27" s="52" t="s">
        <v>174</v>
      </c>
      <c r="J27" s="6"/>
    </row>
    <row r="28" spans="1:11">
      <c r="A28" s="153"/>
      <c r="B28" s="153"/>
      <c r="C28" s="153"/>
      <c r="D28" s="123" t="s">
        <v>175</v>
      </c>
      <c r="E28" s="165"/>
      <c r="F28" s="118" t="s">
        <v>175</v>
      </c>
      <c r="G28" s="118"/>
      <c r="J28" s="6"/>
    </row>
    <row r="29" spans="1:11" ht="15.5">
      <c r="A29" s="123"/>
      <c r="B29" s="123"/>
      <c r="C29" s="123"/>
      <c r="D29" s="24" t="s">
        <v>176</v>
      </c>
      <c r="E29" s="24" t="s">
        <v>28</v>
      </c>
      <c r="F29" s="24" t="s">
        <v>176</v>
      </c>
      <c r="G29" s="24" t="s">
        <v>28</v>
      </c>
      <c r="J29" s="6"/>
    </row>
    <row r="30" spans="1:11">
      <c r="A30" s="150" t="s">
        <v>177</v>
      </c>
      <c r="B30" s="152" t="s">
        <v>178</v>
      </c>
      <c r="C30" s="24">
        <v>1</v>
      </c>
      <c r="D30" s="59">
        <v>18.719000000000001</v>
      </c>
      <c r="E30" s="59">
        <v>19.283000000000001</v>
      </c>
      <c r="F30" s="59">
        <v>1029.2439999999999</v>
      </c>
      <c r="G30" s="59">
        <v>1089.472</v>
      </c>
      <c r="J30" s="6"/>
    </row>
    <row r="31" spans="1:11">
      <c r="A31" s="151"/>
      <c r="B31" s="153"/>
      <c r="C31" s="24">
        <v>2</v>
      </c>
      <c r="D31" s="59">
        <v>18.859000000000002</v>
      </c>
      <c r="E31" s="59">
        <v>19.303000000000001</v>
      </c>
      <c r="F31" s="59">
        <v>1029.0540000000001</v>
      </c>
      <c r="G31" s="59">
        <v>1136.4349999999999</v>
      </c>
      <c r="J31" s="6"/>
    </row>
    <row r="32" spans="1:11">
      <c r="A32" s="151"/>
      <c r="B32" s="153"/>
      <c r="C32" s="24">
        <v>3</v>
      </c>
      <c r="D32" s="59">
        <v>19.106000000000002</v>
      </c>
      <c r="E32" s="59">
        <v>18.835000000000001</v>
      </c>
      <c r="F32" s="59">
        <v>1012.602</v>
      </c>
      <c r="G32" s="59">
        <v>1085.316</v>
      </c>
      <c r="J32" s="6"/>
    </row>
    <row r="33" spans="1:10">
      <c r="A33" s="151"/>
      <c r="B33" s="153"/>
      <c r="C33" s="24">
        <v>4</v>
      </c>
      <c r="D33" s="59">
        <v>19.262</v>
      </c>
      <c r="E33" s="59">
        <v>19.312000000000001</v>
      </c>
      <c r="F33" s="59">
        <v>1027.8520000000001</v>
      </c>
      <c r="G33" s="59">
        <v>1102.779</v>
      </c>
      <c r="J33" s="6"/>
    </row>
    <row r="34" spans="1:10">
      <c r="A34" s="151"/>
      <c r="B34" s="153"/>
      <c r="C34" s="24">
        <v>5</v>
      </c>
      <c r="D34" s="59">
        <v>19.401</v>
      </c>
      <c r="E34" s="59">
        <v>18.579999999999998</v>
      </c>
      <c r="F34" s="59">
        <v>1046.7360000000001</v>
      </c>
      <c r="G34" s="59">
        <v>1109.796</v>
      </c>
      <c r="J34" s="6"/>
    </row>
    <row r="35" spans="1:10">
      <c r="A35" s="151"/>
      <c r="B35" s="153"/>
      <c r="C35" s="43">
        <v>6</v>
      </c>
      <c r="D35" s="59">
        <v>18.545999999999999</v>
      </c>
      <c r="E35" s="59">
        <v>17.919</v>
      </c>
      <c r="F35" s="59">
        <v>1036.1579999999999</v>
      </c>
      <c r="G35" s="59">
        <v>1101.2070000000001</v>
      </c>
      <c r="J35" s="6"/>
    </row>
    <row r="36" spans="1:10">
      <c r="A36" s="24" t="s">
        <v>21</v>
      </c>
      <c r="B36" s="173"/>
      <c r="C36" s="174"/>
      <c r="D36" s="59">
        <f>ROUND(AVERAGE(D30:D35),3)</f>
        <v>18.981999999999999</v>
      </c>
      <c r="E36" s="59">
        <f>ROUND(AVERAGE(E30:E35),3)</f>
        <v>18.872</v>
      </c>
      <c r="F36" s="59">
        <f>ROUND(AVERAGE(F30:F35),3)</f>
        <v>1030.2739999999999</v>
      </c>
      <c r="G36" s="59">
        <f>ROUND(AVERAGE(G30:G35),3)</f>
        <v>1104.1679999999999</v>
      </c>
      <c r="J36" s="6"/>
    </row>
    <row r="37" spans="1:10">
      <c r="A37" s="24" t="s">
        <v>2</v>
      </c>
      <c r="B37" s="175"/>
      <c r="C37" s="176"/>
      <c r="D37" s="59">
        <f>ROUND(STDEV(D30:D35),3)</f>
        <v>0.33</v>
      </c>
      <c r="E37" s="59">
        <f>ROUND(STDEV(E30:E35),3)</f>
        <v>0.55600000000000005</v>
      </c>
      <c r="F37" s="59">
        <f>ROUND(STDEV(F30:F35),3)</f>
        <v>11.192</v>
      </c>
      <c r="G37" s="59">
        <f>ROUND(STDEV(G30:G35),3)</f>
        <v>18.193000000000001</v>
      </c>
      <c r="J37" s="6"/>
    </row>
    <row r="38" spans="1:10">
      <c r="A38" s="24" t="s">
        <v>38</v>
      </c>
      <c r="B38" s="175"/>
      <c r="C38" s="176"/>
      <c r="D38" s="64">
        <f>ROUND(D37/D36*100,1)</f>
        <v>1.7</v>
      </c>
      <c r="E38" s="64">
        <f>ROUND(E37/E36*100,1)</f>
        <v>2.9</v>
      </c>
      <c r="F38" s="64">
        <f>ROUND(F37/F36*100,1)</f>
        <v>1.1000000000000001</v>
      </c>
      <c r="G38" s="64">
        <f>ROUND(G37/G36*100,1)</f>
        <v>1.6</v>
      </c>
      <c r="J38" s="6"/>
    </row>
    <row r="39" spans="1:10">
      <c r="A39" s="24" t="s">
        <v>39</v>
      </c>
      <c r="B39" s="177"/>
      <c r="C39" s="178"/>
      <c r="D39" s="179">
        <f>ROUND((D36-E36)/E36*100,1)</f>
        <v>0.6</v>
      </c>
      <c r="E39" s="179"/>
      <c r="F39" s="179">
        <f>ROUND((F36-G36)/G36*100,1)</f>
        <v>-6.7</v>
      </c>
      <c r="G39" s="179"/>
      <c r="J39" s="6"/>
    </row>
    <row r="40" spans="1:10">
      <c r="A40" s="12"/>
      <c r="B40" s="12"/>
      <c r="C40" s="12"/>
      <c r="D40" s="12"/>
      <c r="E40" s="12"/>
      <c r="J40" s="6"/>
    </row>
    <row r="41" spans="1:10">
      <c r="J41" s="6"/>
    </row>
    <row r="42" spans="1:10" ht="14">
      <c r="G42" s="63"/>
    </row>
  </sheetData>
  <mergeCells count="24">
    <mergeCell ref="F8:G8"/>
    <mergeCell ref="A10:A15"/>
    <mergeCell ref="B10:B15"/>
    <mergeCell ref="B36:C39"/>
    <mergeCell ref="D39:E39"/>
    <mergeCell ref="F39:G39"/>
    <mergeCell ref="A30:A35"/>
    <mergeCell ref="B30:B35"/>
    <mergeCell ref="A5:F5"/>
    <mergeCell ref="A26:A29"/>
    <mergeCell ref="B26:B29"/>
    <mergeCell ref="C26:C29"/>
    <mergeCell ref="D26:G26"/>
    <mergeCell ref="D28:E28"/>
    <mergeCell ref="F28:G28"/>
    <mergeCell ref="A25:F25"/>
    <mergeCell ref="A6:A9"/>
    <mergeCell ref="B6:B9"/>
    <mergeCell ref="C6:C9"/>
    <mergeCell ref="D6:G6"/>
    <mergeCell ref="D8:E8"/>
    <mergeCell ref="B16:C19"/>
    <mergeCell ref="D19:E19"/>
    <mergeCell ref="F19:G19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60" orientation="portrait" r:id="rId1"/>
  <headerFooter>
    <oddHeader>&amp;C 1632MV7生物分析方法学验证数据</oddHeader>
    <oddFooter>&amp;C第&amp;P页，共&amp;N页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3B3F-AB72-4E00-8422-E3A4B27D2479}">
  <sheetPr>
    <pageSetUpPr fitToPage="1"/>
  </sheetPr>
  <dimension ref="A2:G20"/>
  <sheetViews>
    <sheetView view="pageBreakPreview" zoomScaleNormal="100" zoomScaleSheetLayoutView="100" workbookViewId="0">
      <selection activeCell="A4" sqref="A4:G19"/>
    </sheetView>
  </sheetViews>
  <sheetFormatPr defaultColWidth="9" defaultRowHeight="13.5"/>
  <cols>
    <col min="1" max="7" width="12.08203125" style="6" customWidth="1"/>
    <col min="8" max="16384" width="9" style="6"/>
  </cols>
  <sheetData>
    <row r="2" spans="1:7">
      <c r="A2" s="114" t="s">
        <v>229</v>
      </c>
      <c r="B2" s="114"/>
      <c r="C2" s="114"/>
      <c r="D2" s="114"/>
      <c r="E2" s="114"/>
      <c r="F2" s="114"/>
    </row>
    <row r="3" spans="1:7" ht="13.5" customHeight="1">
      <c r="A3" s="8"/>
      <c r="B3" s="8"/>
      <c r="C3" s="8"/>
      <c r="D3" s="8"/>
      <c r="E3" s="8"/>
      <c r="F3" s="8"/>
    </row>
    <row r="4" spans="1:7" ht="13.5" customHeight="1">
      <c r="A4" s="6" t="s">
        <v>247</v>
      </c>
    </row>
    <row r="5" spans="1:7" ht="17.25" customHeight="1">
      <c r="A5" s="172" t="s">
        <v>230</v>
      </c>
      <c r="B5" s="181"/>
      <c r="C5" s="181"/>
      <c r="D5" s="181"/>
      <c r="E5" s="181"/>
      <c r="F5" s="181"/>
      <c r="G5" s="181"/>
    </row>
    <row r="6" spans="1:7" ht="15" customHeight="1">
      <c r="A6" s="122" t="s">
        <v>231</v>
      </c>
      <c r="B6" s="122" t="s">
        <v>17</v>
      </c>
      <c r="C6" s="122" t="s">
        <v>27</v>
      </c>
      <c r="D6" s="182" t="s">
        <v>232</v>
      </c>
      <c r="E6" s="182"/>
      <c r="F6" s="182"/>
      <c r="G6" s="182"/>
    </row>
    <row r="7" spans="1:7">
      <c r="A7" s="153"/>
      <c r="B7" s="153"/>
      <c r="C7" s="153"/>
      <c r="D7" s="98">
        <v>4.5</v>
      </c>
      <c r="E7" s="99" t="s">
        <v>168</v>
      </c>
      <c r="F7" s="98">
        <v>1125</v>
      </c>
      <c r="G7" s="100" t="s">
        <v>168</v>
      </c>
    </row>
    <row r="8" spans="1:7" ht="15" customHeight="1">
      <c r="A8" s="153"/>
      <c r="B8" s="153"/>
      <c r="C8" s="153"/>
      <c r="D8" s="123" t="s">
        <v>233</v>
      </c>
      <c r="E8" s="165"/>
      <c r="F8" s="123" t="s">
        <v>233</v>
      </c>
      <c r="G8" s="123"/>
    </row>
    <row r="9" spans="1:7" ht="15" customHeight="1">
      <c r="A9" s="123"/>
      <c r="B9" s="123"/>
      <c r="C9" s="123"/>
      <c r="D9" s="24" t="s">
        <v>218</v>
      </c>
      <c r="E9" s="24" t="s">
        <v>28</v>
      </c>
      <c r="F9" s="24" t="s">
        <v>218</v>
      </c>
      <c r="G9" s="24" t="s">
        <v>28</v>
      </c>
    </row>
    <row r="10" spans="1:7" ht="15" customHeight="1">
      <c r="A10" s="150">
        <v>45891</v>
      </c>
      <c r="B10" s="122">
        <v>3</v>
      </c>
      <c r="C10" s="24">
        <v>1</v>
      </c>
      <c r="D10" s="101">
        <v>0.60741599999999996</v>
      </c>
      <c r="E10" s="101">
        <v>0.61135099999999998</v>
      </c>
      <c r="F10" s="101">
        <v>28.559017999999998</v>
      </c>
      <c r="G10" s="101">
        <v>27.917587000000001</v>
      </c>
    </row>
    <row r="11" spans="1:7" ht="15" customHeight="1">
      <c r="A11" s="151"/>
      <c r="B11" s="153"/>
      <c r="C11" s="24">
        <v>2</v>
      </c>
      <c r="D11" s="101">
        <v>0.60706199999999999</v>
      </c>
      <c r="E11" s="101">
        <v>0.61055599999999999</v>
      </c>
      <c r="F11" s="101">
        <v>27.416882000000001</v>
      </c>
      <c r="G11" s="101">
        <v>26.423513</v>
      </c>
    </row>
    <row r="12" spans="1:7" ht="15" customHeight="1">
      <c r="A12" s="151"/>
      <c r="B12" s="153"/>
      <c r="C12" s="24">
        <v>3</v>
      </c>
      <c r="D12" s="101">
        <v>0.60318099999999997</v>
      </c>
      <c r="E12" s="101">
        <v>0.58479800000000004</v>
      </c>
      <c r="F12" s="101">
        <v>27.846920999999998</v>
      </c>
      <c r="G12" s="101">
        <v>27.732690999999999</v>
      </c>
    </row>
    <row r="13" spans="1:7" ht="15" customHeight="1">
      <c r="A13" s="151"/>
      <c r="B13" s="153"/>
      <c r="C13" s="24">
        <v>4</v>
      </c>
      <c r="D13" s="101">
        <v>0.60230799999999995</v>
      </c>
      <c r="E13" s="101">
        <v>0.60953599999999997</v>
      </c>
      <c r="F13" s="101">
        <v>28.387084999999999</v>
      </c>
      <c r="G13" s="101">
        <v>27.453310999999999</v>
      </c>
    </row>
    <row r="14" spans="1:7" ht="15" customHeight="1">
      <c r="A14" s="151"/>
      <c r="B14" s="153"/>
      <c r="C14" s="24">
        <v>5</v>
      </c>
      <c r="D14" s="101">
        <v>0.60563199999999995</v>
      </c>
      <c r="E14" s="101">
        <v>0.57521900000000004</v>
      </c>
      <c r="F14" s="101">
        <v>27.296302000000001</v>
      </c>
      <c r="G14" s="101">
        <v>28.358782000000001</v>
      </c>
    </row>
    <row r="15" spans="1:7" ht="15" customHeight="1">
      <c r="A15" s="151"/>
      <c r="B15" s="153"/>
      <c r="C15" s="43">
        <v>6</v>
      </c>
      <c r="D15" s="101">
        <v>0.617062</v>
      </c>
      <c r="E15" s="101">
        <v>0.59097500000000003</v>
      </c>
      <c r="F15" s="101">
        <v>28.856331999999998</v>
      </c>
      <c r="G15" s="101">
        <v>28.093843</v>
      </c>
    </row>
    <row r="16" spans="1:7" ht="15" customHeight="1">
      <c r="A16" s="24" t="s">
        <v>21</v>
      </c>
      <c r="B16" s="173"/>
      <c r="C16" s="174"/>
      <c r="D16" s="101">
        <f>ROUND(AVERAGE(D10:D15),6)</f>
        <v>0.60711000000000004</v>
      </c>
      <c r="E16" s="101">
        <f>ROUND(AVERAGE(E10:E15),6)</f>
        <v>0.59707299999999996</v>
      </c>
      <c r="F16" s="101">
        <f>ROUND(AVERAGE(F10:F15),6)</f>
        <v>28.060423</v>
      </c>
      <c r="G16" s="101">
        <f>ROUND(AVERAGE(G10:G15),6)</f>
        <v>27.663288000000001</v>
      </c>
    </row>
    <row r="17" spans="1:7" ht="15" customHeight="1">
      <c r="A17" s="24" t="s">
        <v>2</v>
      </c>
      <c r="B17" s="175"/>
      <c r="C17" s="176"/>
      <c r="D17" s="101">
        <f>ROUND(STDEV(D10:D15),6)</f>
        <v>5.2880000000000002E-3</v>
      </c>
      <c r="E17" s="101">
        <f>ROUND(STDEV(E10:E15),6)</f>
        <v>1.5533E-2</v>
      </c>
      <c r="F17" s="101">
        <f>ROUND(STDEV(F10:F15),6)</f>
        <v>0.63755600000000001</v>
      </c>
      <c r="G17" s="101">
        <f>ROUND(STDEV(G10:G15),6)</f>
        <v>0.68113199999999996</v>
      </c>
    </row>
    <row r="18" spans="1:7" ht="15" customHeight="1">
      <c r="A18" s="24" t="s">
        <v>38</v>
      </c>
      <c r="B18" s="175"/>
      <c r="C18" s="176"/>
      <c r="D18" s="75">
        <f>ROUND(D17/D16*100,1)</f>
        <v>0.9</v>
      </c>
      <c r="E18" s="75">
        <f>ROUND(E17/E16*100,1)</f>
        <v>2.6</v>
      </c>
      <c r="F18" s="75">
        <f>ROUND(F17/F16*100,1)</f>
        <v>2.2999999999999998</v>
      </c>
      <c r="G18" s="75">
        <f>ROUND(G17/G16*100,1)</f>
        <v>2.5</v>
      </c>
    </row>
    <row r="19" spans="1:7" ht="15" customHeight="1">
      <c r="A19" s="24" t="s">
        <v>39</v>
      </c>
      <c r="B19" s="177"/>
      <c r="C19" s="178"/>
      <c r="D19" s="180">
        <f>ROUND((D16-E16)/E16*100,1)</f>
        <v>1.7</v>
      </c>
      <c r="E19" s="180"/>
      <c r="F19" s="180">
        <f>ROUND((F16-G16)/G16*100,1)</f>
        <v>1.4</v>
      </c>
      <c r="G19" s="180"/>
    </row>
    <row r="20" spans="1:7" ht="15" customHeight="1">
      <c r="A20" s="102"/>
      <c r="B20" s="102"/>
      <c r="C20" s="102"/>
      <c r="D20" s="12"/>
      <c r="E20" s="12"/>
      <c r="F20" s="12"/>
      <c r="G20" s="12"/>
    </row>
  </sheetData>
  <mergeCells count="13">
    <mergeCell ref="A2:F2"/>
    <mergeCell ref="A5:G5"/>
    <mergeCell ref="A6:A9"/>
    <mergeCell ref="B6:B9"/>
    <mergeCell ref="C6:C9"/>
    <mergeCell ref="D6:G6"/>
    <mergeCell ref="D8:E8"/>
    <mergeCell ref="F8:G8"/>
    <mergeCell ref="A10:A15"/>
    <mergeCell ref="B10:B15"/>
    <mergeCell ref="B16:C19"/>
    <mergeCell ref="D19:E19"/>
    <mergeCell ref="F19:G19"/>
  </mergeCells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3:E64"/>
  <sheetViews>
    <sheetView workbookViewId="0">
      <selection activeCell="F15" sqref="F15"/>
    </sheetView>
  </sheetViews>
  <sheetFormatPr defaultColWidth="9" defaultRowHeight="14"/>
  <cols>
    <col min="1" max="1" width="22.5" style="2" customWidth="1"/>
    <col min="2" max="16384" width="9" style="2"/>
  </cols>
  <sheetData>
    <row r="3" spans="1:5">
      <c r="A3" s="2" t="s">
        <v>43</v>
      </c>
      <c r="B3" s="2" t="s">
        <v>51</v>
      </c>
      <c r="C3" s="3" t="s">
        <v>52</v>
      </c>
      <c r="D3" s="3" t="s">
        <v>53</v>
      </c>
      <c r="E3" s="3"/>
    </row>
    <row r="63" spans="2:2">
      <c r="B63" s="6"/>
    </row>
    <row r="64" spans="2:2">
      <c r="B64" s="6"/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63:B64"/>
  <sheetViews>
    <sheetView workbookViewId="0">
      <selection activeCell="O31" sqref="O31"/>
    </sheetView>
  </sheetViews>
  <sheetFormatPr defaultColWidth="9" defaultRowHeight="14"/>
  <cols>
    <col min="1" max="16384" width="9" style="2"/>
  </cols>
  <sheetData>
    <row r="63" spans="2:2">
      <c r="B63" s="6"/>
    </row>
    <row r="64" spans="2:2">
      <c r="B64" s="6"/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63:B64"/>
  <sheetViews>
    <sheetView workbookViewId="0">
      <selection activeCell="A22" sqref="A1:XFD1048576"/>
    </sheetView>
  </sheetViews>
  <sheetFormatPr defaultColWidth="9" defaultRowHeight="14"/>
  <cols>
    <col min="1" max="16384" width="9" style="2"/>
  </cols>
  <sheetData>
    <row r="63" spans="2:2">
      <c r="B63" s="6"/>
    </row>
    <row r="64" spans="2:2">
      <c r="B64" s="6"/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63:B64"/>
  <sheetViews>
    <sheetView workbookViewId="0">
      <selection activeCell="A22" sqref="A1:XFD1048576"/>
    </sheetView>
  </sheetViews>
  <sheetFormatPr defaultColWidth="9" defaultRowHeight="14"/>
  <cols>
    <col min="1" max="16384" width="9" style="2"/>
  </cols>
  <sheetData>
    <row r="63" spans="2:2">
      <c r="B63" s="6"/>
    </row>
    <row r="64" spans="2:2">
      <c r="B64" s="6"/>
    </row>
  </sheetData>
  <phoneticPr fontId="19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6</vt:i4>
      </vt:variant>
    </vt:vector>
  </HeadingPairs>
  <TitlesOfParts>
    <vt:vector size="27" baseType="lpstr">
      <vt:lpstr>1.1</vt:lpstr>
      <vt:lpstr>2.1标准品</vt:lpstr>
      <vt:lpstr>2.2内标</vt:lpstr>
      <vt:lpstr>2.5试剂</vt:lpstr>
      <vt:lpstr>2.6 空白基质</vt:lpstr>
      <vt:lpstr>2.9标准曲线质控样品配制</vt:lpstr>
      <vt:lpstr>表1_schedule</vt:lpstr>
      <vt:lpstr>表2_SST</vt:lpstr>
      <vt:lpstr>表3_CO</vt:lpstr>
      <vt:lpstr>表7_Regression</vt:lpstr>
      <vt:lpstr>表8_curve</vt:lpstr>
      <vt:lpstr>表10 QC (除准确度精密度分析批）</vt:lpstr>
      <vt:lpstr>表18_ST</vt:lpstr>
      <vt:lpstr>表19_FT</vt:lpstr>
      <vt:lpstr>表20_PSS</vt:lpstr>
      <vt:lpstr>表21_LTS</vt:lpstr>
      <vt:lpstr>表22_Blood</vt:lpstr>
      <vt:lpstr>分析天平</vt:lpstr>
      <vt:lpstr>（选择性图谱）空白基质图谱</vt:lpstr>
      <vt:lpstr>（选择性图谱）最低定量限图谱</vt:lpstr>
      <vt:lpstr>标准曲线</vt:lpstr>
      <vt:lpstr>表1_schedule!Print_Area</vt:lpstr>
      <vt:lpstr>表18_ST!Print_Area</vt:lpstr>
      <vt:lpstr>表2_SST!Print_Area</vt:lpstr>
      <vt:lpstr>表20_PSS!Print_Area</vt:lpstr>
      <vt:lpstr>表22_Blood!Print_Area</vt:lpstr>
      <vt:lpstr>表7_Regression!Print_Area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张涵</cp:lastModifiedBy>
  <cp:lastPrinted>2019-09-17T03:14:27Z</cp:lastPrinted>
  <dcterms:created xsi:type="dcterms:W3CDTF">2016-03-17T02:40:20Z</dcterms:created>
  <dcterms:modified xsi:type="dcterms:W3CDTF">2025-12-10T10:18:54Z</dcterms:modified>
</cp:coreProperties>
</file>