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cf4e88e1b0f49a9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yang\Desktop\"/>
    </mc:Choice>
  </mc:AlternateContent>
  <xr:revisionPtr revIDLastSave="0" documentId="13_ncr:1_{E834277E-096D-43C6-9446-F28F69905738}" xr6:coauthVersionLast="47" xr6:coauthVersionMax="47" xr10:uidLastSave="{00000000-0000-0000-0000-000000000000}"/>
  <bookViews>
    <workbookView xWindow="-110" yWindow="-110" windowWidth="19420" windowHeight="10420" tabRatio="852" activeTab="23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4_Selectivity" sheetId="52" r:id="rId10"/>
    <sheet name="表5_特异性" sheetId="53" r:id="rId11"/>
    <sheet name="表6_ME" sheetId="47" r:id="rId12"/>
    <sheet name="表7_Regression" sheetId="13" r:id="rId13"/>
    <sheet name="表8_curve" sheetId="14" r:id="rId14"/>
    <sheet name="表9_Inter QC" sheetId="54" r:id="rId15"/>
    <sheet name="表10 QC (除准确度精密度分析批）" sheetId="42" r:id="rId16"/>
    <sheet name="表11_Recovery" sheetId="55" r:id="rId17"/>
    <sheet name="表12_IS Recov" sheetId="56" r:id="rId18"/>
    <sheet name="表13_Dilution" sheetId="57" r:id="rId19"/>
    <sheet name="表15_spike RT" sheetId="20" r:id="rId20"/>
    <sheet name="表17_spike LT" sheetId="22" r:id="rId21"/>
    <sheet name="表18_ST" sheetId="58" r:id="rId22"/>
    <sheet name="表19_FT" sheetId="59" r:id="rId23"/>
    <sheet name="表20_PSS" sheetId="60" r:id="rId24"/>
    <sheet name="表21_LTS" sheetId="39" r:id="rId25"/>
    <sheet name="表22_Blood" sheetId="61" r:id="rId26"/>
    <sheet name="表23_溶血效应" sheetId="62" r:id="rId27"/>
    <sheet name="分析天平" sheetId="46" r:id="rId28"/>
  </sheets>
  <definedNames>
    <definedName name="_xlnm.Print_Area" localSheetId="6">表1_schedule!$A$1:$F$26</definedName>
    <definedName name="_xlnm.Print_Area" localSheetId="16">表11_Recovery!$A$1:$J$18</definedName>
    <definedName name="_xlnm.Print_Area" localSheetId="17">'表12_IS Recov'!$A$1:$D$31</definedName>
    <definedName name="_xlnm.Print_Area" localSheetId="22">表19_FT!$A$1:$G$20</definedName>
    <definedName name="_xlnm.Print_Area" localSheetId="7">表2_SST!$A$1:$D$16</definedName>
    <definedName name="_xlnm.Print_Area" localSheetId="24">表21_LTS!$A$1:$K$56</definedName>
    <definedName name="_xlnm.Print_Area" localSheetId="8">表3_CO!$A$1:$I$21</definedName>
    <definedName name="_xlnm.Print_Area" localSheetId="9">表4_Selectivity!$A$1:$H$34</definedName>
    <definedName name="_xlnm.Print_Area" localSheetId="11">表6_ME!$A$1:$E$87</definedName>
    <definedName name="_xlnm.Print_Area" localSheetId="12">表7_Regression!$A$1:$G$25</definedName>
    <definedName name="_xlnm.Print_Area" localSheetId="14">'表9_Inter QC'!$A$1:$P$111</definedName>
  </definedNames>
  <calcPr calcId="181029"/>
</workbook>
</file>

<file path=xl/calcChain.xml><?xml version="1.0" encoding="utf-8"?>
<calcChain xmlns="http://schemas.openxmlformats.org/spreadsheetml/2006/main">
  <c r="D8" i="62" l="1"/>
  <c r="F8" i="62"/>
  <c r="D9" i="62"/>
  <c r="F9" i="62"/>
  <c r="D10" i="62"/>
  <c r="F10" i="62"/>
  <c r="C11" i="62"/>
  <c r="C14" i="62" s="1"/>
  <c r="E11" i="62"/>
  <c r="E14" i="62" s="1"/>
  <c r="C12" i="62"/>
  <c r="C13" i="62" s="1"/>
  <c r="E12" i="62"/>
  <c r="E13" i="62" s="1"/>
  <c r="D16" i="61"/>
  <c r="E16" i="61"/>
  <c r="F16" i="61"/>
  <c r="G16" i="61"/>
  <c r="D17" i="61"/>
  <c r="E17" i="61"/>
  <c r="E18" i="61" s="1"/>
  <c r="F17" i="61"/>
  <c r="G17" i="61"/>
  <c r="D18" i="61"/>
  <c r="F18" i="61"/>
  <c r="G18" i="61"/>
  <c r="D19" i="61"/>
  <c r="F19" i="61"/>
  <c r="I7" i="60"/>
  <c r="D9" i="60"/>
  <c r="F9" i="60"/>
  <c r="D10" i="60"/>
  <c r="F10" i="60"/>
  <c r="D11" i="60"/>
  <c r="F11" i="60"/>
  <c r="D12" i="60"/>
  <c r="F12" i="60"/>
  <c r="D13" i="60"/>
  <c r="F13" i="60"/>
  <c r="D14" i="60"/>
  <c r="F14" i="60"/>
  <c r="C15" i="60"/>
  <c r="C18" i="60" s="1"/>
  <c r="E15" i="60"/>
  <c r="E18" i="60" s="1"/>
  <c r="C16" i="60"/>
  <c r="C17" i="60" s="1"/>
  <c r="E16" i="60"/>
  <c r="E17" i="60" s="1"/>
  <c r="E9" i="59"/>
  <c r="G9" i="59"/>
  <c r="E10" i="59"/>
  <c r="G10" i="59"/>
  <c r="E11" i="59"/>
  <c r="G11" i="59"/>
  <c r="E12" i="59"/>
  <c r="G12" i="59"/>
  <c r="E13" i="59"/>
  <c r="G13" i="59"/>
  <c r="E14" i="59"/>
  <c r="G14" i="59"/>
  <c r="D15" i="59"/>
  <c r="D18" i="59" s="1"/>
  <c r="F15" i="59"/>
  <c r="F18" i="59" s="1"/>
  <c r="D16" i="59"/>
  <c r="D17" i="59" s="1"/>
  <c r="F16" i="59"/>
  <c r="F17" i="59" s="1"/>
  <c r="I6" i="58"/>
  <c r="D9" i="58"/>
  <c r="F9" i="58"/>
  <c r="D10" i="58"/>
  <c r="F10" i="58"/>
  <c r="D11" i="58"/>
  <c r="F11" i="58"/>
  <c r="D12" i="58"/>
  <c r="F12" i="58"/>
  <c r="D13" i="58"/>
  <c r="F13" i="58"/>
  <c r="D14" i="58"/>
  <c r="F14" i="58"/>
  <c r="C15" i="58"/>
  <c r="C18" i="58" s="1"/>
  <c r="E15" i="58"/>
  <c r="E18" i="58" s="1"/>
  <c r="C16" i="58"/>
  <c r="C17" i="58" s="1"/>
  <c r="E16" i="58"/>
  <c r="E17" i="58" s="1"/>
  <c r="I24" i="58"/>
  <c r="D27" i="58"/>
  <c r="F27" i="58"/>
  <c r="D28" i="58"/>
  <c r="F28" i="58"/>
  <c r="D29" i="58"/>
  <c r="F29" i="58"/>
  <c r="D30" i="58"/>
  <c r="F30" i="58"/>
  <c r="D31" i="58"/>
  <c r="F31" i="58"/>
  <c r="D32" i="58"/>
  <c r="F32" i="58"/>
  <c r="C33" i="58"/>
  <c r="E33" i="58"/>
  <c r="E36" i="58" s="1"/>
  <c r="C34" i="58"/>
  <c r="C35" i="58" s="1"/>
  <c r="E34" i="58"/>
  <c r="E35" i="58"/>
  <c r="C36" i="58"/>
  <c r="D8" i="57"/>
  <c r="D9" i="57"/>
  <c r="D10" i="57"/>
  <c r="D11" i="57"/>
  <c r="D12" i="57"/>
  <c r="D13" i="57"/>
  <c r="C14" i="57"/>
  <c r="C17" i="57" s="1"/>
  <c r="C15" i="57"/>
  <c r="C16" i="57" s="1"/>
  <c r="D7" i="56"/>
  <c r="B13" i="56"/>
  <c r="C13" i="56"/>
  <c r="D8" i="56" s="1"/>
  <c r="B14" i="56"/>
  <c r="C14" i="56"/>
  <c r="C15" i="56" s="1"/>
  <c r="B15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49" i="56"/>
  <c r="D50" i="56"/>
  <c r="D51" i="56"/>
  <c r="D52" i="56"/>
  <c r="D53" i="56"/>
  <c r="D54" i="56"/>
  <c r="D55" i="56"/>
  <c r="D56" i="56"/>
  <c r="D57" i="56"/>
  <c r="D58" i="56"/>
  <c r="D59" i="56"/>
  <c r="D60" i="56"/>
  <c r="G9" i="55"/>
  <c r="J9" i="55"/>
  <c r="J10" i="55"/>
  <c r="G11" i="55"/>
  <c r="G12" i="55"/>
  <c r="B13" i="55"/>
  <c r="C13" i="55"/>
  <c r="D10" i="55" s="1"/>
  <c r="E13" i="55"/>
  <c r="F13" i="55"/>
  <c r="G7" i="55" s="1"/>
  <c r="H13" i="55"/>
  <c r="I13" i="55"/>
  <c r="J12" i="55" s="1"/>
  <c r="P81" i="54"/>
  <c r="O81" i="54"/>
  <c r="P80" i="54"/>
  <c r="O80" i="54"/>
  <c r="P77" i="54"/>
  <c r="O77" i="54"/>
  <c r="P76" i="54"/>
  <c r="O76" i="54"/>
  <c r="P72" i="54"/>
  <c r="O72" i="54"/>
  <c r="P71" i="54"/>
  <c r="O71" i="54"/>
  <c r="P68" i="54"/>
  <c r="O68" i="54"/>
  <c r="P67" i="54"/>
  <c r="O67" i="54"/>
  <c r="E44" i="54"/>
  <c r="P25" i="54" s="1"/>
  <c r="E42" i="54"/>
  <c r="E43" i="54" s="1"/>
  <c r="E41" i="54"/>
  <c r="E37" i="54"/>
  <c r="E38" i="54" s="1"/>
  <c r="E36" i="54"/>
  <c r="E39" i="54" s="1"/>
  <c r="P35" i="54"/>
  <c r="O35" i="54"/>
  <c r="P34" i="54"/>
  <c r="O34" i="54"/>
  <c r="P31" i="54"/>
  <c r="O31" i="54"/>
  <c r="P30" i="54"/>
  <c r="O30" i="54"/>
  <c r="F31" i="53"/>
  <c r="F23" i="53"/>
  <c r="F15" i="53"/>
  <c r="F7" i="53"/>
  <c r="H32" i="52"/>
  <c r="E32" i="52"/>
  <c r="H31" i="52"/>
  <c r="E31" i="52"/>
  <c r="H30" i="52"/>
  <c r="E30" i="52"/>
  <c r="H29" i="52"/>
  <c r="E29" i="52"/>
  <c r="H28" i="52"/>
  <c r="E28" i="52"/>
  <c r="H27" i="52"/>
  <c r="E27" i="52"/>
  <c r="H19" i="52"/>
  <c r="E19" i="52"/>
  <c r="H13" i="52"/>
  <c r="E13" i="52"/>
  <c r="H12" i="52"/>
  <c r="E12" i="52"/>
  <c r="H11" i="52"/>
  <c r="E11" i="52"/>
  <c r="H10" i="52"/>
  <c r="E10" i="52"/>
  <c r="H9" i="52"/>
  <c r="E9" i="52"/>
  <c r="H8" i="52"/>
  <c r="E8" i="52"/>
  <c r="D12" i="56" l="1"/>
  <c r="D10" i="56"/>
  <c r="D9" i="56"/>
  <c r="D14" i="56" s="1"/>
  <c r="D11" i="56"/>
  <c r="D7" i="55"/>
  <c r="D12" i="55"/>
  <c r="J11" i="55"/>
  <c r="D9" i="55"/>
  <c r="J8" i="55"/>
  <c r="D11" i="55"/>
  <c r="G8" i="55"/>
  <c r="G14" i="55" s="1"/>
  <c r="G15" i="55" s="1"/>
  <c r="G10" i="55"/>
  <c r="G13" i="55" s="1"/>
  <c r="J7" i="55"/>
  <c r="D8" i="55"/>
  <c r="O21" i="54"/>
  <c r="P21" i="54"/>
  <c r="P22" i="54"/>
  <c r="O22" i="54"/>
  <c r="P26" i="54"/>
  <c r="O26" i="54"/>
  <c r="O25" i="54"/>
  <c r="D13" i="56" l="1"/>
  <c r="D15" i="56" s="1"/>
  <c r="J13" i="55"/>
  <c r="J14" i="55"/>
  <c r="J15" i="55" s="1"/>
  <c r="D14" i="55"/>
  <c r="D13" i="55"/>
  <c r="B16" i="55" s="1"/>
  <c r="B17" i="55" s="1"/>
  <c r="D15" i="55" l="1"/>
  <c r="D83" i="47" l="1"/>
  <c r="B83" i="47"/>
  <c r="D82" i="47"/>
  <c r="D85" i="47" s="1"/>
  <c r="B82" i="47"/>
  <c r="B86" i="47" s="1"/>
  <c r="E81" i="47"/>
  <c r="C81" i="47"/>
  <c r="E80" i="47"/>
  <c r="C80" i="47"/>
  <c r="E79" i="47"/>
  <c r="C79" i="47"/>
  <c r="D74" i="47"/>
  <c r="B74" i="47"/>
  <c r="D73" i="47"/>
  <c r="D77" i="47" s="1"/>
  <c r="B73" i="47"/>
  <c r="B77" i="47" s="1"/>
  <c r="E72" i="47"/>
  <c r="C72" i="47"/>
  <c r="E71" i="47"/>
  <c r="C71" i="47"/>
  <c r="E70" i="47"/>
  <c r="C70" i="47"/>
  <c r="D48" i="47"/>
  <c r="B48" i="47"/>
  <c r="D47" i="47"/>
  <c r="D51" i="47" s="1"/>
  <c r="B47" i="47"/>
  <c r="B51" i="47" s="1"/>
  <c r="E46" i="47"/>
  <c r="C46" i="47"/>
  <c r="E45" i="47"/>
  <c r="C45" i="47"/>
  <c r="E44" i="47"/>
  <c r="C44" i="47"/>
  <c r="D30" i="47"/>
  <c r="B30" i="47"/>
  <c r="D29" i="47"/>
  <c r="D33" i="47" s="1"/>
  <c r="B29" i="47"/>
  <c r="B33" i="47" s="1"/>
  <c r="E28" i="47"/>
  <c r="C28" i="47"/>
  <c r="E27" i="47"/>
  <c r="C27" i="47"/>
  <c r="E26" i="47"/>
  <c r="C26" i="47"/>
  <c r="D21" i="47"/>
  <c r="B21" i="47"/>
  <c r="D20" i="47"/>
  <c r="D23" i="47" s="1"/>
  <c r="B20" i="47"/>
  <c r="B23" i="47" s="1"/>
  <c r="E19" i="47"/>
  <c r="C19" i="47"/>
  <c r="E18" i="47"/>
  <c r="C18" i="47"/>
  <c r="E17" i="47"/>
  <c r="C17" i="47"/>
  <c r="D12" i="47"/>
  <c r="B12" i="47"/>
  <c r="D11" i="47"/>
  <c r="D14" i="47" s="1"/>
  <c r="B11" i="47"/>
  <c r="B14" i="47" s="1"/>
  <c r="E10" i="47"/>
  <c r="C10" i="47"/>
  <c r="E9" i="47"/>
  <c r="C9" i="47"/>
  <c r="E8" i="47"/>
  <c r="C8" i="47"/>
  <c r="B84" i="47" l="1"/>
  <c r="B76" i="47"/>
  <c r="B75" i="47"/>
  <c r="D75" i="47"/>
  <c r="B85" i="47"/>
  <c r="D84" i="47"/>
  <c r="D86" i="47"/>
  <c r="D76" i="47"/>
  <c r="B49" i="47"/>
  <c r="B50" i="47"/>
  <c r="B31" i="47"/>
  <c r="D50" i="47"/>
  <c r="D31" i="47"/>
  <c r="B32" i="47"/>
  <c r="D49" i="47"/>
  <c r="D32" i="47"/>
  <c r="B13" i="47"/>
  <c r="B15" i="47"/>
  <c r="B22" i="47"/>
  <c r="B24" i="47"/>
  <c r="D13" i="47"/>
  <c r="D15" i="47"/>
  <c r="D22" i="47"/>
  <c r="D24" i="47"/>
  <c r="E15" i="39" l="1"/>
  <c r="K44" i="39"/>
  <c r="F51" i="39"/>
  <c r="F50" i="39"/>
  <c r="F49" i="39"/>
  <c r="F48" i="39"/>
  <c r="F47" i="39"/>
  <c r="F46" i="39"/>
  <c r="C52" i="39"/>
  <c r="C55" i="39" s="1"/>
  <c r="D51" i="39"/>
  <c r="D50" i="39"/>
  <c r="D49" i="39"/>
  <c r="D48" i="39"/>
  <c r="D47" i="39"/>
  <c r="D46" i="39"/>
  <c r="E53" i="39"/>
  <c r="C53" i="39"/>
  <c r="E52" i="39"/>
  <c r="E55" i="39" s="1"/>
  <c r="D9" i="39"/>
  <c r="E54" i="39" l="1"/>
  <c r="C54" i="39"/>
  <c r="G10" i="10" l="1"/>
  <c r="I11" i="10" s="1"/>
  <c r="F10" i="10"/>
  <c r="H11" i="10" s="1"/>
  <c r="G8" i="10"/>
  <c r="I8" i="10" s="1"/>
  <c r="F8" i="10"/>
  <c r="H8" i="10" s="1"/>
  <c r="G16" i="10"/>
  <c r="I17" i="10" s="1"/>
  <c r="F16" i="10"/>
  <c r="H17" i="10" s="1"/>
  <c r="G14" i="10"/>
  <c r="I14" i="10" s="1"/>
  <c r="F14" i="10"/>
  <c r="H14" i="10" s="1"/>
  <c r="G12" i="10"/>
  <c r="I13" i="10" s="1"/>
  <c r="F12" i="10"/>
  <c r="H13" i="10" s="1"/>
  <c r="I16" i="10" l="1"/>
  <c r="H9" i="10"/>
  <c r="I9" i="10"/>
  <c r="H16" i="10"/>
  <c r="H10" i="10"/>
  <c r="I10" i="10"/>
  <c r="H15" i="10"/>
  <c r="H12" i="10"/>
  <c r="I12" i="10"/>
  <c r="I15" i="10"/>
  <c r="G18" i="10" l="1"/>
  <c r="G6" i="10"/>
  <c r="F6" i="10"/>
  <c r="I7" i="10" l="1"/>
  <c r="I6" i="10"/>
  <c r="I18" i="10"/>
  <c r="I19" i="10"/>
  <c r="D57" i="47" l="1"/>
  <c r="B57" i="47"/>
  <c r="D56" i="47"/>
  <c r="D60" i="47" s="1"/>
  <c r="B56" i="47"/>
  <c r="B60" i="47" s="1"/>
  <c r="E55" i="47"/>
  <c r="C55" i="47"/>
  <c r="E54" i="47"/>
  <c r="C54" i="47"/>
  <c r="E53" i="47"/>
  <c r="C53" i="47"/>
  <c r="D39" i="47"/>
  <c r="B39" i="47"/>
  <c r="D38" i="47"/>
  <c r="D42" i="47" s="1"/>
  <c r="B38" i="47"/>
  <c r="B42" i="47" s="1"/>
  <c r="E37" i="47"/>
  <c r="C37" i="47"/>
  <c r="E36" i="47"/>
  <c r="C36" i="47"/>
  <c r="E35" i="47"/>
  <c r="C35" i="47"/>
  <c r="D58" i="47" l="1"/>
  <c r="B40" i="47"/>
  <c r="B58" i="47"/>
  <c r="D40" i="47"/>
  <c r="B41" i="47"/>
  <c r="B59" i="47"/>
  <c r="D41" i="47"/>
  <c r="D59" i="47"/>
  <c r="F18" i="10" l="1"/>
  <c r="G19" i="20"/>
  <c r="F19" i="20"/>
  <c r="E19" i="20"/>
  <c r="D19" i="20"/>
  <c r="C19" i="20"/>
  <c r="B19" i="20"/>
  <c r="G18" i="20"/>
  <c r="F18" i="20"/>
  <c r="E18" i="20"/>
  <c r="D18" i="20"/>
  <c r="C18" i="20"/>
  <c r="B18" i="20"/>
  <c r="J6" i="20"/>
  <c r="G19" i="22"/>
  <c r="F19" i="22"/>
  <c r="E19" i="22"/>
  <c r="D19" i="22"/>
  <c r="C19" i="22"/>
  <c r="B19" i="22"/>
  <c r="G18" i="22"/>
  <c r="F18" i="22"/>
  <c r="E18" i="22"/>
  <c r="D18" i="22"/>
  <c r="C18" i="22"/>
  <c r="B18" i="22"/>
  <c r="E16" i="39"/>
  <c r="E17" i="39" s="1"/>
  <c r="C16" i="39"/>
  <c r="E18" i="39"/>
  <c r="C15" i="39"/>
  <c r="C18" i="39" s="1"/>
  <c r="F14" i="39"/>
  <c r="D14" i="39"/>
  <c r="F13" i="39"/>
  <c r="D13" i="39"/>
  <c r="F12" i="39"/>
  <c r="D12" i="39"/>
  <c r="F11" i="39"/>
  <c r="D11" i="39"/>
  <c r="F10" i="39"/>
  <c r="D10" i="39"/>
  <c r="F9" i="39"/>
  <c r="E34" i="39"/>
  <c r="C34" i="39"/>
  <c r="E33" i="39"/>
  <c r="C33" i="39"/>
  <c r="C17" i="39" l="1"/>
  <c r="H6" i="10"/>
  <c r="H7" i="10"/>
  <c r="H19" i="10"/>
  <c r="H18" i="10"/>
  <c r="E24" i="20" l="1"/>
  <c r="E25" i="20"/>
  <c r="E26" i="20"/>
  <c r="E27" i="20"/>
  <c r="E28" i="20"/>
  <c r="E29" i="20"/>
  <c r="E35" i="20" l="1"/>
  <c r="E34" i="20"/>
  <c r="E33" i="20"/>
  <c r="E32" i="20"/>
  <c r="E31" i="20"/>
  <c r="E30" i="20"/>
  <c r="E35" i="22" l="1"/>
  <c r="E34" i="22"/>
  <c r="E33" i="22"/>
  <c r="E32" i="22"/>
  <c r="E31" i="22"/>
  <c r="E30" i="22"/>
  <c r="E29" i="22"/>
  <c r="E28" i="22"/>
  <c r="E27" i="22"/>
  <c r="E26" i="22"/>
  <c r="E25" i="22"/>
  <c r="E24" i="22"/>
  <c r="F32" i="39" l="1"/>
  <c r="F27" i="39"/>
  <c r="D27" i="39"/>
  <c r="K25" i="39"/>
  <c r="F31" i="39"/>
  <c r="F30" i="39"/>
  <c r="F29" i="39"/>
  <c r="F28" i="39"/>
  <c r="D32" i="39"/>
  <c r="D31" i="39"/>
  <c r="D30" i="39"/>
  <c r="D29" i="39"/>
  <c r="D28" i="39"/>
  <c r="B21" i="22" l="1"/>
  <c r="L6" i="22"/>
  <c r="D21" i="22" l="1"/>
  <c r="B21" i="20"/>
  <c r="K7" i="39"/>
  <c r="E36" i="39" l="1"/>
  <c r="C36" i="39"/>
  <c r="C35" i="39" l="1"/>
  <c r="E35" i="39"/>
  <c r="F20" i="20" l="1"/>
  <c r="F21" i="22"/>
  <c r="F21" i="20"/>
  <c r="F20" i="22"/>
  <c r="G20" i="22"/>
  <c r="G20" i="20"/>
  <c r="D20" i="22" l="1"/>
  <c r="E20" i="22"/>
  <c r="D21" i="20"/>
  <c r="B20" i="22" l="1"/>
  <c r="C20" i="22"/>
  <c r="B20" i="20"/>
  <c r="C20" i="20"/>
  <c r="D20" i="20"/>
  <c r="E20" i="20"/>
</calcChain>
</file>

<file path=xl/sharedStrings.xml><?xml version="1.0" encoding="utf-8"?>
<sst xmlns="http://schemas.openxmlformats.org/spreadsheetml/2006/main" count="1092" uniqueCount="543">
  <si>
    <t>LLOQ</t>
  </si>
  <si>
    <t>HQC</t>
  </si>
  <si>
    <t>LQC</t>
  </si>
  <si>
    <t>SD</t>
  </si>
  <si>
    <t>ULOQ</t>
  </si>
  <si>
    <t>n</t>
  </si>
  <si>
    <t>STD1</t>
  </si>
  <si>
    <t>y = ax + b</t>
  </si>
  <si>
    <t>STD2</t>
  </si>
  <si>
    <t>STD3</t>
  </si>
  <si>
    <t>STD4</t>
  </si>
  <si>
    <t>STD5</t>
  </si>
  <si>
    <t>STD6</t>
  </si>
  <si>
    <t>STD7</t>
  </si>
  <si>
    <t>ng/mL</t>
  </si>
  <si>
    <t>STD8</t>
  </si>
  <si>
    <t xml:space="preserve"> LQC</t>
  </si>
  <si>
    <t xml:space="preserve">AB Sciex </t>
  </si>
  <si>
    <t>Waters</t>
  </si>
  <si>
    <t>ACQUITY UPLC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</si>
  <si>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</si>
  <si>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</si>
  <si>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内标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</si>
  <si>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</si>
  <si>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</si>
  <si>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</si>
  <si>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</si>
  <si>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</si>
  <si>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t>ng/mL</t>
    <phoneticPr fontId="4" type="noConversion"/>
  </si>
  <si>
    <r>
      <rPr>
        <sz val="10.5"/>
        <rFont val="宋体"/>
        <family val="3"/>
        <charset val="134"/>
      </rPr>
      <t>检测峰面积比</t>
    </r>
  </si>
  <si>
    <r>
      <rPr>
        <sz val="10.5"/>
        <rFont val="宋体"/>
        <family val="3"/>
        <charset val="134"/>
      </rPr>
      <t>稳定性考察样品</t>
    </r>
  </si>
  <si>
    <r>
      <t xml:space="preserve">2.1 </t>
    </r>
    <r>
      <rPr>
        <sz val="10.5"/>
        <rFont val="宋体"/>
        <family val="3"/>
        <charset val="134"/>
      </rPr>
      <t>标准品</t>
    </r>
    <phoneticPr fontId="4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</si>
  <si>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4" type="noConversion"/>
  </si>
  <si>
    <r>
      <rPr>
        <sz val="10.5"/>
        <rFont val="宋体"/>
        <family val="3"/>
        <charset val="134"/>
      </rPr>
      <t>参比样品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</si>
  <si>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</si>
  <si>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t>表3 ：批量样品检测过程的残留</t>
  </si>
  <si>
    <t>表21：生物基质中待测物的长期稳定性</t>
  </si>
  <si>
    <t>表17 ：工作液长期稳定性（ULOQ, LLOQ和内标工作液稳定性）</t>
  </si>
  <si>
    <t>表15：工作液短期稳定性（ULOQ,LLOQ和内标工作液稳定性）</t>
  </si>
  <si>
    <t>表10：质控样品浓度数据汇总（除准确度精密度分析批外）</t>
  </si>
  <si>
    <t>表8：标准曲线的回算浓度</t>
  </si>
  <si>
    <t>表7：标准曲线参数汇总</t>
  </si>
  <si>
    <t>拟合方程：峰面积比= 斜率 ×浓度 + 截距， 权重：1/（浓度×浓度）</t>
  </si>
  <si>
    <t>表2 ：系统适用性</t>
  </si>
  <si>
    <t>表1：批量样品检测情况列表</t>
  </si>
  <si>
    <t>CV (%)</t>
  </si>
  <si>
    <t>准确度 (%)</t>
  </si>
  <si>
    <t>准确度偏差 (%)</t>
  </si>
  <si>
    <t>差异 (%)</t>
  </si>
  <si>
    <t>CV（%)</t>
  </si>
  <si>
    <t>CV（%）</t>
  </si>
  <si>
    <t>准确度（%）</t>
  </si>
  <si>
    <t>理论浓度（单位）</t>
  </si>
  <si>
    <t>准确度偏差（%）</t>
  </si>
  <si>
    <t>待测物残留率（%）</t>
  </si>
  <si>
    <t>内标残留率（%）</t>
  </si>
  <si>
    <r>
      <rPr>
        <sz val="11"/>
        <color theme="1"/>
        <rFont val="DengXian"/>
        <family val="2"/>
      </rPr>
      <t>分析天平编号：</t>
    </r>
  </si>
  <si>
    <r>
      <rPr>
        <sz val="11"/>
        <color theme="1"/>
        <rFont val="DengXian"/>
        <family val="2"/>
      </rPr>
      <t>分析天平精密度：</t>
    </r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</si>
  <si>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</si>
  <si>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长期稳定性样品配置日期：</t>
    </r>
  </si>
  <si>
    <r>
      <rPr>
        <sz val="10.5"/>
        <rFont val="宋体"/>
        <family val="3"/>
        <charset val="134"/>
      </rPr>
      <t>长期稳定性样品处理日期：</t>
    </r>
  </si>
  <si>
    <r>
      <rPr>
        <sz val="10.5"/>
        <rFont val="宋体"/>
        <family val="3"/>
        <charset val="134"/>
      </rPr>
      <t>长期稳定性样品放置时间（天）：</t>
    </r>
  </si>
  <si>
    <r>
      <rPr>
        <sz val="10.5"/>
        <rFont val="宋体"/>
        <family val="3"/>
        <charset val="134"/>
      </rPr>
      <t>工作液开始放置时间：</t>
    </r>
  </si>
  <si>
    <r>
      <rPr>
        <sz val="10.5"/>
        <rFont val="宋体"/>
        <family val="3"/>
        <charset val="134"/>
      </rPr>
      <t>工作液放置结束时间：</t>
    </r>
  </si>
  <si>
    <r>
      <rPr>
        <sz val="10.5"/>
        <rFont val="宋体"/>
        <family val="3"/>
        <charset val="134"/>
      </rPr>
      <t>备注：</t>
    </r>
  </si>
  <si>
    <r>
      <rPr>
        <sz val="10.5"/>
        <rFont val="宋体"/>
        <family val="3"/>
        <charset val="134"/>
      </rPr>
      <t>化合物名称</t>
    </r>
    <r>
      <rPr>
        <sz val="10.5"/>
        <rFont val="Times New Roman"/>
        <family val="1"/>
      </rPr>
      <t> </t>
    </r>
  </si>
  <si>
    <r>
      <rPr>
        <sz val="10.5"/>
        <rFont val="宋体"/>
        <family val="3"/>
        <charset val="134"/>
      </rPr>
      <t>化合物代码</t>
    </r>
  </si>
  <si>
    <r>
      <rPr>
        <sz val="10.5"/>
        <rFont val="宋体"/>
        <family val="3"/>
        <charset val="134"/>
      </rPr>
      <t>标准品登记号</t>
    </r>
  </si>
  <si>
    <r>
      <rPr>
        <sz val="10.5"/>
        <rFont val="宋体"/>
        <family val="3"/>
        <charset val="134"/>
      </rPr>
      <t>批号</t>
    </r>
  </si>
  <si>
    <r>
      <rPr>
        <sz val="10.5"/>
        <rFont val="宋体"/>
        <family val="3"/>
        <charset val="134"/>
      </rPr>
      <t>含量</t>
    </r>
  </si>
  <si>
    <r>
      <rPr>
        <sz val="10.5"/>
        <color theme="1"/>
        <rFont val="宋体"/>
        <family val="3"/>
        <charset val="134"/>
      </rPr>
      <t>保存条件</t>
    </r>
    <phoneticPr fontId="4" type="noConversion"/>
  </si>
  <si>
    <r>
      <rPr>
        <sz val="10.5"/>
        <color theme="1"/>
        <rFont val="宋体"/>
        <family val="3"/>
        <charset val="134"/>
      </rPr>
      <t>来源</t>
    </r>
  </si>
  <si>
    <r>
      <rPr>
        <sz val="10.5"/>
        <rFont val="宋体"/>
        <family val="3"/>
        <charset val="134"/>
      </rPr>
      <t>保存条件</t>
    </r>
    <phoneticPr fontId="4" type="noConversion"/>
  </si>
  <si>
    <r>
      <rPr>
        <sz val="10.5"/>
        <rFont val="宋体"/>
        <family val="3"/>
        <charset val="134"/>
      </rPr>
      <t>来源</t>
    </r>
  </si>
  <si>
    <t>0.0005mg</t>
    <phoneticPr fontId="16" type="noConversion"/>
  </si>
  <si>
    <t>EQ2018B23</t>
    <phoneticPr fontId="16" type="noConversion"/>
  </si>
  <si>
    <t>GMQC</t>
    <phoneticPr fontId="4" type="noConversion"/>
  </si>
  <si>
    <t>MQC</t>
    <phoneticPr fontId="4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</si>
  <si>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</si>
  <si>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</si>
  <si>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</si>
  <si>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</si>
  <si>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ng/mL</t>
    <phoneticPr fontId="16" type="noConversion"/>
  </si>
  <si>
    <t>基质</t>
  </si>
  <si>
    <t>接收日期</t>
  </si>
  <si>
    <t>供应商</t>
  </si>
  <si>
    <t>益诺思登记号</t>
  </si>
  <si>
    <t>血浆</t>
  </si>
  <si>
    <t>全血</t>
  </si>
  <si>
    <t>类型</t>
  </si>
  <si>
    <t>配制日期</t>
    <phoneticPr fontId="16" type="noConversion"/>
  </si>
  <si>
    <t>储存条件</t>
  </si>
  <si>
    <t>标准曲线样品</t>
    <phoneticPr fontId="16" type="noConversion"/>
  </si>
  <si>
    <t>质量控制样品</t>
  </si>
  <si>
    <t>2.9 标准曲线/质控样品的配制</t>
    <phoneticPr fontId="16" type="noConversion"/>
  </si>
  <si>
    <t>接收批：</t>
    <phoneticPr fontId="4" type="noConversion"/>
  </si>
  <si>
    <t>拒绝批：</t>
    <phoneticPr fontId="4" type="noConversion"/>
  </si>
  <si>
    <t>接受批：</t>
    <phoneticPr fontId="4" type="noConversion"/>
  </si>
  <si>
    <t>苏州盛迪亚生物医药有限公司</t>
  </si>
  <si>
    <r>
      <t>810Z00-T</t>
    </r>
    <r>
      <rPr>
        <sz val="10.5"/>
        <rFont val="宋体"/>
        <family val="1"/>
        <charset val="134"/>
      </rPr>
      <t>对照品</t>
    </r>
    <phoneticPr fontId="4" type="noConversion"/>
  </si>
  <si>
    <t>RESS24050-B</t>
    <phoneticPr fontId="4" type="noConversion"/>
  </si>
  <si>
    <r>
      <t>KN-RS-24-0069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001~002</t>
    </r>
    <r>
      <rPr>
        <sz val="10.5"/>
        <rFont val="宋体"/>
        <family val="3"/>
        <charset val="134"/>
      </rPr>
      <t>）</t>
    </r>
    <phoneticPr fontId="4" type="noConversion"/>
  </si>
  <si>
    <t>RSC2102220610-01</t>
    <phoneticPr fontId="4" type="noConversion"/>
  </si>
  <si>
    <r>
      <t>-15~-25 ºC</t>
    </r>
    <r>
      <rPr>
        <sz val="10.5"/>
        <rFont val="宋体"/>
        <family val="3"/>
        <charset val="134"/>
      </rPr>
      <t>，避光，密封</t>
    </r>
    <phoneticPr fontId="4" type="noConversion"/>
  </si>
  <si>
    <r>
      <rPr>
        <sz val="10.5"/>
        <rFont val="宋体"/>
        <family val="3"/>
        <charset val="134"/>
      </rPr>
      <t>有效期至</t>
    </r>
  </si>
  <si>
    <t>Dexamethasone</t>
  </si>
  <si>
    <t>IS22037-C</t>
  </si>
  <si>
    <t>KN-RS-22-198</t>
  </si>
  <si>
    <r>
      <rPr>
        <sz val="10.5"/>
        <rFont val="宋体"/>
        <family val="3"/>
        <charset val="134"/>
      </rPr>
      <t>纯度</t>
    </r>
    <phoneticPr fontId="16" type="noConversion"/>
  </si>
  <si>
    <r>
      <t>2~8ºC</t>
    </r>
    <r>
      <rPr>
        <sz val="10.5"/>
        <rFont val="宋体"/>
        <family val="3"/>
        <charset val="134"/>
      </rPr>
      <t>，避光</t>
    </r>
    <r>
      <rPr>
        <sz val="10.5"/>
        <rFont val="Times New Roman"/>
        <family val="1"/>
      </rPr>
      <t xml:space="preserve"> </t>
    </r>
    <phoneticPr fontId="16" type="noConversion"/>
  </si>
  <si>
    <t>有效期至</t>
  </si>
  <si>
    <t>MedChemExpress</t>
  </si>
  <si>
    <t>KN-BM-23-049 01</t>
    <phoneticPr fontId="16" type="noConversion"/>
  </si>
  <si>
    <t>KN-BM-23-049 02</t>
    <phoneticPr fontId="16" type="noConversion"/>
  </si>
  <si>
    <t>KN-BM-23-049 03</t>
    <phoneticPr fontId="16" type="noConversion"/>
  </si>
  <si>
    <t>KN-BM-23-049 13</t>
    <phoneticPr fontId="16" type="noConversion"/>
  </si>
  <si>
    <t>KN-BM-23-049 14</t>
    <phoneticPr fontId="16" type="noConversion"/>
  </si>
  <si>
    <t>KN-BM-23-049 15</t>
    <phoneticPr fontId="16" type="noConversion"/>
  </si>
  <si>
    <t>pg/mL</t>
  </si>
  <si>
    <r>
      <rPr>
        <sz val="10.5"/>
        <rFont val="宋体"/>
        <family val="3"/>
        <charset val="134"/>
      </rPr>
      <t>是</t>
    </r>
  </si>
  <si>
    <t>EQ201688</t>
    <phoneticPr fontId="4" type="noConversion"/>
  </si>
  <si>
    <t>RESS24050-B</t>
    <phoneticPr fontId="4" type="noConversion"/>
  </si>
  <si>
    <t>IS22037-C</t>
    <phoneticPr fontId="4" type="noConversion"/>
  </si>
  <si>
    <t>50 μL</t>
    <phoneticPr fontId="4" type="noConversion"/>
  </si>
  <si>
    <t>上海益诺思生物技术股份有限公司</t>
    <phoneticPr fontId="16" type="noConversion"/>
  </si>
  <si>
    <t>4μL</t>
    <phoneticPr fontId="4" type="noConversion"/>
  </si>
  <si>
    <t>KN-BM-23-266</t>
    <phoneticPr fontId="16" type="noConversion"/>
  </si>
  <si>
    <t>KN-BM-23-049</t>
    <phoneticPr fontId="16" type="noConversion"/>
  </si>
  <si>
    <t>益诺思生物技术南通有限公司</t>
    <phoneticPr fontId="16" type="noConversion"/>
  </si>
  <si>
    <t>KN-BM-24-125</t>
    <phoneticPr fontId="16" type="noConversion"/>
  </si>
  <si>
    <t>*10563</t>
  </si>
  <si>
    <t>*141873</t>
  </si>
  <si>
    <t>*1758</t>
  </si>
  <si>
    <t>*154359</t>
  </si>
  <si>
    <t>*2369</t>
  </si>
  <si>
    <t>*139288</t>
  </si>
  <si>
    <t>*4759</t>
    <phoneticPr fontId="49" type="noConversion"/>
  </si>
  <si>
    <t>*400505</t>
    <phoneticPr fontId="49" type="noConversion"/>
  </si>
  <si>
    <t>1#</t>
    <phoneticPr fontId="4" type="noConversion"/>
  </si>
  <si>
    <t>4#</t>
    <phoneticPr fontId="4" type="noConversion"/>
  </si>
  <si>
    <t>LLOQ（pg/mL）</t>
  </si>
  <si>
    <t>ULOQ
(pg/mL）</t>
  </si>
  <si>
    <t>*70.996</t>
  </si>
  <si>
    <t>*110.895</t>
  </si>
  <si>
    <t>*30919.910</t>
  </si>
  <si>
    <t>*403.788</t>
  </si>
  <si>
    <t>*85.446</t>
  </si>
  <si>
    <t>*27.836</t>
  </si>
  <si>
    <t>*134.001</t>
  </si>
  <si>
    <t>*298.261</t>
  </si>
  <si>
    <t>*1294.975</t>
  </si>
  <si>
    <t>*3478.455</t>
  </si>
  <si>
    <t>*16608.751</t>
  </si>
  <si>
    <t>*26902.569</t>
  </si>
  <si>
    <t>*30833.411</t>
  </si>
  <si>
    <t>#179.457</t>
  </si>
  <si>
    <t>#945.214</t>
  </si>
  <si>
    <t>SS24050BV01 WS IS Fresh 1</t>
  </si>
  <si>
    <t>SS24050BV01 WS IS Fresh 2</t>
  </si>
  <si>
    <t>SS24050BV01 WS IS Fresh 3</t>
  </si>
  <si>
    <t>SS24050BV01 WS IS Fresh 4</t>
  </si>
  <si>
    <t>SS24050BV01 WS IS Fresh 5</t>
  </si>
  <si>
    <t>SS24050BV01 WS IS Fresh 6</t>
  </si>
  <si>
    <t>SS24050BV01 WS IS LT 1</t>
  </si>
  <si>
    <t>SS24050BV01 WS IS LT 2</t>
  </si>
  <si>
    <t>SS24050BV01 WS IS LT 3</t>
  </si>
  <si>
    <t>SS24050BV01 WS IS LT 4</t>
  </si>
  <si>
    <t>SS24050BV01 WS IS LT 5</t>
  </si>
  <si>
    <t>SS24050BV01 WS IS LT 6</t>
  </si>
  <si>
    <t>SS24050BV01 WS IS ST 1</t>
  </si>
  <si>
    <t>SS24050BV01 WS IS ST 2</t>
  </si>
  <si>
    <t>SS24050BV01 WS IS ST 3</t>
  </si>
  <si>
    <t>SS24050BV01 WS IS ST 4</t>
  </si>
  <si>
    <t>SS24050BV01 WS IS ST 5</t>
  </si>
  <si>
    <t>SS24050BV01 WS IS ST 6</t>
  </si>
  <si>
    <t>5.7~9.2%</t>
    <phoneticPr fontId="4" type="noConversion"/>
  </si>
  <si>
    <t>2.5~ 4.9%</t>
    <phoneticPr fontId="4" type="noConversion"/>
  </si>
  <si>
    <r>
      <t>TRIPLE QUAD</t>
    </r>
    <r>
      <rPr>
        <vertAlign val="superscript"/>
        <sz val="10.5"/>
        <rFont val="Times New Roman"/>
        <family val="1"/>
      </rPr>
      <t>TM</t>
    </r>
    <r>
      <rPr>
        <sz val="10.5"/>
        <rFont val="Times New Roman"/>
        <family val="1"/>
      </rPr>
      <t xml:space="preserve"> 6500</t>
    </r>
    <r>
      <rPr>
        <vertAlign val="superscript"/>
        <sz val="10.5"/>
        <rFont val="Times New Roman"/>
        <family val="1"/>
      </rPr>
      <t>+</t>
    </r>
    <phoneticPr fontId="4" type="noConversion"/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</si>
  <si>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ACQUITY UPLC® BEH C8 1.7 μm 2.1×50 mm</t>
    </r>
    <phoneticPr fontId="4" type="noConversion"/>
  </si>
  <si>
    <r>
      <t>EDTA-K</t>
    </r>
    <r>
      <rPr>
        <vertAlign val="subscript"/>
        <sz val="10.5"/>
        <rFont val="Times New Roman"/>
        <family val="1"/>
      </rPr>
      <t>2</t>
    </r>
    <phoneticPr fontId="4" type="noConversion"/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</si>
  <si>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峰面积与内标</t>
    </r>
    <r>
      <rPr>
        <sz val="10.5"/>
        <rFont val="Times New Roman"/>
        <family val="1"/>
      </rPr>
      <t>IS22037-C</t>
    </r>
    <r>
      <rPr>
        <sz val="10.5"/>
        <rFont val="宋体"/>
        <family val="3"/>
        <charset val="134"/>
      </rPr>
      <t>峰面积比</t>
    </r>
    <phoneticPr fontId="4" type="noConversion"/>
  </si>
  <si>
    <r>
      <rPr>
        <sz val="10.5"/>
        <rFont val="宋体"/>
        <family val="3"/>
        <charset val="134"/>
      </rPr>
      <t>系统适用性</t>
    </r>
    <phoneticPr fontId="4" type="noConversion"/>
  </si>
  <si>
    <r>
      <rPr>
        <sz val="10.5"/>
        <rFont val="宋体"/>
        <family val="3"/>
        <charset val="134"/>
      </rPr>
      <t>待测物残留</t>
    </r>
    <phoneticPr fontId="4" type="noConversion"/>
  </si>
  <si>
    <r>
      <rPr>
        <sz val="10.5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</si>
  <si>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基质效应</t>
    </r>
    <phoneticPr fontId="4" type="noConversion"/>
  </si>
  <si>
    <r>
      <rPr>
        <sz val="10.5"/>
        <rFont val="宋体"/>
        <family val="3"/>
        <charset val="134"/>
      </rPr>
      <t>准确度（与理论浓度的偏差）（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）范围</t>
    </r>
    <phoneticPr fontId="4" type="noConversion"/>
  </si>
  <si>
    <r>
      <rPr>
        <sz val="10.5"/>
        <rFont val="宋体"/>
        <family val="3"/>
        <charset val="134"/>
      </rPr>
      <t>精密度最大值（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</si>
  <si>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批内准确度和精密度（除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以外的所有浓度质控）</t>
    </r>
    <phoneticPr fontId="4" type="noConversion"/>
  </si>
  <si>
    <r>
      <rPr>
        <sz val="10.5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</si>
  <si>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</si>
  <si>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稀释倍数</t>
    </r>
    <phoneticPr fontId="4" type="noConversion"/>
  </si>
  <si>
    <r>
      <rPr>
        <sz val="10.5"/>
        <rFont val="宋体"/>
        <family val="3"/>
        <charset val="134"/>
      </rPr>
      <t>工作液短期稳定性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</si>
  <si>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工作液长期稳定性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</si>
  <si>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生物样品前处理过程中的短期稳定性</t>
    </r>
    <phoneticPr fontId="4" type="noConversion"/>
  </si>
  <si>
    <r>
      <rPr>
        <sz val="10.5"/>
        <rFont val="宋体"/>
        <family val="3"/>
        <charset val="134"/>
      </rPr>
      <t>室温白光下至少稳定</t>
    </r>
    <r>
      <rPr>
        <sz val="10.5"/>
        <rFont val="Times New Roman"/>
        <family val="1"/>
      </rPr>
      <t>17</t>
    </r>
    <r>
      <rPr>
        <sz val="10.5"/>
        <rFont val="宋体"/>
        <family val="3"/>
        <charset val="134"/>
      </rPr>
      <t>小时</t>
    </r>
    <phoneticPr fontId="4" type="noConversion"/>
  </si>
  <si>
    <r>
      <rPr>
        <sz val="10.5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</si>
  <si>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）条件下可稳定保存至少</t>
    </r>
    <r>
      <rPr>
        <sz val="10.5"/>
        <rFont val="Times New Roman"/>
        <family val="1"/>
      </rPr>
      <t>103</t>
    </r>
    <r>
      <rPr>
        <sz val="10.5"/>
        <rFont val="宋体"/>
        <family val="3"/>
        <charset val="134"/>
      </rPr>
      <t>小时</t>
    </r>
    <phoneticPr fontId="4" type="noConversion"/>
  </si>
  <si>
    <r>
      <rPr>
        <sz val="10.5"/>
        <rFont val="宋体"/>
        <family val="3"/>
        <charset val="134"/>
      </rPr>
      <t>生物基质中待测物的长期稳定性</t>
    </r>
    <phoneticPr fontId="4" type="noConversion"/>
  </si>
  <si>
    <r>
      <rPr>
        <sz val="10.5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</si>
  <si>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136</t>
    </r>
    <r>
      <rPr>
        <sz val="10.5"/>
        <rFont val="宋体"/>
        <family val="3"/>
        <charset val="134"/>
      </rPr>
      <t>针</t>
    </r>
    <phoneticPr fontId="4" type="noConversion"/>
  </si>
  <si>
    <r>
      <rPr>
        <sz val="10.5"/>
        <rFont val="宋体"/>
        <family val="3"/>
        <charset val="134"/>
      </rPr>
      <t>色谱柱型号及所用序列号</t>
    </r>
    <phoneticPr fontId="4" type="noConversion"/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</si>
  <si>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0.450 mL/min</t>
    </r>
    <phoneticPr fontId="4" type="noConversion"/>
  </si>
  <si>
    <r>
      <t>0.1%FA in ACN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MeOH=1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 xml:space="preserve">v/v </t>
    </r>
    <r>
      <rPr>
        <sz val="10.5"/>
        <rFont val="宋体"/>
        <family val="3"/>
        <charset val="134"/>
      </rPr>
      <t>进行蛋白沉淀</t>
    </r>
    <phoneticPr fontId="4" type="noConversion"/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</si>
  <si>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50.000-25000.000 pg/mL</t>
    </r>
    <phoneticPr fontId="4" type="noConversion"/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</si>
  <si>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50.000 pg/mL</t>
    </r>
    <phoneticPr fontId="4" type="noConversion"/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</si>
  <si>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150.000 pg/mL, 1125.000 pg/mL, 7500.000 pg/mL, 18750.000 pg/mL</t>
    </r>
    <phoneticPr fontId="4" type="noConversion"/>
  </si>
  <si>
    <r>
      <t>RESS24050-B</t>
    </r>
    <r>
      <rPr>
        <sz val="10.5"/>
        <rFont val="宋体"/>
        <family val="3"/>
        <charset val="134"/>
      </rPr>
      <t>：待测物保留时间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0.5%</t>
    </r>
    <r>
      <rPr>
        <sz val="10.5"/>
        <rFont val="宋体"/>
        <family val="3"/>
        <charset val="134"/>
      </rPr>
      <t>；内标保留时间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0.8%</t>
    </r>
    <r>
      <rPr>
        <sz val="10.5"/>
        <rFont val="宋体"/>
        <family val="3"/>
        <charset val="134"/>
      </rPr>
      <t>；面积比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8.2%</t>
    </r>
    <r>
      <rPr>
        <sz val="10.5"/>
        <rFont val="宋体"/>
        <family val="3"/>
        <charset val="134"/>
      </rPr>
      <t>；</t>
    </r>
    <phoneticPr fontId="4" type="noConversion"/>
  </si>
  <si>
    <r>
      <rPr>
        <sz val="10.5"/>
        <rFont val="宋体"/>
        <family val="3"/>
        <charset val="134"/>
      </rPr>
      <t>待测物残留≤</t>
    </r>
    <r>
      <rPr>
        <sz val="10.5"/>
        <rFont val="Times New Roman"/>
        <family val="1"/>
      </rPr>
      <t xml:space="preserve"> 55.3%</t>
    </r>
    <phoneticPr fontId="4" type="noConversion"/>
  </si>
  <si>
    <r>
      <rPr>
        <sz val="10.5"/>
        <rFont val="宋体"/>
        <family val="3"/>
        <charset val="134"/>
      </rPr>
      <t>内标残留≤</t>
    </r>
    <r>
      <rPr>
        <sz val="10.5"/>
        <rFont val="Times New Roman"/>
        <family val="1"/>
      </rPr>
      <t xml:space="preserve"> 4.9%</t>
    </r>
    <phoneticPr fontId="4" type="noConversion"/>
  </si>
  <si>
    <r>
      <rPr>
        <sz val="10.5"/>
        <rFont val="宋体"/>
        <family val="3"/>
        <charset val="134"/>
      </rPr>
      <t>选择性</t>
    </r>
    <phoneticPr fontId="4" type="noConversion"/>
  </si>
  <si>
    <r>
      <rPr>
        <sz val="10.5"/>
        <rFont val="宋体"/>
        <family val="3"/>
        <charset val="134"/>
      </rPr>
      <t>空白血浆中内源性组份对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和内标</t>
    </r>
    <r>
      <rPr>
        <sz val="10.5"/>
        <rFont val="Times New Roman"/>
        <family val="1"/>
      </rPr>
      <t xml:space="preserve">IS22037-C </t>
    </r>
    <r>
      <rPr>
        <sz val="10.5"/>
        <rFont val="宋体"/>
        <family val="3"/>
        <charset val="134"/>
      </rPr>
      <t>的干扰符合接受标准</t>
    </r>
    <phoneticPr fontId="4" type="noConversion"/>
  </si>
  <si>
    <r>
      <rPr>
        <sz val="10.5"/>
        <rFont val="宋体"/>
        <family val="3"/>
        <charset val="134"/>
      </rPr>
      <t>特异性</t>
    </r>
    <phoneticPr fontId="4" type="noConversion"/>
  </si>
  <si>
    <r>
      <rPr>
        <sz val="10.5"/>
        <rFont val="宋体"/>
        <family val="3"/>
        <charset val="134"/>
      </rPr>
      <t>待测物与内标间干扰符合接受标准</t>
    </r>
    <phoneticPr fontId="4" type="noConversion"/>
  </si>
  <si>
    <r>
      <rPr>
        <sz val="10.5"/>
        <rFont val="宋体"/>
        <family val="3"/>
        <charset val="134"/>
      </rPr>
      <t>基质效应符合接受标准</t>
    </r>
    <phoneticPr fontId="4" type="noConversion"/>
  </si>
  <si>
    <r>
      <rPr>
        <sz val="10.5"/>
        <rFont val="宋体"/>
        <family val="3"/>
        <charset val="134"/>
      </rPr>
      <t>准确度和精密度</t>
    </r>
    <phoneticPr fontId="4" type="noConversion"/>
  </si>
  <si>
    <r>
      <rPr>
        <sz val="10.5"/>
        <rFont val="宋体"/>
        <family val="3"/>
        <charset val="134"/>
      </rPr>
      <t>批内准确度和精密度（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</si>
  <si>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批间准确度和精密度（除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以外的所有浓度质控）</t>
    </r>
    <phoneticPr fontId="4" type="noConversion"/>
  </si>
  <si>
    <r>
      <rPr>
        <sz val="10.5"/>
        <rFont val="宋体"/>
        <family val="3"/>
        <charset val="134"/>
      </rPr>
      <t>批间准确度和精密度（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  <phoneticPr fontId="4" type="noConversion"/>
  </si>
  <si>
    <r>
      <t>RESS24050-B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150.000 pg/mL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99.9%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10.0%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7500.000 pg/mL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91.3%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7.0%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18750.000 pg/mL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93.0%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4.2%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 xml:space="preserve">  </t>
    </r>
    <r>
      <rPr>
        <sz val="10.5"/>
        <rFont val="宋体"/>
        <family val="3"/>
        <charset val="134"/>
      </rPr>
      <t>总体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4.8%</t>
    </r>
    <r>
      <rPr>
        <sz val="10.5"/>
        <rFont val="宋体"/>
        <family val="3"/>
        <charset val="134"/>
      </rPr>
      <t>。</t>
    </r>
    <phoneticPr fontId="4" type="noConversion"/>
  </si>
  <si>
    <r>
      <rPr>
        <sz val="10.5"/>
        <rFont val="宋体"/>
        <family val="3"/>
        <charset val="134"/>
      </rPr>
      <t>以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计，</t>
    </r>
    <r>
      <rPr>
        <sz val="10.5"/>
        <rFont val="Times New Roman"/>
        <family val="1"/>
      </rPr>
      <t>IS22037-C</t>
    </r>
    <r>
      <rPr>
        <sz val="10.5"/>
        <rFont val="宋体"/>
        <family val="3"/>
        <charset val="134"/>
      </rPr>
      <t>平均回收率为</t>
    </r>
    <r>
      <rPr>
        <sz val="10.5"/>
        <rFont val="Times New Roman"/>
        <family val="1"/>
      </rPr>
      <t>101.9%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 xml:space="preserve">5.3% </t>
    </r>
    <phoneticPr fontId="4" type="noConversion"/>
  </si>
  <si>
    <r>
      <t>375000.000 ng/mL</t>
    </r>
    <r>
      <rPr>
        <sz val="10.5"/>
        <rFont val="宋体"/>
        <family val="3"/>
        <charset val="134"/>
      </rPr>
      <t>稀释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倍；</t>
    </r>
    <phoneticPr fontId="4" type="noConversion"/>
  </si>
  <si>
    <r>
      <rPr>
        <sz val="10.5"/>
        <rFont val="宋体"/>
        <family val="3"/>
        <charset val="134"/>
      </rPr>
      <t>储备液短期稳定性</t>
    </r>
    <r>
      <rPr>
        <sz val="10.5"/>
        <rFont val="Times New Roman"/>
        <family val="1"/>
      </rPr>
      <t/>
    </r>
    <phoneticPr fontId="4" type="noConversion"/>
  </si>
  <si>
    <r>
      <t>RESS24050-B</t>
    </r>
    <r>
      <rPr>
        <sz val="10.5"/>
        <rFont val="宋体"/>
        <family val="3"/>
        <charset val="134"/>
      </rPr>
      <t>：室温白光条件下至少稳定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小时（参见</t>
    </r>
    <r>
      <rPr>
        <sz val="10.5"/>
        <rFont val="Times New Roman"/>
        <family val="1"/>
      </rPr>
      <t>22037MV07</t>
    </r>
    <r>
      <rPr>
        <sz val="10.5"/>
        <rFont val="宋体"/>
        <family val="3"/>
        <charset val="134"/>
      </rPr>
      <t>）；</t>
    </r>
    <r>
      <rPr>
        <sz val="10.5"/>
        <rFont val="Times New Roman"/>
        <family val="1"/>
      </rPr>
      <t xml:space="preserve">  
IS22037-C</t>
    </r>
    <r>
      <rPr>
        <sz val="10.5"/>
        <rFont val="宋体"/>
        <family val="3"/>
        <charset val="134"/>
      </rPr>
      <t>：室温白光条件下至少稳定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小时（参见</t>
    </r>
    <r>
      <rPr>
        <sz val="10.5"/>
        <rFont val="Times New Roman"/>
        <family val="1"/>
      </rPr>
      <t>22037MV07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</si>
  <si>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储备液长期稳定性</t>
    </r>
    <phoneticPr fontId="4" type="noConversion"/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</si>
  <si>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次</t>
    </r>
    <r>
      <rPr>
        <sz val="10.5"/>
        <rFont val="Times New Roman"/>
        <family val="1"/>
      </rPr>
      <t>-70~-90°C/</t>
    </r>
    <r>
      <rPr>
        <sz val="10.5"/>
        <rFont val="宋体"/>
        <family val="3"/>
        <charset val="134"/>
      </rPr>
      <t>室温白光冷冻解冻稳定</t>
    </r>
    <phoneticPr fontId="4" type="noConversion"/>
  </si>
  <si>
    <r>
      <rPr>
        <sz val="10.5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4" type="noConversion"/>
  </si>
  <si>
    <r>
      <t>2%</t>
    </r>
    <r>
      <rPr>
        <sz val="10.5"/>
        <rFont val="宋体"/>
        <family val="3"/>
        <charset val="134"/>
      </rPr>
      <t>溶血符合接受标准</t>
    </r>
    <phoneticPr fontId="4" type="noConversion"/>
  </si>
  <si>
    <r>
      <t xml:space="preserve">2.6 </t>
    </r>
    <r>
      <rPr>
        <sz val="11"/>
        <rFont val="宋体"/>
        <family val="3"/>
        <charset val="134"/>
      </rPr>
      <t>空白基质</t>
    </r>
    <phoneticPr fontId="16" type="noConversion"/>
  </si>
  <si>
    <r>
      <rPr>
        <sz val="10.5"/>
        <rFont val="宋体"/>
        <family val="3"/>
        <charset val="134"/>
      </rPr>
      <t>提取日期</t>
    </r>
    <phoneticPr fontId="4" type="noConversion"/>
  </si>
  <si>
    <r>
      <rPr>
        <sz val="10.5"/>
        <rFont val="宋体"/>
        <family val="3"/>
        <charset val="134"/>
      </rPr>
      <t>分析批是否接受</t>
    </r>
    <phoneticPr fontId="4" type="noConversion"/>
  </si>
  <si>
    <r>
      <rPr>
        <sz val="10.5"/>
        <rFont val="宋体"/>
        <family val="3"/>
        <charset val="134"/>
      </rPr>
      <t>设备编号</t>
    </r>
    <phoneticPr fontId="4" type="noConversion"/>
  </si>
  <si>
    <r>
      <rPr>
        <sz val="10.5"/>
        <rFont val="宋体"/>
        <family val="3"/>
        <charset val="134"/>
      </rPr>
      <t>系统适用性，标准曲线及范围，第一批批内准确度和精密度，特异性</t>
    </r>
    <r>
      <rPr>
        <vertAlign val="superscript"/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，稀释可靠性，稳定性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，残留评价</t>
    </r>
    <phoneticPr fontId="4" type="noConversion"/>
  </si>
  <si>
    <r>
      <rPr>
        <sz val="10.5"/>
        <rFont val="宋体"/>
        <family val="3"/>
        <charset val="134"/>
      </rPr>
      <t>系统适用性，标准曲线及范围，第二批批内准确度和精密度，选择性，特异性，基质效应，回收率，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分析批最大进样数，残留评价</t>
    </r>
    <phoneticPr fontId="4" type="noConversion"/>
  </si>
  <si>
    <r>
      <rPr>
        <sz val="10.5"/>
        <rFont val="宋体"/>
        <family val="3"/>
        <charset val="134"/>
      </rPr>
      <t>否</t>
    </r>
    <r>
      <rPr>
        <vertAlign val="superscript"/>
        <sz val="10.5"/>
        <rFont val="Times New Roman"/>
        <family val="1"/>
      </rPr>
      <t>2</t>
    </r>
    <phoneticPr fontId="4" type="noConversion"/>
  </si>
  <si>
    <r>
      <rPr>
        <sz val="10.5"/>
        <rFont val="宋体"/>
        <family val="3"/>
        <charset val="134"/>
      </rPr>
      <t>系统适用性，全血稳定性</t>
    </r>
    <phoneticPr fontId="4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</si>
  <si>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3</t>
    </r>
    <phoneticPr fontId="4" type="noConversion"/>
  </si>
  <si>
    <r>
      <rPr>
        <sz val="10.5"/>
        <rFont val="宋体"/>
        <family val="3"/>
        <charset val="134"/>
      </rPr>
      <t>系统适用性，标准曲线及范围，第三批批内准确度和精密度，基质效应</t>
    </r>
    <r>
      <rPr>
        <vertAlign val="superscript"/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，样品短期稳定性</t>
    </r>
    <r>
      <rPr>
        <vertAlign val="superscript"/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，处理后样品稳定性</t>
    </r>
    <r>
      <rPr>
        <vertAlign val="superscript"/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，选择性</t>
    </r>
    <r>
      <rPr>
        <vertAlign val="superscript"/>
        <sz val="10.5"/>
        <rFont val="Times New Roman"/>
        <family val="1"/>
      </rPr>
      <t>7</t>
    </r>
    <r>
      <rPr>
        <sz val="10.5"/>
        <rFont val="宋体"/>
        <family val="3"/>
        <charset val="134"/>
      </rPr>
      <t>，特异性</t>
    </r>
    <r>
      <rPr>
        <vertAlign val="superscript"/>
        <sz val="10.5"/>
        <rFont val="Times New Roman"/>
        <family val="1"/>
      </rPr>
      <t>8</t>
    </r>
    <r>
      <rPr>
        <sz val="10.5"/>
        <rFont val="宋体"/>
        <family val="3"/>
        <charset val="134"/>
      </rPr>
      <t>，分析批最大进样数（</t>
    </r>
    <r>
      <rPr>
        <sz val="10.5"/>
        <rFont val="Times New Roman"/>
        <family val="1"/>
      </rPr>
      <t>136</t>
    </r>
    <r>
      <rPr>
        <sz val="10.5"/>
        <rFont val="宋体"/>
        <family val="3"/>
        <charset val="134"/>
      </rPr>
      <t>针）</t>
    </r>
    <r>
      <rPr>
        <sz val="10.5"/>
        <rFont val="宋体"/>
        <family val="1"/>
        <charset val="134"/>
      </rPr>
      <t>，</t>
    </r>
    <r>
      <rPr>
        <sz val="10.5"/>
        <rFont val="宋体"/>
        <family val="3"/>
        <charset val="134"/>
      </rPr>
      <t>残留评价</t>
    </r>
    <phoneticPr fontId="4" type="noConversion"/>
  </si>
  <si>
    <r>
      <rPr>
        <sz val="10.5"/>
        <rFont val="宋体"/>
        <family val="3"/>
        <charset val="134"/>
      </rPr>
      <t>系统适用性，回收率</t>
    </r>
    <phoneticPr fontId="4" type="noConversion"/>
  </si>
  <si>
    <r>
      <rPr>
        <sz val="10.5"/>
        <rFont val="宋体"/>
        <family val="3"/>
        <charset val="134"/>
      </rPr>
      <t>系统适用性，标准曲线及范围，第四批批内准确度和精密度，基质效应，样品冻融稳定性，选择性（溶血），溶血效应，特异性，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残留评价</t>
    </r>
    <phoneticPr fontId="4" type="noConversion"/>
  </si>
  <si>
    <r>
      <rPr>
        <sz val="10.5"/>
        <rFont val="宋体"/>
        <family val="3"/>
        <charset val="134"/>
      </rPr>
      <t>系统适用性，标准曲线及范围，选择性，短期稳定性，残留评价</t>
    </r>
    <phoneticPr fontId="4" type="noConversion"/>
  </si>
  <si>
    <r>
      <rPr>
        <sz val="10.5"/>
        <rFont val="宋体"/>
        <family val="3"/>
        <charset val="134"/>
      </rPr>
      <t>系统适用性，标准曲线及范围，样品长期稳定性</t>
    </r>
    <r>
      <rPr>
        <vertAlign val="superscript"/>
        <sz val="10.5"/>
        <rFont val="Times New Roman"/>
        <family val="1"/>
      </rPr>
      <t>9</t>
    </r>
    <r>
      <rPr>
        <sz val="10.5"/>
        <rFont val="宋体"/>
        <family val="3"/>
        <charset val="134"/>
      </rPr>
      <t>，基质效应，残留评价</t>
    </r>
    <phoneticPr fontId="4" type="noConversion"/>
  </si>
  <si>
    <r>
      <rPr>
        <sz val="10.5"/>
        <rFont val="宋体"/>
        <family val="3"/>
        <charset val="134"/>
      </rPr>
      <t>系统适用性，标准曲线及范围，样品长期稳定性</t>
    </r>
    <r>
      <rPr>
        <vertAlign val="superscript"/>
        <sz val="10.5"/>
        <rFont val="Times New Roman"/>
        <family val="1"/>
      </rPr>
      <t>10</t>
    </r>
    <r>
      <rPr>
        <sz val="10.5"/>
        <rFont val="宋体"/>
        <family val="3"/>
        <charset val="134"/>
      </rPr>
      <t>，残留评价</t>
    </r>
    <phoneticPr fontId="4" type="noConversion"/>
  </si>
  <si>
    <r>
      <rPr>
        <sz val="10.5"/>
        <rFont val="宋体"/>
        <family val="3"/>
        <charset val="134"/>
      </rPr>
      <t>待测物保留时间</t>
    </r>
    <phoneticPr fontId="4" type="noConversion"/>
  </si>
  <si>
    <r>
      <rPr>
        <sz val="10.5"/>
        <rFont val="宋体"/>
        <family val="3"/>
        <charset val="134"/>
      </rPr>
      <t>峰面积比</t>
    </r>
    <phoneticPr fontId="4" type="noConversion"/>
  </si>
  <si>
    <r>
      <rPr>
        <sz val="10.5"/>
        <rFont val="宋体"/>
        <family val="3"/>
        <charset val="134"/>
      </rPr>
      <t>检测批次编号</t>
    </r>
    <phoneticPr fontId="4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</si>
  <si>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4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</si>
  <si>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4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</si>
  <si>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4" type="noConversion"/>
  </si>
  <si>
    <r>
      <t>#</t>
    </r>
    <r>
      <rPr>
        <sz val="10.5"/>
        <rFont val="宋体"/>
        <family val="1"/>
        <charset val="134"/>
      </rPr>
      <t>：残留不符合接受标准，经残留评估无样品受到残留的影响。</t>
    </r>
    <phoneticPr fontId="4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</si>
  <si>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4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</si>
  <si>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4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</si>
  <si>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4" type="noConversion"/>
  </si>
  <si>
    <t>*不符合接受标准，不参与统计计算。</t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</si>
  <si>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：基质效应试验</t>
    </r>
    <phoneticPr fontId="4" type="noConversion"/>
  </si>
  <si>
    <r>
      <rPr>
        <sz val="10.5"/>
        <rFont val="宋体"/>
        <family val="1"/>
        <charset val="134"/>
      </rPr>
      <t>失败</t>
    </r>
    <phoneticPr fontId="16" type="noConversion"/>
  </si>
  <si>
    <r>
      <rPr>
        <sz val="10.5"/>
        <rFont val="宋体"/>
        <family val="3"/>
        <charset val="134"/>
      </rPr>
      <t>检测日期：</t>
    </r>
    <r>
      <rPr>
        <sz val="10.5"/>
        <rFont val="Times New Roman"/>
        <family val="1"/>
      </rPr>
      <t>2024/03/19</t>
    </r>
    <phoneticPr fontId="16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</si>
  <si>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</si>
  <si>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r>
      <rPr>
        <sz val="10.5"/>
        <rFont val="宋体"/>
        <family val="3"/>
        <charset val="134"/>
      </rPr>
      <t>检测批次编号</t>
    </r>
    <phoneticPr fontId="4" type="noConversion"/>
  </si>
  <si>
    <r>
      <rPr>
        <sz val="10.5"/>
        <rFont val="宋体"/>
        <family val="3"/>
        <charset val="134"/>
      </rPr>
      <t>斜率</t>
    </r>
  </si>
  <si>
    <r>
      <rPr>
        <sz val="10.5"/>
        <rFont val="宋体"/>
        <family val="3"/>
        <charset val="134"/>
      </rPr>
      <t>截距</t>
    </r>
  </si>
  <si>
    <r>
      <t>R</t>
    </r>
    <r>
      <rPr>
        <vertAlign val="superscript"/>
        <sz val="10.5"/>
        <rFont val="Times New Roman"/>
        <family val="1"/>
      </rPr>
      <t>2</t>
    </r>
  </si>
  <si>
    <r>
      <rPr>
        <sz val="10.5"/>
        <rFont val="宋体"/>
        <family val="3"/>
        <charset val="134"/>
      </rPr>
      <t>平均值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</si>
  <si>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</si>
  <si>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r>
      <rPr>
        <sz val="10.5"/>
        <rFont val="宋体"/>
        <family val="3"/>
        <charset val="134"/>
      </rPr>
      <t>注：失败原因见表</t>
    </r>
    <r>
      <rPr>
        <sz val="10.5"/>
        <rFont val="Times New Roman"/>
        <family val="1"/>
      </rPr>
      <t>1</t>
    </r>
    <phoneticPr fontId="4" type="noConversion"/>
  </si>
  <si>
    <r>
      <t>*</t>
    </r>
    <r>
      <rPr>
        <sz val="10.5"/>
        <rFont val="宋体"/>
        <family val="1"/>
        <charset val="134"/>
      </rPr>
      <t>：不符合接受标准不参与统计计算。</t>
    </r>
    <phoneticPr fontId="4" type="noConversion"/>
  </si>
  <si>
    <r>
      <rPr>
        <sz val="10.5"/>
        <rFont val="宋体"/>
        <family val="3"/>
        <charset val="134"/>
      </rPr>
      <t>注：失败原因见表</t>
    </r>
    <r>
      <rPr>
        <sz val="10.5"/>
        <rFont val="Times New Roman"/>
        <family val="1"/>
      </rPr>
      <t>1</t>
    </r>
    <phoneticPr fontId="4" type="noConversion"/>
  </si>
  <si>
    <r>
      <t>*</t>
    </r>
    <r>
      <rPr>
        <sz val="10.5"/>
        <rFont val="宋体"/>
        <family val="1"/>
        <charset val="134"/>
      </rPr>
      <t>：不符合接受标准不参与统计计算。</t>
    </r>
    <phoneticPr fontId="4" type="noConversion"/>
  </si>
  <si>
    <r>
      <t>#</t>
    </r>
    <r>
      <rPr>
        <sz val="10.5"/>
        <rFont val="宋体"/>
        <family val="3"/>
        <charset val="134"/>
      </rPr>
      <t>表示不符合接受标准，仍参与统计计算</t>
    </r>
    <phoneticPr fontId="16" type="noConversion"/>
  </si>
  <si>
    <r>
      <rPr>
        <sz val="10.5"/>
        <rFont val="宋体"/>
        <family val="3"/>
        <charset val="134"/>
      </rPr>
      <t>储存条件：室温白光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小时</t>
    </r>
    <phoneticPr fontId="4" type="noConversion"/>
  </si>
  <si>
    <r>
      <rPr>
        <sz val="10.5"/>
        <rFont val="宋体"/>
        <family val="3"/>
        <charset val="134"/>
      </rPr>
      <t>样品名称</t>
    </r>
    <phoneticPr fontId="4" type="noConversion"/>
  </si>
  <si>
    <r>
      <rPr>
        <sz val="10.5"/>
        <rFont val="宋体"/>
        <family val="3"/>
        <charset val="134"/>
      </rPr>
      <t>待测物峰面积</t>
    </r>
    <phoneticPr fontId="4" type="noConversion"/>
  </si>
  <si>
    <r>
      <rPr>
        <sz val="10.5"/>
        <rFont val="宋体"/>
        <family val="3"/>
        <charset val="134"/>
      </rPr>
      <t>内标峰面积</t>
    </r>
    <phoneticPr fontId="4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</si>
  <si>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</si>
  <si>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3"/>
      </rPr>
      <t>8</t>
    </r>
    <phoneticPr fontId="4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</si>
  <si>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69</t>
    </r>
    <r>
      <rPr>
        <sz val="10.5"/>
        <rFont val="宋体"/>
        <family val="3"/>
        <charset val="134"/>
      </rPr>
      <t>天</t>
    </r>
    <phoneticPr fontId="4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</si>
  <si>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69</t>
    </r>
    <r>
      <rPr>
        <sz val="10.5"/>
        <rFont val="宋体"/>
        <family val="3"/>
        <charset val="134"/>
      </rPr>
      <t>天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</si>
  <si>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8</t>
    </r>
    <phoneticPr fontId="4" type="noConversion"/>
  </si>
  <si>
    <r>
      <rPr>
        <sz val="10.5"/>
        <rFont val="宋体"/>
        <family val="3"/>
        <charset val="134"/>
      </rPr>
      <t>储存条件：室温白光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小时</t>
    </r>
    <phoneticPr fontId="4" type="noConversion"/>
  </si>
  <si>
    <r>
      <rPr>
        <sz val="10.5"/>
        <rFont val="宋体"/>
        <family val="3"/>
        <charset val="134"/>
      </rPr>
      <t>储存条件：室温白光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小时</t>
    </r>
    <phoneticPr fontId="4" type="noConversion"/>
  </si>
  <si>
    <r>
      <rPr>
        <sz val="10.5"/>
        <rFont val="宋体"/>
        <family val="3"/>
        <charset val="134"/>
      </rPr>
      <t>参比样品</t>
    </r>
    <phoneticPr fontId="4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</si>
  <si>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4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</si>
  <si>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69</t>
    </r>
    <r>
      <rPr>
        <sz val="10.5"/>
        <rFont val="宋体"/>
        <family val="3"/>
        <charset val="134"/>
      </rPr>
      <t>天</t>
    </r>
    <phoneticPr fontId="4" type="noConversion"/>
  </si>
  <si>
    <t>EQ201688</t>
    <phoneticPr fontId="4" type="noConversion"/>
  </si>
  <si>
    <t>EQ201688</t>
    <phoneticPr fontId="4" type="noConversion"/>
  </si>
  <si>
    <t>EQ201688</t>
    <phoneticPr fontId="4" type="noConversion"/>
  </si>
  <si>
    <r>
      <rPr>
        <sz val="10.5"/>
        <rFont val="宋体"/>
        <family val="3"/>
        <charset val="134"/>
      </rPr>
      <t>系统适用性，标准曲线及范围，样品长期稳定性，残留评价</t>
    </r>
    <phoneticPr fontId="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</si>
  <si>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1:</t>
    </r>
    <r>
      <rPr>
        <sz val="10.5"/>
        <rFont val="宋体"/>
        <family val="1"/>
        <charset val="134"/>
      </rPr>
      <t>内标对待测物的干扰不符合接受标准，于第二个分析批重新进行考察。</t>
    </r>
    <phoneticPr fontId="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</si>
  <si>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1"/>
        <charset val="134"/>
      </rPr>
      <t>：标曲不符合接受标准，分析批不接受。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</si>
  <si>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：低浓度短期稳定性样品的</t>
    </r>
    <r>
      <rPr>
        <sz val="10.5"/>
        <rFont val="Times New Roman"/>
        <family val="1"/>
      </rPr>
      <t>CV%</t>
    </r>
    <r>
      <rPr>
        <sz val="10.5"/>
        <rFont val="宋体"/>
        <family val="3"/>
        <charset val="134"/>
      </rPr>
      <t>不符合接受标准，短期稳定性于第七个分析批再次进行考察。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</si>
  <si>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03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个分析批中制备。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</si>
  <si>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7</t>
    </r>
    <r>
      <rPr>
        <sz val="10.5"/>
        <rFont val="宋体"/>
        <family val="3"/>
        <charset val="134"/>
      </rPr>
      <t>：第一个以及第二个个体的选择性不符合接受标准。于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04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11</t>
    </r>
    <r>
      <rPr>
        <sz val="10.5"/>
        <rFont val="宋体"/>
        <family val="3"/>
        <charset val="134"/>
      </rPr>
      <t>日进行</t>
    </r>
    <r>
      <rPr>
        <sz val="10.5"/>
        <rFont val="Times New Roman"/>
        <family val="1"/>
      </rPr>
      <t>Trouble shooting</t>
    </r>
    <r>
      <rPr>
        <sz val="10.5"/>
        <rFont val="宋体"/>
        <family val="3"/>
        <charset val="134"/>
      </rPr>
      <t>，结果表明选择性通过，故对选择性于第七个分析批再次进行考察。</t>
    </r>
    <phoneticPr fontId="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</si>
  <si>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8:</t>
    </r>
    <r>
      <rPr>
        <sz val="10.5"/>
        <rFont val="宋体"/>
        <family val="1"/>
        <charset val="134"/>
      </rPr>
      <t>内标对待测物的干扰不符合接受标准，于第六个分析批重新进行考察。</t>
    </r>
    <phoneticPr fontId="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</si>
  <si>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10</t>
    </r>
    <r>
      <rPr>
        <sz val="10.5"/>
        <rFont val="宋体"/>
        <family val="1"/>
        <charset val="134"/>
      </rPr>
      <t>：样品长期稳定性考察成功，于第十一个分析批再次进行确认。</t>
    </r>
    <phoneticPr fontId="4" type="noConversion"/>
  </si>
  <si>
    <r>
      <rPr>
        <sz val="10.5"/>
        <rFont val="宋体"/>
        <family val="3"/>
        <charset val="134"/>
      </rPr>
      <t>检测日期：</t>
    </r>
    <r>
      <rPr>
        <sz val="10.5"/>
        <rFont val="Times New Roman"/>
        <family val="1"/>
      </rPr>
      <t>2024/03/19&amp;2024/03/21&amp;2024/05/23</t>
    </r>
    <phoneticPr fontId="1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</si>
  <si>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4&amp;6&amp;9</t>
    </r>
    <phoneticPr fontId="1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</si>
  <si>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4</t>
    </r>
    <phoneticPr fontId="16" type="noConversion"/>
  </si>
  <si>
    <t>KN-BM-23-049 14</t>
    <phoneticPr fontId="16" type="noConversion"/>
  </si>
  <si>
    <r>
      <t xml:space="preserve">Analyst® </t>
    </r>
    <r>
      <rPr>
        <sz val="10.5"/>
        <rFont val="宋体"/>
        <family val="3"/>
        <charset val="134"/>
      </rPr>
      <t>数据采集软件（版本</t>
    </r>
    <r>
      <rPr>
        <sz val="10.5"/>
        <rFont val="Times New Roman"/>
        <family val="1"/>
      </rPr>
      <t>1.6.3</t>
    </r>
    <r>
      <rPr>
        <sz val="10.5"/>
        <rFont val="宋体"/>
        <family val="3"/>
        <charset val="134"/>
      </rPr>
      <t>）；</t>
    </r>
    <r>
      <rPr>
        <sz val="10.5"/>
        <rFont val="Times New Roman"/>
        <family val="1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 xml:space="preserve"> 7.4.2</t>
    </r>
    <r>
      <rPr>
        <sz val="10.5"/>
        <rFont val="宋体"/>
        <family val="3"/>
        <charset val="134"/>
      </rPr>
      <t>）</t>
    </r>
    <phoneticPr fontId="4" type="noConversion"/>
  </si>
  <si>
    <t>益诺思生物技术南通有限公司</t>
    <phoneticPr fontId="16" type="noConversion"/>
  </si>
  <si>
    <t>0.4~11.9%</t>
    <phoneticPr fontId="4" type="noConversion"/>
  </si>
  <si>
    <r>
      <rPr>
        <sz val="10.5"/>
        <rFont val="宋体"/>
        <family val="3"/>
        <charset val="134"/>
      </rPr>
      <t>在</t>
    </r>
    <r>
      <rPr>
        <sz val="10.5"/>
        <rFont val="Times New Roman"/>
        <family val="1"/>
      </rPr>
      <t>-70°C~-90°C</t>
    </r>
    <r>
      <rPr>
        <sz val="10.5"/>
        <rFont val="宋体"/>
        <family val="3"/>
        <charset val="134"/>
      </rPr>
      <t>下稳定至少</t>
    </r>
    <r>
      <rPr>
        <sz val="10.5"/>
        <rFont val="Times New Roman"/>
        <family val="1"/>
      </rPr>
      <t>82</t>
    </r>
    <r>
      <rPr>
        <sz val="10.5"/>
        <rFont val="宋体"/>
        <family val="3"/>
        <charset val="134"/>
      </rPr>
      <t>天</t>
    </r>
    <phoneticPr fontId="4" type="noConversion"/>
  </si>
  <si>
    <r>
      <rPr>
        <sz val="10.5"/>
        <rFont val="宋体"/>
        <family val="3"/>
        <charset val="134"/>
      </rPr>
      <t>全血样品冰浴白光放置至少稳定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小时</t>
    </r>
    <phoneticPr fontId="4" type="noConversion"/>
  </si>
  <si>
    <t>当天使用</t>
    <phoneticPr fontId="1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</si>
  <si>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：第三个个体的低浓度基质效应样品的</t>
    </r>
    <r>
      <rPr>
        <sz val="10.5"/>
        <rFont val="Times New Roman"/>
        <family val="1"/>
      </rPr>
      <t>CV%</t>
    </r>
    <r>
      <rPr>
        <sz val="10.5"/>
        <rFont val="宋体"/>
        <family val="3"/>
        <charset val="134"/>
      </rPr>
      <t>不符合接受标准，于第九个分析批再次进行考察。第五个个体的高浓度基质效应样品的准确度不符合接受标准，于第六个分析批再次进行考察。</t>
    </r>
    <phoneticPr fontId="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</si>
  <si>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9</t>
    </r>
    <r>
      <rPr>
        <sz val="10.5"/>
        <rFont val="宋体"/>
        <family val="1"/>
        <charset val="134"/>
      </rPr>
      <t>：样品长期稳定性样品高浓度准确度不符合接受标准，于第十个分析批重新进行考察。</t>
    </r>
    <phoneticPr fontId="4" type="noConversion"/>
  </si>
  <si>
    <t>系统适用性，工作液稳定性</t>
    <phoneticPr fontId="4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</si>
  <si>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73</t>
    </r>
    <r>
      <rPr>
        <sz val="10.5"/>
        <rFont val="宋体"/>
        <family val="3"/>
        <charset val="134"/>
      </rPr>
      <t>天</t>
    </r>
    <phoneticPr fontId="4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</si>
  <si>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82</t>
    </r>
    <r>
      <rPr>
        <sz val="10.5"/>
        <rFont val="宋体"/>
        <family val="3"/>
        <charset val="134"/>
      </rPr>
      <t>天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</si>
  <si>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：本分析批无标曲质控样品。</t>
    </r>
    <phoneticPr fontId="4" type="noConversion"/>
  </si>
  <si>
    <r>
      <rPr>
        <sz val="10.5"/>
        <rFont val="宋体"/>
        <family val="3"/>
        <charset val="134"/>
      </rPr>
      <t>上海安谱实验科技股份有限公司</t>
    </r>
    <r>
      <rPr>
        <sz val="10.5"/>
        <rFont val="Times New Roman"/>
        <family val="1"/>
      </rPr>
      <t>/Sigma-aldrich</t>
    </r>
    <phoneticPr fontId="16" type="noConversion"/>
  </si>
  <si>
    <r>
      <t xml:space="preserve">2.5 </t>
    </r>
    <r>
      <rPr>
        <sz val="10.5"/>
        <color theme="1"/>
        <rFont val="宋体"/>
        <family val="3"/>
        <charset val="134"/>
      </rPr>
      <t>试剂</t>
    </r>
    <phoneticPr fontId="16" type="noConversion"/>
  </si>
  <si>
    <r>
      <rPr>
        <sz val="10.5"/>
        <color rgb="FF000000"/>
        <rFont val="宋体"/>
        <family val="3"/>
        <charset val="134"/>
      </rPr>
      <t>试剂</t>
    </r>
  </si>
  <si>
    <r>
      <rPr>
        <sz val="10.5"/>
        <color rgb="FF000000"/>
        <rFont val="宋体"/>
        <family val="3"/>
        <charset val="134"/>
      </rPr>
      <t>供应商</t>
    </r>
  </si>
  <si>
    <r>
      <rPr>
        <sz val="10.5"/>
        <rFont val="宋体"/>
        <family val="3"/>
        <charset val="134"/>
      </rPr>
      <t>甲醇</t>
    </r>
  </si>
  <si>
    <r>
      <rPr>
        <sz val="10.5"/>
        <rFont val="宋体"/>
        <family val="3"/>
        <charset val="134"/>
      </rPr>
      <t>液相色谱纯</t>
    </r>
    <phoneticPr fontId="16" type="noConversion"/>
  </si>
  <si>
    <r>
      <rPr>
        <sz val="10.5"/>
        <rFont val="宋体"/>
        <family val="3"/>
        <charset val="134"/>
      </rPr>
      <t>乙腈</t>
    </r>
  </si>
  <si>
    <r>
      <rPr>
        <sz val="10.5"/>
        <rFont val="宋体"/>
        <family val="3"/>
        <charset val="134"/>
      </rPr>
      <t>上海安谱实验科技股份有限公司</t>
    </r>
  </si>
  <si>
    <r>
      <rPr>
        <sz val="10.5"/>
        <rFont val="宋体"/>
        <family val="3"/>
        <charset val="134"/>
      </rPr>
      <t>上海安谱实验科技股份有限公司</t>
    </r>
    <r>
      <rPr>
        <sz val="10.5"/>
        <rFont val="Times New Roman"/>
        <family val="1"/>
      </rPr>
      <t>/Adamas-beta</t>
    </r>
  </si>
  <si>
    <r>
      <rPr>
        <sz val="10.5"/>
        <rFont val="宋体"/>
        <family val="3"/>
        <charset val="134"/>
      </rPr>
      <t>异丙醇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</si>
  <si>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二甲基亚砜</t>
    </r>
    <r>
      <rPr>
        <sz val="10.5"/>
        <rFont val="Times New Roman"/>
        <family val="1"/>
      </rPr>
      <t xml:space="preserve">  </t>
    </r>
  </si>
  <si>
    <r>
      <rPr>
        <sz val="10.5"/>
        <rFont val="宋体"/>
        <family val="3"/>
        <charset val="134"/>
      </rPr>
      <t>甲酸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</si>
  <si>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国药集团化学试剂有限公司</t>
    </r>
    <r>
      <rPr>
        <sz val="10.5"/>
        <rFont val="Times New Roman"/>
        <family val="1"/>
      </rPr>
      <t>/Aladdin</t>
    </r>
    <phoneticPr fontId="16" type="noConversion"/>
  </si>
  <si>
    <r>
      <rPr>
        <sz val="10.5"/>
        <color theme="1"/>
        <rFont val="宋体"/>
        <family val="3"/>
        <charset val="134"/>
      </rPr>
      <t>级别</t>
    </r>
    <phoneticPr fontId="16" type="noConversion"/>
  </si>
  <si>
    <r>
      <t>RESS24050-B</t>
    </r>
    <r>
      <rPr>
        <sz val="10.5"/>
        <rFont val="宋体"/>
        <family val="3"/>
        <charset val="134"/>
      </rPr>
      <t>：室温白光条件下放置可稳定至少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IS22037-C</t>
    </r>
    <r>
      <rPr>
        <sz val="10.5"/>
        <rFont val="宋体"/>
        <family val="3"/>
        <charset val="134"/>
      </rPr>
      <t>：室温白光条件下放置可稳定至少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小时；</t>
    </r>
    <phoneticPr fontId="4" type="noConversion"/>
  </si>
  <si>
    <r>
      <rPr>
        <sz val="10.5"/>
        <rFont val="宋体"/>
        <family val="3"/>
        <charset val="134"/>
      </rPr>
      <t>序列号：</t>
    </r>
    <r>
      <rPr>
        <sz val="10.5"/>
        <rFont val="Times New Roman"/>
        <family val="1"/>
      </rPr>
      <t>01663135118349 / 01753401518585</t>
    </r>
    <phoneticPr fontId="4" type="noConversion"/>
  </si>
  <si>
    <t>水</t>
    <phoneticPr fontId="16" type="noConversion"/>
  </si>
  <si>
    <t>屈臣氏</t>
    <phoneticPr fontId="16" type="noConversion"/>
  </si>
  <si>
    <t>NA</t>
    <phoneticPr fontId="16" type="noConversion"/>
  </si>
  <si>
    <t>EQ202003</t>
    <phoneticPr fontId="16" type="noConversion"/>
  </si>
  <si>
    <t>0.0005mg</t>
    <phoneticPr fontId="16" type="noConversion"/>
  </si>
  <si>
    <r>
      <rPr>
        <sz val="10.5"/>
        <rFont val="宋体"/>
        <family val="3"/>
        <charset val="134"/>
      </rPr>
      <t>待测物</t>
    </r>
  </si>
  <si>
    <r>
      <rPr>
        <sz val="10.5"/>
        <rFont val="宋体"/>
        <family val="3"/>
        <charset val="134"/>
      </rPr>
      <t>分析方法</t>
    </r>
  </si>
  <si>
    <r>
      <t>SS24050-BA-001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LC-MS/MS</t>
    </r>
    <r>
      <rPr>
        <sz val="10.5"/>
        <rFont val="宋体"/>
        <family val="3"/>
        <charset val="134"/>
      </rPr>
      <t>法测定猪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血浆中</t>
    </r>
    <r>
      <rPr>
        <sz val="10.5"/>
        <rFont val="Times New Roman"/>
        <family val="1"/>
      </rPr>
      <t>810Z00-T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）浓度</t>
    </r>
    <phoneticPr fontId="4" type="noConversion"/>
  </si>
  <si>
    <r>
      <rPr>
        <sz val="10.5"/>
        <rFont val="宋体"/>
        <family val="3"/>
        <charset val="134"/>
      </rPr>
      <t>设备名称</t>
    </r>
  </si>
  <si>
    <r>
      <rPr>
        <sz val="10.5"/>
        <rFont val="宋体"/>
        <family val="3"/>
        <charset val="134"/>
      </rPr>
      <t>制造商</t>
    </r>
  </si>
  <si>
    <r>
      <rPr>
        <sz val="10.5"/>
        <rFont val="宋体"/>
        <family val="3"/>
        <charset val="134"/>
      </rPr>
      <t>型号</t>
    </r>
  </si>
  <si>
    <r>
      <rPr>
        <sz val="10.5"/>
        <rFont val="宋体"/>
        <family val="3"/>
        <charset val="134"/>
      </rPr>
      <t>高效液相色谱</t>
    </r>
  </si>
  <si>
    <r>
      <rPr>
        <sz val="10.5"/>
        <rFont val="宋体"/>
        <family val="3"/>
        <charset val="134"/>
      </rPr>
      <t>离子源</t>
    </r>
  </si>
  <si>
    <r>
      <t>Turbo-V</t>
    </r>
    <r>
      <rPr>
        <sz val="10.5"/>
        <rFont val="宋体"/>
        <family val="3"/>
        <charset val="134"/>
      </rPr>
      <t>电喷雾离子源</t>
    </r>
  </si>
  <si>
    <r>
      <rPr>
        <sz val="10.5"/>
        <rFont val="宋体"/>
        <family val="3"/>
        <charset val="134"/>
      </rPr>
      <t>检测器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串联质谱</t>
    </r>
  </si>
  <si>
    <r>
      <rPr>
        <sz val="10.5"/>
        <rFont val="宋体"/>
        <family val="3"/>
        <charset val="134"/>
      </rPr>
      <t>分析软件</t>
    </r>
  </si>
  <si>
    <r>
      <rPr>
        <sz val="10.5"/>
        <rFont val="宋体"/>
        <family val="3"/>
        <charset val="134"/>
      </rPr>
      <t>离子化方式</t>
    </r>
  </si>
  <si>
    <r>
      <rPr>
        <sz val="10.5"/>
        <rFont val="宋体"/>
        <family val="3"/>
        <charset val="134"/>
      </rPr>
      <t>电喷雾离子化正离子模式</t>
    </r>
  </si>
  <si>
    <r>
      <rPr>
        <sz val="10.5"/>
        <rFont val="宋体"/>
        <family val="3"/>
        <charset val="134"/>
      </rPr>
      <t>扫描方式</t>
    </r>
  </si>
  <si>
    <r>
      <rPr>
        <sz val="10.5"/>
        <rFont val="宋体"/>
        <family val="3"/>
        <charset val="134"/>
      </rPr>
      <t>多反应监测</t>
    </r>
  </si>
  <si>
    <r>
      <rPr>
        <sz val="10.5"/>
        <rFont val="宋体"/>
        <family val="3"/>
        <charset val="134"/>
      </rPr>
      <t>流动相及流速</t>
    </r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</si>
  <si>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 xml:space="preserve"> 0.5% FA in H</t>
    </r>
    <r>
      <rPr>
        <vertAlign val="subscript"/>
        <sz val="10.5"/>
        <rFont val="Times New Roman"/>
        <family val="1"/>
      </rPr>
      <t>2</t>
    </r>
    <r>
      <rPr>
        <sz val="10.5"/>
        <rFont val="Times New Roman"/>
        <family val="1"/>
      </rPr>
      <t>O</t>
    </r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</si>
  <si>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0.5% FA in ACN</t>
    </r>
  </si>
  <si>
    <r>
      <rPr>
        <sz val="10.5"/>
        <rFont val="宋体"/>
        <family val="3"/>
        <charset val="134"/>
      </rPr>
      <t>柱温</t>
    </r>
  </si>
  <si>
    <r>
      <t xml:space="preserve">55.0 </t>
    </r>
    <r>
      <rPr>
        <sz val="10.5"/>
        <rFont val="宋体"/>
        <family val="3"/>
        <charset val="134"/>
      </rPr>
      <t>℃</t>
    </r>
    <phoneticPr fontId="4" type="noConversion"/>
  </si>
  <si>
    <r>
      <rPr>
        <sz val="10.5"/>
        <rFont val="宋体"/>
        <family val="3"/>
        <charset val="134"/>
      </rPr>
      <t>样品的生物基质</t>
    </r>
  </si>
  <si>
    <r>
      <rPr>
        <sz val="10.5"/>
        <rFont val="宋体"/>
        <family val="3"/>
        <charset val="134"/>
      </rPr>
      <t>巴马小型猪血浆</t>
    </r>
    <phoneticPr fontId="4" type="noConversion"/>
  </si>
  <si>
    <r>
      <rPr>
        <sz val="10.5"/>
        <rFont val="宋体"/>
        <family val="3"/>
        <charset val="134"/>
      </rPr>
      <t>抗凝剂</t>
    </r>
  </si>
  <si>
    <r>
      <rPr>
        <sz val="10.5"/>
        <rFont val="宋体"/>
        <family val="3"/>
        <charset val="134"/>
      </rPr>
      <t>生物基质来源</t>
    </r>
  </si>
  <si>
    <r>
      <rPr>
        <sz val="10.5"/>
        <rFont val="宋体"/>
        <family val="3"/>
        <charset val="134"/>
      </rPr>
      <t>上海益诺思生物技术股份有限公司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益诺思生物技术南通有限公司</t>
    </r>
    <phoneticPr fontId="4" type="noConversion"/>
  </si>
  <si>
    <r>
      <rPr>
        <sz val="10.5"/>
        <rFont val="宋体"/>
        <family val="3"/>
        <charset val="134"/>
      </rPr>
      <t>样品预处理方法</t>
    </r>
  </si>
  <si>
    <r>
      <rPr>
        <sz val="10.5"/>
        <rFont val="宋体"/>
        <family val="3"/>
        <charset val="134"/>
      </rPr>
      <t>进样量</t>
    </r>
  </si>
  <si>
    <r>
      <rPr>
        <sz val="10.5"/>
        <rFont val="宋体"/>
        <family val="3"/>
        <charset val="134"/>
      </rPr>
      <t>定量指标</t>
    </r>
  </si>
  <si>
    <r>
      <rPr>
        <sz val="10.5"/>
        <rFont val="宋体"/>
        <family val="3"/>
        <charset val="134"/>
      </rPr>
      <t>回归方程</t>
    </r>
  </si>
  <si>
    <r>
      <rPr>
        <sz val="10.5"/>
        <rFont val="宋体"/>
        <family val="3"/>
        <charset val="134"/>
      </rPr>
      <t>权重系数</t>
    </r>
  </si>
  <si>
    <r>
      <t>1/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x*x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</si>
  <si>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线性范围</t>
    </r>
  </si>
  <si>
    <r>
      <rPr>
        <sz val="10.5"/>
        <rFont val="宋体"/>
        <family val="3"/>
        <charset val="134"/>
      </rPr>
      <t>最低定量限（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</si>
  <si>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最低质控浓度（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</si>
  <si>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质控浓度（</t>
    </r>
    <r>
      <rPr>
        <sz val="10.5"/>
        <rFont val="Times New Roman"/>
        <family val="1"/>
      </rPr>
      <t>QC</t>
    </r>
    <r>
      <rPr>
        <sz val="10.5"/>
        <rFont val="宋体"/>
        <family val="3"/>
        <charset val="134"/>
      </rPr>
      <t>）</t>
    </r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</si>
  <si>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-70~-90ºC</t>
    </r>
    <r>
      <rPr>
        <sz val="10.5"/>
        <rFont val="宋体"/>
        <family val="3"/>
        <charset val="134"/>
      </rPr>
      <t>至少稳定</t>
    </r>
    <r>
      <rPr>
        <sz val="10.5"/>
        <rFont val="Times New Roman"/>
        <family val="1"/>
      </rPr>
      <t>131</t>
    </r>
    <r>
      <rPr>
        <sz val="10.5"/>
        <rFont val="宋体"/>
        <family val="3"/>
        <charset val="134"/>
      </rPr>
      <t>天（参见</t>
    </r>
    <r>
      <rPr>
        <sz val="10.5"/>
        <rFont val="Times New Roman"/>
        <family val="1"/>
      </rPr>
      <t>22037MV07</t>
    </r>
    <r>
      <rPr>
        <sz val="10.5"/>
        <rFont val="宋体"/>
        <family val="3"/>
        <charset val="134"/>
      </rPr>
      <t xml:space="preserve">）；
</t>
    </r>
    <r>
      <rPr>
        <sz val="10.5"/>
        <rFont val="Times New Roman"/>
        <family val="1"/>
      </rPr>
      <t>IS22037-C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-70~-90ºC</t>
    </r>
    <r>
      <rPr>
        <sz val="10.5"/>
        <rFont val="宋体"/>
        <family val="3"/>
        <charset val="134"/>
      </rPr>
      <t>至少稳定</t>
    </r>
    <r>
      <rPr>
        <sz val="10.5"/>
        <rFont val="Times New Roman"/>
        <family val="1"/>
      </rPr>
      <t>131</t>
    </r>
    <r>
      <rPr>
        <sz val="10.5"/>
        <rFont val="宋体"/>
        <family val="3"/>
        <charset val="134"/>
      </rPr>
      <t>天（参见</t>
    </r>
    <r>
      <rPr>
        <sz val="10.5"/>
        <rFont val="Times New Roman"/>
        <family val="1"/>
      </rPr>
      <t>22037MV07</t>
    </r>
    <r>
      <rPr>
        <sz val="10.5"/>
        <rFont val="宋体"/>
        <family val="3"/>
        <charset val="134"/>
      </rPr>
      <t>）</t>
    </r>
    <phoneticPr fontId="4" type="noConversion"/>
  </si>
  <si>
    <r>
      <t>RESS24050-B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69</t>
    </r>
    <r>
      <rPr>
        <sz val="10.5"/>
        <rFont val="宋体"/>
        <family val="3"/>
        <charset val="134"/>
      </rPr>
      <t xml:space="preserve">天；
</t>
    </r>
    <r>
      <rPr>
        <sz val="10.5"/>
        <rFont val="Times New Roman"/>
        <family val="1"/>
      </rPr>
      <t>IS22037-C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69</t>
    </r>
    <r>
      <rPr>
        <sz val="10.5"/>
        <rFont val="宋体"/>
        <family val="3"/>
        <charset val="134"/>
      </rPr>
      <t>天；</t>
    </r>
    <phoneticPr fontId="4" type="noConversion"/>
  </si>
  <si>
    <r>
      <rPr>
        <sz val="10.5"/>
        <rFont val="宋体"/>
        <family val="3"/>
        <charset val="134"/>
      </rPr>
      <t>处理后样品的稳定性</t>
    </r>
    <r>
      <rPr>
        <sz val="10.5"/>
        <rFont val="Times New Roman"/>
        <family val="1"/>
      </rPr>
      <t xml:space="preserve"> </t>
    </r>
    <phoneticPr fontId="4" type="noConversion"/>
  </si>
  <si>
    <r>
      <rPr>
        <sz val="10.5"/>
        <rFont val="宋体"/>
        <family val="3"/>
        <charset val="134"/>
      </rPr>
      <t>最大分析批进样针数</t>
    </r>
  </si>
  <si>
    <t>表4：选择性考察</t>
  </si>
  <si>
    <r>
      <t>RESS24050-B</t>
    </r>
    <r>
      <rPr>
        <sz val="10.5"/>
        <rFont val="宋体"/>
        <family val="3"/>
        <charset val="134"/>
      </rPr>
      <t>选择性</t>
    </r>
    <phoneticPr fontId="4" type="noConversion"/>
  </si>
  <si>
    <t xml:space="preserve"> </t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</si>
  <si>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3"/>
      </rPr>
      <t>7</t>
    </r>
    <phoneticPr fontId="4" type="noConversion"/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</si>
  <si>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</si>
  <si>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</si>
  <si>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待测物响应值</t>
    </r>
    <phoneticPr fontId="4" type="noConversion"/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</si>
  <si>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</si>
  <si>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</si>
  <si>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符合接受标准的定量下限</t>
    </r>
    <r>
      <rPr>
        <sz val="10.5"/>
        <rFont val="Times New Roman"/>
        <family val="1"/>
      </rPr>
      <t>RESS24050-B</t>
    </r>
    <r>
      <rPr>
        <sz val="10.5"/>
        <rFont val="宋体"/>
        <family val="3"/>
        <charset val="134"/>
      </rPr>
      <t>峰面积（均）值</t>
    </r>
    <phoneticPr fontId="4" type="noConversion"/>
  </si>
  <si>
    <t>干扰 (%）</t>
  </si>
  <si>
    <t>符合接受标准的标曲样品定量下限内标IS22037-C的平均峰面积值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</si>
  <si>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4" type="noConversion"/>
  </si>
  <si>
    <t>KN-BM-23-049 01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</si>
  <si>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</si>
  <si>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t>KN-BM-23-049 02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</si>
  <si>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</si>
  <si>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t>KN-BM-23-049 03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</si>
  <si>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</si>
  <si>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t>KN-BM-23-049 13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</si>
  <si>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</si>
  <si>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t>KN-BM-23-049 14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</si>
  <si>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</si>
  <si>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KN-BM-23-049 15</t>
  </si>
  <si>
    <r>
      <t xml:space="preserve">RESS24050-B </t>
    </r>
    <r>
      <rPr>
        <sz val="10.5"/>
        <rFont val="宋体"/>
        <family val="1"/>
        <charset val="134"/>
      </rPr>
      <t>溶血</t>
    </r>
    <r>
      <rPr>
        <sz val="10.5"/>
        <rFont val="宋体"/>
        <family val="3"/>
        <charset val="134"/>
      </rPr>
      <t>选择性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</si>
  <si>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6</t>
    </r>
    <phoneticPr fontId="4" type="noConversion"/>
  </si>
  <si>
    <t>干扰（%）</t>
  </si>
  <si>
    <t>溶血</t>
    <phoneticPr fontId="4" type="noConversion"/>
  </si>
  <si>
    <t>NA</t>
    <phoneticPr fontId="4" type="noConversion"/>
  </si>
  <si>
    <r>
      <t>RESS24050-B</t>
    </r>
    <r>
      <rPr>
        <sz val="10.5"/>
        <rFont val="宋体"/>
        <family val="3"/>
        <charset val="134"/>
      </rPr>
      <t>选择性 失败考察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</si>
  <si>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3"/>
      </rPr>
      <t>4</t>
    </r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</si>
  <si>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4" type="noConversion"/>
  </si>
  <si>
    <t>待测物RESS24050-B对内标的干扰</t>
  </si>
  <si>
    <r>
      <t xml:space="preserve"> </t>
    </r>
    <r>
      <rPr>
        <sz val="10.5"/>
        <rFont val="宋体"/>
        <family val="3"/>
        <charset val="134"/>
      </rPr>
      <t>检测批次编号</t>
    </r>
    <phoneticPr fontId="4" type="noConversion"/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</si>
  <si>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</si>
  <si>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内标</t>
    </r>
    <r>
      <rPr>
        <sz val="10.5"/>
        <rFont val="Times New Roman"/>
        <family val="1"/>
        <charset val="134"/>
      </rPr>
      <t xml:space="preserve">IS22037-C </t>
    </r>
    <r>
      <rPr>
        <sz val="10.5"/>
        <rFont val="宋体"/>
        <family val="3"/>
        <charset val="134"/>
      </rPr>
      <t>保留时间处的峰面积</t>
    </r>
    <phoneticPr fontId="4" type="noConversion"/>
  </si>
  <si>
    <r>
      <rPr>
        <sz val="10.5"/>
        <rFont val="宋体"/>
        <family val="3"/>
        <charset val="134"/>
      </rPr>
      <t>符合接受标准的标曲样品定量下限的内标</t>
    </r>
    <r>
      <rPr>
        <sz val="10.5"/>
        <rFont val="Times New Roman"/>
        <family val="1"/>
        <charset val="134"/>
      </rPr>
      <t>IS22037-C</t>
    </r>
    <r>
      <rPr>
        <sz val="10.5"/>
        <rFont val="宋体"/>
        <family val="3"/>
        <charset val="134"/>
      </rPr>
      <t>的峰面积（均）值</t>
    </r>
    <phoneticPr fontId="4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</si>
  <si>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  <charset val="134"/>
      </rPr>
      <t xml:space="preserve">IS22037-C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  <charset val="134"/>
      </rPr>
      <t>%</t>
    </r>
    <r>
      <rPr>
        <sz val="10.5"/>
        <rFont val="宋体"/>
        <family val="3"/>
        <charset val="134"/>
      </rPr>
      <t>）</t>
    </r>
    <phoneticPr fontId="4" type="noConversion"/>
  </si>
  <si>
    <t>含定量上限浓度的RESS24050-B 1</t>
  </si>
  <si>
    <t>含定量上限浓度的RESS24050-B 2</t>
  </si>
  <si>
    <t>含定量上限浓度的RESS24050-B 3</t>
  </si>
  <si>
    <t>内标对待测物RESS24050-B的干扰</t>
  </si>
  <si>
    <t>待测物RESS24050-B保留时间处的峰面积</t>
  </si>
  <si>
    <t>符合接受标准的标曲样品定量下限RESS24050-B峰面积（均）值</t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</si>
  <si>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RESS24050-B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4" type="noConversion"/>
  </si>
  <si>
    <t>仅含特定浓度的内标IS22037-C 1</t>
  </si>
  <si>
    <t>仅含特定浓度的内标IS22037-C 2</t>
  </si>
  <si>
    <t>仅含特定浓度的内标IS22037-C 3</t>
  </si>
  <si>
    <t>失败</t>
    <phoneticPr fontId="4" type="noConversion"/>
  </si>
  <si>
    <t>干扰占RESS24050-B
的百分比（%)</t>
  </si>
  <si>
    <t>表9：批内/批间样品检测的精密度和准确度</t>
  </si>
  <si>
    <r>
      <t>RESS24050-B</t>
    </r>
    <r>
      <rPr>
        <sz val="10.5"/>
        <rFont val="宋体"/>
        <family val="3"/>
        <charset val="134"/>
      </rPr>
      <t>（剔除离群值之后）</t>
    </r>
    <phoneticPr fontId="4" type="noConversion"/>
  </si>
  <si>
    <t>#186.366</t>
    <phoneticPr fontId="4" type="noConversion"/>
  </si>
  <si>
    <t>#65.899</t>
  </si>
  <si>
    <t>#177.098</t>
    <phoneticPr fontId="4" type="noConversion"/>
  </si>
  <si>
    <r>
      <rPr>
        <sz val="10.5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</si>
  <si>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</si>
  <si>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t>批内CV（%）</t>
  </si>
  <si>
    <t>批内准确度偏差（%）</t>
  </si>
  <si>
    <t>#62.188</t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</si>
  <si>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4" type="noConversion"/>
  </si>
  <si>
    <r>
      <rPr>
        <sz val="10.5"/>
        <rFont val="宋体"/>
        <family val="3"/>
        <charset val="134"/>
      </rPr>
      <t>批内</t>
    </r>
    <phoneticPr fontId="4" type="noConversion"/>
  </si>
  <si>
    <t>Max</t>
    <phoneticPr fontId="4" type="noConversion"/>
  </si>
  <si>
    <t>Min</t>
    <phoneticPr fontId="4" type="noConversion"/>
  </si>
  <si>
    <t>%Bias</t>
    <phoneticPr fontId="4" type="noConversion"/>
  </si>
  <si>
    <t>%CV</t>
    <phoneticPr fontId="4" type="noConversion"/>
  </si>
  <si>
    <t>#62.280</t>
  </si>
  <si>
    <t>#63.267</t>
  </si>
  <si>
    <r>
      <rPr>
        <sz val="10.5"/>
        <rFont val="宋体"/>
        <family val="3"/>
        <charset val="134"/>
      </rPr>
      <t>批间</t>
    </r>
    <phoneticPr fontId="4" type="noConversion"/>
  </si>
  <si>
    <t>批内CV (%)</t>
  </si>
  <si>
    <t>批内准确度偏差 (%)</t>
  </si>
  <si>
    <t>LLOQ</t>
    <phoneticPr fontId="4" type="noConversion"/>
  </si>
  <si>
    <t>*358.106</t>
    <phoneticPr fontId="4" type="noConversion"/>
  </si>
  <si>
    <t>#64.172</t>
  </si>
  <si>
    <t>#8634.063</t>
    <phoneticPr fontId="4" type="noConversion"/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</si>
  <si>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</si>
  <si>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</si>
  <si>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t>批间CV (%)</t>
  </si>
  <si>
    <t>批间准确度偏差 (%)</t>
  </si>
  <si>
    <r>
      <t>*</t>
    </r>
    <r>
      <rPr>
        <sz val="10.5"/>
        <rFont val="宋体"/>
        <family val="3"/>
        <charset val="134"/>
      </rPr>
      <t>表示不符合接受标准，为离群值不参与统计计算</t>
    </r>
    <phoneticPr fontId="4" type="noConversion"/>
  </si>
  <si>
    <r>
      <t>RESS24050-B</t>
    </r>
    <r>
      <rPr>
        <sz val="10.5"/>
        <rFont val="宋体"/>
        <family val="3"/>
        <charset val="134"/>
      </rPr>
      <t>（剔除离群值之前）</t>
    </r>
    <phoneticPr fontId="4" type="noConversion"/>
  </si>
  <si>
    <t>#186.366</t>
  </si>
  <si>
    <t>#177.098</t>
  </si>
  <si>
    <t>#358.106</t>
  </si>
  <si>
    <t>#8634.063</t>
  </si>
  <si>
    <t>#13.296</t>
  </si>
  <si>
    <t>#114.221</t>
    <phoneticPr fontId="4" type="noConversion"/>
  </si>
  <si>
    <t>#39.842</t>
  </si>
  <si>
    <t>#118.895</t>
    <phoneticPr fontId="4" type="noConversion"/>
  </si>
  <si>
    <t>#25.993</t>
  </si>
  <si>
    <t>#8825.161</t>
  </si>
  <si>
    <t>#1416.855</t>
  </si>
  <si>
    <t>#9718.989</t>
  </si>
  <si>
    <t>#22914.057</t>
  </si>
  <si>
    <t>#38.916</t>
  </si>
  <si>
    <t>#177.933</t>
    <phoneticPr fontId="4" type="noConversion"/>
  </si>
  <si>
    <t>#1522.868</t>
  </si>
  <si>
    <t>#10054.674</t>
  </si>
  <si>
    <t>#22951.067</t>
  </si>
  <si>
    <t>#93.726</t>
  </si>
  <si>
    <t>#180.540</t>
    <phoneticPr fontId="4" type="noConversion"/>
  </si>
  <si>
    <t>#1404.319</t>
  </si>
  <si>
    <t>#9039.128</t>
  </si>
  <si>
    <t>#22618.620</t>
  </si>
  <si>
    <r>
      <rPr>
        <sz val="10.5"/>
        <rFont val="宋体"/>
        <family val="3"/>
        <charset val="134"/>
      </rPr>
      <t>注：拒绝原因见表</t>
    </r>
    <r>
      <rPr>
        <sz val="10.5"/>
        <rFont val="Times New Roman"/>
        <family val="1"/>
      </rPr>
      <t>1</t>
    </r>
    <phoneticPr fontId="4" type="noConversion"/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</si>
  <si>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16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</si>
  <si>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</si>
  <si>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平均值</t>
    </r>
    <phoneticPr fontId="58" type="noConversion"/>
  </si>
  <si>
    <t>提取回收率（%）</t>
  </si>
  <si>
    <r>
      <rPr>
        <sz val="10.5"/>
        <rFont val="宋体"/>
        <family val="3"/>
        <charset val="134"/>
      </rPr>
      <t>未提取的峰面积比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</si>
  <si>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提取后峰面积比</t>
    </r>
    <phoneticPr fontId="58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</si>
  <si>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</si>
  <si>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</si>
  <si>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t>提取后峰面积比</t>
    <phoneticPr fontId="16" type="noConversion"/>
  </si>
  <si>
    <t>MQC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</si>
  <si>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5</t>
    </r>
    <phoneticPr fontId="16" type="noConversion"/>
  </si>
  <si>
    <t>表11：待测物提取回收率：以待测物与内标的峰面积比计</t>
    <phoneticPr fontId="4" type="noConversion"/>
  </si>
  <si>
    <t>1632MV7 Extracted IS 6</t>
  </si>
  <si>
    <t>1632MV7 Extracted IS 5</t>
  </si>
  <si>
    <t>1632MV7 Extracted IS 4</t>
  </si>
  <si>
    <t>1632MV7 Extracted IS 3</t>
  </si>
  <si>
    <t>1632MV7 Extracted IS 2</t>
  </si>
  <si>
    <t>1632MV7 Extracted IS 1</t>
  </si>
  <si>
    <t>1632MV7 Unextracted Mid 6</t>
  </si>
  <si>
    <t>1632MV7 Unextracted Mid 5</t>
  </si>
  <si>
    <t>1632MV7 Unextracted Mid 4</t>
  </si>
  <si>
    <t>1632MV7 Unextracted Mid 3</t>
  </si>
  <si>
    <t>1632MV7 Unextracted Mid 2</t>
  </si>
  <si>
    <t>1632MV7 Unextracted Mid 1</t>
  </si>
  <si>
    <t>SS24050BV01 Extracted IS 6</t>
  </si>
  <si>
    <t>SS24050BV01 Extracted IS 5</t>
  </si>
  <si>
    <t>SS24050BV01 Extracted IS 4</t>
  </si>
  <si>
    <t>SS24050BV01 Extracted IS 3</t>
  </si>
  <si>
    <t>SS24050BV01 Extracted IS 2</t>
  </si>
  <si>
    <t>SS24050BV01 Extracted IS 1</t>
  </si>
  <si>
    <t>SS24050BV01 Unextracted Mid 6</t>
  </si>
  <si>
    <t>SS24050BV01 Unextracted Mid 5</t>
  </si>
  <si>
    <t>SS24050BV01 Unextracted Mid 4</t>
  </si>
  <si>
    <t>SS24050BV01 Unextracted Mid 3</t>
  </si>
  <si>
    <t>SS24050BV01 Unextracted Mid 2</t>
  </si>
  <si>
    <t>SS24050BV01 Unextracted Mid 1</t>
  </si>
  <si>
    <r>
      <rPr>
        <sz val="10.5"/>
        <rFont val="宋体"/>
        <family val="3"/>
        <charset val="134"/>
      </rPr>
      <t>未提取内标峰面积比</t>
    </r>
  </si>
  <si>
    <r>
      <rPr>
        <sz val="10.5"/>
        <rFont val="宋体"/>
        <family val="3"/>
        <charset val="134"/>
      </rPr>
      <t>提取后内标峰面积比</t>
    </r>
  </si>
  <si>
    <r>
      <rPr>
        <sz val="10.5"/>
        <rFont val="宋体"/>
        <family val="3"/>
        <charset val="134"/>
      </rPr>
      <t>工作液浓度：</t>
    </r>
    <r>
      <rPr>
        <sz val="10.5"/>
        <rFont val="Times New Roman"/>
        <family val="1"/>
      </rPr>
      <t>250.000 ng/mL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</si>
  <si>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5</t>
    </r>
    <phoneticPr fontId="4" type="noConversion"/>
  </si>
  <si>
    <t>表12：内标回收率：以内标与提取待测物的峰面积比计</t>
  </si>
  <si>
    <t>pg/mL</t>
    <phoneticPr fontId="4" type="noConversion"/>
  </si>
  <si>
    <r>
      <t>DQC(</t>
    </r>
    <r>
      <rPr>
        <sz val="10.5"/>
        <rFont val="宋体"/>
        <family val="3"/>
        <charset val="134"/>
      </rPr>
      <t>稀释倍数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倍）</t>
    </r>
    <phoneticPr fontId="4" type="noConversion"/>
  </si>
  <si>
    <t>RESS24050-B</t>
  </si>
  <si>
    <t>表13：稀释可靠性</t>
  </si>
  <si>
    <r>
      <rPr>
        <sz val="10.5"/>
        <rFont val="宋体"/>
        <family val="3"/>
        <charset val="134"/>
      </rPr>
      <t>样品放置结束时间：</t>
    </r>
  </si>
  <si>
    <r>
      <rPr>
        <sz val="10.5"/>
        <rFont val="宋体"/>
        <family val="3"/>
        <charset val="134"/>
      </rPr>
      <t>试验条件：在室温白光下放置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小时的短期稳定性</t>
    </r>
    <phoneticPr fontId="4" type="noConversion"/>
  </si>
  <si>
    <r>
      <rPr>
        <sz val="10.5"/>
        <rFont val="宋体"/>
        <family val="3"/>
        <charset val="134"/>
      </rPr>
      <t>样品放置开始时间：</t>
    </r>
  </si>
  <si>
    <r>
      <t>RESS24050-B</t>
    </r>
    <r>
      <rPr>
        <sz val="10.5"/>
        <rFont val="宋体"/>
        <family val="1"/>
        <charset val="134"/>
      </rPr>
      <t>（失败）</t>
    </r>
    <phoneticPr fontId="4" type="noConversion"/>
  </si>
  <si>
    <r>
      <rPr>
        <sz val="10.5"/>
        <rFont val="宋体"/>
        <family val="3"/>
        <charset val="134"/>
      </rPr>
      <t>试验条件：在室温白光下放置</t>
    </r>
    <r>
      <rPr>
        <sz val="10.5"/>
        <rFont val="Times New Roman"/>
        <family val="1"/>
      </rPr>
      <t>17</t>
    </r>
    <r>
      <rPr>
        <sz val="10.5"/>
        <rFont val="宋体"/>
        <family val="3"/>
        <charset val="134"/>
      </rPr>
      <t>小时的短期稳定性</t>
    </r>
    <phoneticPr fontId="4" type="noConversion"/>
  </si>
  <si>
    <t xml:space="preserve">表18：生物样品前处理过程中的短期稳定性 </t>
  </si>
  <si>
    <r>
      <t>4</t>
    </r>
    <r>
      <rPr>
        <sz val="10.5"/>
        <rFont val="宋体"/>
        <family val="3"/>
        <charset val="134"/>
      </rPr>
      <t>次</t>
    </r>
    <phoneticPr fontId="4" type="noConversion"/>
  </si>
  <si>
    <r>
      <rPr>
        <sz val="10.5"/>
        <rFont val="宋体"/>
        <family val="3"/>
        <charset val="134"/>
      </rPr>
      <t>冻融循环次数</t>
    </r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</si>
  <si>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小时，在室温白光条件下融化。</t>
    </r>
    <phoneticPr fontId="4" type="noConversion"/>
  </si>
  <si>
    <t>表19：冻融稳定性</t>
  </si>
  <si>
    <t>放置时间：</t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</si>
  <si>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</si>
  <si>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</si>
  <si>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103</t>
    </r>
    <r>
      <rPr>
        <sz val="10.5"/>
        <rFont val="宋体"/>
        <family val="3"/>
        <charset val="134"/>
      </rPr>
      <t>小时的稳定性</t>
    </r>
    <phoneticPr fontId="4" type="noConversion"/>
  </si>
  <si>
    <t>表20：处理后样品的稳定性</t>
  </si>
  <si>
    <t>差异（%）</t>
  </si>
  <si>
    <r>
      <t>T</t>
    </r>
    <r>
      <rPr>
        <vertAlign val="subscript"/>
        <sz val="10.5"/>
        <rFont val="Times New Roman"/>
        <family val="1"/>
      </rPr>
      <t>0</t>
    </r>
  </si>
  <si>
    <r>
      <t>T</t>
    </r>
    <r>
      <rPr>
        <vertAlign val="subscript"/>
        <sz val="10.5"/>
        <rFont val="Times New Roman"/>
        <family val="1"/>
      </rPr>
      <t>x</t>
    </r>
    <phoneticPr fontId="4" type="noConversion"/>
  </si>
  <si>
    <r>
      <rPr>
        <sz val="10.5"/>
        <rFont val="宋体"/>
        <family val="3"/>
        <charset val="134"/>
      </rPr>
      <t>待测物与内标的峰面积比</t>
    </r>
    <phoneticPr fontId="4" type="noConversion"/>
  </si>
  <si>
    <r>
      <rPr>
        <sz val="10.5"/>
        <rFont val="宋体"/>
        <family val="3"/>
        <charset val="134"/>
      </rPr>
      <t>浓度</t>
    </r>
    <phoneticPr fontId="4" type="noConversion"/>
  </si>
  <si>
    <r>
      <rPr>
        <sz val="10.5"/>
        <rFont val="宋体"/>
        <family val="3"/>
        <charset val="134"/>
      </rPr>
      <t>样品编号</t>
    </r>
  </si>
  <si>
    <t>试验条件：全血样品在冰浴白光下放置1小时后的稳定性</t>
    <phoneticPr fontId="4" type="noConversion"/>
  </si>
  <si>
    <t>表22：全血稳定性</t>
  </si>
  <si>
    <t>表23：溶血效应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</si>
</sst>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.0"/>
    <numFmt numFmtId="177" formatCode="0.000"/>
    <numFmt numFmtId="178" formatCode="0.000000"/>
    <numFmt numFmtId="179" formatCode="yyyy/mm/dd"/>
    <numFmt numFmtId="180" formatCode="0.0000"/>
    <numFmt numFmtId="181" formatCode="0;_愀"/>
    <numFmt numFmtId="182" formatCode="0.0;_愀"/>
    <numFmt numFmtId="183" formatCode="0.000_ "/>
    <numFmt numFmtId="184" formatCode="0.000000_ "/>
    <numFmt numFmtId="185" formatCode="yyyy/mm/dd\ hh:mm"/>
    <numFmt numFmtId="186" formatCode="0.00;[Red]0.00"/>
    <numFmt numFmtId="187" formatCode="\'\-0"/>
    <numFmt numFmtId="188" formatCode="0.0%"/>
    <numFmt numFmtId="189" formatCode="0.0000000"/>
    <numFmt numFmtId="190" formatCode="0.00000000"/>
    <numFmt numFmtId="191" formatCode="0.0_ "/>
    <numFmt numFmtId="192" formatCode="0_ "/>
  </numFmts>
  <fonts count="59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9"/>
      <name val="DengXian"/>
      <family val="3"/>
      <charset val="134"/>
      <scheme val="minor"/>
    </font>
    <font>
      <sz val="10.5"/>
      <color theme="1"/>
      <name val="DengXian"/>
      <family val="2"/>
    </font>
    <font>
      <sz val="11"/>
      <color theme="1"/>
      <name val="DengXian"/>
      <family val="2"/>
    </font>
    <font>
      <sz val="11"/>
      <color theme="1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color rgb="FF9C0006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charset val="134"/>
      <scheme val="minor"/>
    </font>
    <font>
      <sz val="10.5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0.5"/>
      <name val="宋体"/>
      <family val="1"/>
      <charset val="134"/>
    </font>
    <font>
      <vertAlign val="superscript"/>
      <sz val="10.5"/>
      <name val="Times New Roman"/>
      <family val="1"/>
    </font>
    <font>
      <sz val="9"/>
      <name val="DengXian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name val="DengXian"/>
      <family val="2"/>
      <scheme val="minor"/>
    </font>
    <font>
      <sz val="11"/>
      <name val="宋体"/>
      <family val="2"/>
    </font>
    <font>
      <sz val="10.5"/>
      <name val="Times New Roman"/>
      <family val="3"/>
    </font>
    <font>
      <b/>
      <sz val="10.5"/>
      <name val="Times New Roman"/>
      <family val="1"/>
    </font>
    <font>
      <sz val="10.5"/>
      <color rgb="FF000000"/>
      <name val="宋体"/>
      <family val="3"/>
      <charset val="134"/>
    </font>
    <font>
      <sz val="10.5"/>
      <name val="Times New Roman"/>
      <family val="1"/>
      <charset val="134"/>
    </font>
    <font>
      <sz val="9"/>
      <name val="DengXi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</borders>
  <cellStyleXfs count="112">
    <xf numFmtId="0" fontId="0" fillId="0" borderId="0"/>
    <xf numFmtId="0" fontId="7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14" fillId="0" borderId="0"/>
    <xf numFmtId="0" fontId="3" fillId="0" borderId="0"/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/>
    <xf numFmtId="0" fontId="19" fillId="0" borderId="0"/>
    <xf numFmtId="0" fontId="14" fillId="0" borderId="0"/>
    <xf numFmtId="0" fontId="22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6" borderId="0" applyNumberFormat="0" applyBorder="0" applyAlignment="0" applyProtection="0"/>
    <xf numFmtId="0" fontId="23" fillId="10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4" fillId="7" borderId="0" applyNumberFormat="0" applyBorder="0" applyAlignment="0" applyProtection="0"/>
    <xf numFmtId="0" fontId="24" fillId="11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4" borderId="0" applyNumberFormat="0" applyBorder="0" applyAlignment="0" applyProtection="0"/>
    <xf numFmtId="0" fontId="24" fillId="8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5" fillId="2" borderId="0" applyNumberFormat="0" applyBorder="0" applyAlignment="0" applyProtection="0"/>
    <xf numFmtId="0" fontId="26" fillId="30" borderId="23" applyNumberFormat="0" applyAlignment="0" applyProtection="0"/>
    <xf numFmtId="0" fontId="27" fillId="31" borderId="26" applyNumberFormat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2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33" fillId="29" borderId="23" applyNumberFormat="0" applyAlignment="0" applyProtection="0"/>
    <xf numFmtId="0" fontId="34" fillId="0" borderId="25" applyNumberFormat="0" applyFill="0" applyAlignment="0" applyProtection="0"/>
    <xf numFmtId="0" fontId="35" fillId="28" borderId="0" applyNumberFormat="0" applyBorder="0" applyAlignment="0" applyProtection="0"/>
    <xf numFmtId="0" fontId="23" fillId="32" borderId="27" applyNumberFormat="0" applyFont="0" applyAlignment="0" applyProtection="0"/>
    <xf numFmtId="0" fontId="36" fillId="30" borderId="24" applyNumberFormat="0" applyAlignment="0" applyProtection="0"/>
    <xf numFmtId="0" fontId="37" fillId="0" borderId="0" applyNumberFormat="0" applyFill="0" applyBorder="0" applyAlignment="0" applyProtection="0"/>
    <xf numFmtId="0" fontId="38" fillId="0" borderId="28" applyNumberFormat="0" applyFill="0" applyAlignment="0" applyProtection="0"/>
    <xf numFmtId="0" fontId="39" fillId="0" borderId="0" applyNumberFormat="0" applyFill="0" applyBorder="0" applyAlignment="0" applyProtection="0"/>
    <xf numFmtId="0" fontId="4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>
      <alignment vertical="center"/>
    </xf>
    <xf numFmtId="0" fontId="21" fillId="2" borderId="0" applyNumberFormat="0" applyBorder="0" applyAlignment="0" applyProtection="0"/>
    <xf numFmtId="0" fontId="8" fillId="2" borderId="0" applyNumberFormat="0" applyBorder="0" applyAlignment="0" applyProtection="0"/>
    <xf numFmtId="9" fontId="14" fillId="0" borderId="0" applyFont="0" applyFill="0" applyBorder="0" applyAlignment="0" applyProtection="0"/>
    <xf numFmtId="0" fontId="44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3" fillId="0" borderId="0"/>
    <xf numFmtId="9" fontId="2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50" fillId="0" borderId="0">
      <alignment vertical="center"/>
    </xf>
    <xf numFmtId="0" fontId="2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50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/>
    <xf numFmtId="0" fontId="19" fillId="0" borderId="0"/>
  </cellStyleXfs>
  <cellXfs count="266">
    <xf numFmtId="0" fontId="0" fillId="0" borderId="0" xfId="0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justify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justify" wrapText="1"/>
    </xf>
    <xf numFmtId="0" fontId="10" fillId="0" borderId="1" xfId="0" applyFont="1" applyBorder="1" applyAlignment="1">
      <alignment horizontal="justify" wrapText="1"/>
    </xf>
    <xf numFmtId="0" fontId="4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wrapText="1"/>
    </xf>
    <xf numFmtId="188" fontId="12" fillId="0" borderId="1" xfId="0" applyNumberFormat="1" applyFont="1" applyBorder="1" applyAlignment="1">
      <alignment horizontal="justify" wrapText="1"/>
    </xf>
    <xf numFmtId="49" fontId="12" fillId="0" borderId="1" xfId="0" applyNumberFormat="1" applyFont="1" applyBorder="1" applyAlignment="1">
      <alignment horizontal="justify" wrapText="1"/>
    </xf>
    <xf numFmtId="0" fontId="5" fillId="0" borderId="1" xfId="0" applyFont="1" applyBorder="1" applyAlignment="1">
      <alignment horizontal="left" wrapText="1"/>
    </xf>
    <xf numFmtId="179" fontId="12" fillId="0" borderId="1" xfId="0" applyNumberFormat="1" applyFont="1" applyBorder="1" applyAlignment="1">
      <alignment horizontal="justify" wrapText="1"/>
    </xf>
    <xf numFmtId="179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88" fontId="12" fillId="0" borderId="6" xfId="89" applyNumberFormat="1" applyFont="1" applyFill="1" applyBorder="1" applyAlignment="1">
      <alignment horizontal="left" vertical="center" wrapText="1"/>
    </xf>
    <xf numFmtId="188" fontId="12" fillId="0" borderId="1" xfId="89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5" fillId="0" borderId="0" xfId="0" applyFont="1"/>
    <xf numFmtId="0" fontId="51" fillId="0" borderId="0" xfId="0" applyFont="1"/>
    <xf numFmtId="0" fontId="5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179" fontId="12" fillId="0" borderId="1" xfId="0" applyNumberFormat="1" applyFont="1" applyBorder="1" applyAlignment="1">
      <alignment horizontal="justify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4" fontId="12" fillId="0" borderId="0" xfId="0" applyNumberFormat="1" applyFont="1"/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 wrapText="1"/>
    </xf>
    <xf numFmtId="0" fontId="12" fillId="0" borderId="1" xfId="108" applyFont="1" applyBorder="1" applyAlignment="1" applyProtection="1">
      <alignment horizontal="center" vertical="center"/>
      <protection locked="0"/>
    </xf>
    <xf numFmtId="0" fontId="12" fillId="0" borderId="1" xfId="85" applyFont="1" applyBorder="1" applyAlignment="1" applyProtection="1">
      <alignment horizontal="center" vertical="center"/>
      <protection locked="0"/>
    </xf>
    <xf numFmtId="0" fontId="12" fillId="0" borderId="1" xfId="9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51" fillId="0" borderId="0" xfId="109" applyFont="1" applyAlignment="1" applyProtection="1">
      <alignment horizontal="left" vertical="center"/>
      <protection locked="0"/>
    </xf>
    <xf numFmtId="0" fontId="12" fillId="0" borderId="4" xfId="0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/>
    </xf>
    <xf numFmtId="189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190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" fontId="53" fillId="0" borderId="0" xfId="0" applyNumberFormat="1" applyFont="1"/>
    <xf numFmtId="0" fontId="12" fillId="0" borderId="0" xfId="0" applyFont="1" applyAlignment="1">
      <alignment horizontal="center" vertical="center"/>
    </xf>
    <xf numFmtId="183" fontId="12" fillId="0" borderId="2" xfId="0" applyNumberFormat="1" applyFont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83" fontId="12" fillId="0" borderId="2" xfId="0" applyNumberFormat="1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77" fontId="12" fillId="0" borderId="1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8" fontId="12" fillId="0" borderId="1" xfId="2" applyNumberFormat="1" applyFont="1" applyBorder="1" applyAlignment="1">
      <alignment horizontal="center" vertical="center" wrapText="1"/>
    </xf>
    <xf numFmtId="176" fontId="12" fillId="0" borderId="1" xfId="2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85" fontId="12" fillId="0" borderId="0" xfId="0" applyNumberFormat="1" applyFont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183" fontId="12" fillId="0" borderId="1" xfId="0" applyNumberFormat="1" applyFont="1" applyBorder="1" applyAlignment="1">
      <alignment horizontal="center" vertical="center" wrapText="1"/>
    </xf>
    <xf numFmtId="184" fontId="12" fillId="0" borderId="19" xfId="0" applyNumberFormat="1" applyFont="1" applyBorder="1" applyAlignment="1">
      <alignment horizontal="center" vertical="center"/>
    </xf>
    <xf numFmtId="184" fontId="12" fillId="0" borderId="17" xfId="0" applyNumberFormat="1" applyFont="1" applyBorder="1" applyAlignment="1">
      <alignment horizontal="center" vertical="center"/>
    </xf>
    <xf numFmtId="184" fontId="12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179" fontId="12" fillId="0" borderId="0" xfId="0" applyNumberFormat="1" applyFont="1" applyAlignment="1">
      <alignment horizontal="left" vertical="center" wrapText="1"/>
    </xf>
    <xf numFmtId="0" fontId="12" fillId="0" borderId="15" xfId="0" applyFont="1" applyBorder="1" applyAlignment="1">
      <alignment horizontal="right"/>
    </xf>
    <xf numFmtId="1" fontId="12" fillId="0" borderId="13" xfId="0" applyNumberFormat="1" applyFont="1" applyBorder="1"/>
    <xf numFmtId="0" fontId="12" fillId="0" borderId="16" xfId="0" applyFont="1" applyBorder="1" applyAlignment="1">
      <alignment horizontal="right"/>
    </xf>
    <xf numFmtId="1" fontId="12" fillId="0" borderId="0" xfId="0" applyNumberFormat="1" applyFont="1"/>
    <xf numFmtId="0" fontId="12" fillId="0" borderId="14" xfId="0" applyFont="1" applyBorder="1" applyAlignment="1">
      <alignment horizontal="right"/>
    </xf>
    <xf numFmtId="1" fontId="12" fillId="0" borderId="7" xfId="0" applyNumberFormat="1" applyFont="1" applyBorder="1"/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40" fillId="0" borderId="0" xfId="0" applyFont="1"/>
    <xf numFmtId="0" fontId="12" fillId="0" borderId="13" xfId="0" applyFont="1" applyBorder="1" applyAlignment="1">
      <alignment vertical="center"/>
    </xf>
    <xf numFmtId="191" fontId="12" fillId="0" borderId="1" xfId="0" applyNumberFormat="1" applyFont="1" applyBorder="1" applyAlignment="1">
      <alignment horizontal="center" vertical="center" wrapText="1"/>
    </xf>
    <xf numFmtId="191" fontId="55" fillId="0" borderId="1" xfId="0" applyNumberFormat="1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justify" wrapText="1"/>
    </xf>
    <xf numFmtId="0" fontId="5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40" fillId="0" borderId="4" xfId="0" applyFont="1" applyBorder="1" applyAlignment="1">
      <alignment horizontal="center" vertical="center" wrapText="1"/>
    </xf>
    <xf numFmtId="0" fontId="56" fillId="33" borderId="1" xfId="0" applyFont="1" applyFill="1" applyBorder="1" applyAlignment="1">
      <alignment horizontal="left" vertical="center" wrapText="1"/>
    </xf>
    <xf numFmtId="0" fontId="10" fillId="3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87" fontId="43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81" fontId="12" fillId="0" borderId="2" xfId="0" applyNumberFormat="1" applyFont="1" applyBorder="1" applyAlignment="1">
      <alignment horizontal="center" vertical="center" wrapText="1"/>
    </xf>
    <xf numFmtId="181" fontId="12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91" fontId="12" fillId="0" borderId="10" xfId="0" applyNumberFormat="1" applyFont="1" applyBorder="1" applyAlignment="1">
      <alignment horizontal="center" vertical="center" wrapText="1"/>
    </xf>
    <xf numFmtId="191" fontId="12" fillId="0" borderId="11" xfId="0" applyNumberFormat="1" applyFont="1" applyBorder="1" applyAlignment="1">
      <alignment horizontal="center" vertical="center" wrapText="1"/>
    </xf>
    <xf numFmtId="191" fontId="12" fillId="0" borderId="12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179" fontId="1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79" fontId="12" fillId="0" borderId="2" xfId="0" applyNumberFormat="1" applyFont="1" applyBorder="1" applyAlignment="1">
      <alignment horizontal="center" vertical="center"/>
    </xf>
    <xf numFmtId="179" fontId="12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left" vertical="center" wrapText="1"/>
      <protection locked="0"/>
    </xf>
    <xf numFmtId="0" fontId="12" fillId="0" borderId="13" xfId="0" applyFont="1" applyBorder="1" applyAlignment="1" applyProtection="1">
      <alignment horizontal="left" vertical="center" wrapText="1"/>
      <protection locked="0"/>
    </xf>
    <xf numFmtId="179" fontId="6" fillId="0" borderId="2" xfId="0" applyNumberFormat="1" applyFont="1" applyBorder="1" applyAlignment="1">
      <alignment horizontal="center" vertical="center"/>
    </xf>
    <xf numFmtId="179" fontId="6" fillId="0" borderId="9" xfId="0" applyNumberFormat="1" applyFont="1" applyBorder="1" applyAlignment="1">
      <alignment horizontal="center" vertical="center"/>
    </xf>
    <xf numFmtId="179" fontId="6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/>
    </xf>
    <xf numFmtId="0" fontId="40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0" xfId="0" applyFont="1" applyFill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justify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1" xfId="26" applyFont="1" applyFill="1" applyBorder="1" applyAlignment="1">
      <alignment horizontal="justify" vertical="center" wrapText="1"/>
    </xf>
    <xf numFmtId="0" fontId="12" fillId="0" borderId="1" xfId="0" quotePrefix="1" applyFont="1" applyFill="1" applyBorder="1" applyAlignment="1">
      <alignment horizontal="left" vertical="center" wrapText="1"/>
    </xf>
    <xf numFmtId="188" fontId="12" fillId="0" borderId="6" xfId="0" applyNumberFormat="1" applyFont="1" applyFill="1" applyBorder="1" applyAlignment="1">
      <alignment horizontal="left" vertical="center" wrapText="1"/>
    </xf>
    <xf numFmtId="10" fontId="12" fillId="0" borderId="1" xfId="0" applyNumberFormat="1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right" vertical="center"/>
    </xf>
    <xf numFmtId="0" fontId="40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191" fontId="12" fillId="0" borderId="1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40" fillId="0" borderId="0" xfId="3" applyFont="1"/>
    <xf numFmtId="0" fontId="40" fillId="0" borderId="1" xfId="0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0" fontId="12" fillId="0" borderId="1" xfId="110" applyFont="1" applyFill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191" fontId="12" fillId="0" borderId="2" xfId="0" applyNumberFormat="1" applyFont="1" applyBorder="1" applyAlignment="1">
      <alignment horizontal="center" vertical="center"/>
    </xf>
    <xf numFmtId="191" fontId="12" fillId="0" borderId="9" xfId="0" applyNumberFormat="1" applyFont="1" applyBorder="1" applyAlignment="1">
      <alignment horizontal="center" vertical="center"/>
    </xf>
    <xf numFmtId="191" fontId="12" fillId="0" borderId="3" xfId="0" applyNumberFormat="1" applyFont="1" applyBorder="1" applyAlignment="1">
      <alignment horizontal="center" vertical="center"/>
    </xf>
    <xf numFmtId="0" fontId="12" fillId="0" borderId="0" xfId="110" applyFont="1" applyFill="1" applyBorder="1" applyAlignment="1">
      <alignment horizontal="center" vertical="center" wrapText="1"/>
    </xf>
    <xf numFmtId="0" fontId="12" fillId="0" borderId="0" xfId="110" applyFont="1" applyFill="1" applyBorder="1" applyAlignment="1">
      <alignment horizontal="center" vertical="center"/>
    </xf>
    <xf numFmtId="192" fontId="12" fillId="0" borderId="0" xfId="0" applyNumberFormat="1" applyFont="1" applyAlignment="1">
      <alignment horizontal="center" vertical="center"/>
    </xf>
    <xf numFmtId="191" fontId="12" fillId="0" borderId="0" xfId="0" applyNumberFormat="1" applyFont="1" applyAlignment="1">
      <alignment horizontal="center" vertical="center"/>
    </xf>
    <xf numFmtId="0" fontId="40" fillId="0" borderId="1" xfId="110" applyFont="1" applyFill="1" applyBorder="1" applyAlignment="1">
      <alignment horizontal="center" vertical="center"/>
    </xf>
    <xf numFmtId="0" fontId="47" fillId="0" borderId="0" xfId="3" applyFont="1"/>
    <xf numFmtId="0" fontId="12" fillId="0" borderId="7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9" fontId="12" fillId="0" borderId="2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77" fontId="12" fillId="0" borderId="1" xfId="0" applyNumberFormat="1" applyFont="1" applyBorder="1" applyAlignment="1" applyProtection="1">
      <alignment horizontal="center" vertical="center"/>
      <protection locked="0"/>
    </xf>
    <xf numFmtId="176" fontId="12" fillId="0" borderId="1" xfId="0" applyNumberFormat="1" applyFont="1" applyBorder="1" applyAlignment="1" applyProtection="1">
      <alignment horizontal="center" vertical="center"/>
      <protection locked="0"/>
    </xf>
    <xf numFmtId="179" fontId="12" fillId="0" borderId="9" xfId="0" applyNumberFormat="1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17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176" fontId="12" fillId="0" borderId="0" xfId="0" applyNumberFormat="1" applyFont="1" applyAlignment="1">
      <alignment horizontal="center" vertical="center"/>
    </xf>
    <xf numFmtId="176" fontId="12" fillId="0" borderId="10" xfId="0" applyNumberFormat="1" applyFont="1" applyBorder="1" applyAlignment="1" applyProtection="1">
      <alignment horizontal="center" vertical="center" wrapText="1"/>
      <protection locked="0"/>
    </xf>
    <xf numFmtId="176" fontId="12" fillId="0" borderId="11" xfId="0" applyNumberFormat="1" applyFont="1" applyBorder="1" applyAlignment="1" applyProtection="1">
      <alignment horizontal="center" vertical="center" wrapText="1"/>
      <protection locked="0"/>
    </xf>
    <xf numFmtId="176" fontId="12" fillId="0" borderId="12" xfId="0" applyNumberFormat="1" applyFont="1" applyBorder="1" applyAlignment="1" applyProtection="1">
      <alignment horizontal="center" vertical="center" wrapText="1"/>
      <protection locked="0"/>
    </xf>
    <xf numFmtId="179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47" fillId="0" borderId="0" xfId="0" applyFont="1" applyAlignment="1">
      <alignment horizontal="center" vertical="center"/>
    </xf>
    <xf numFmtId="0" fontId="40" fillId="0" borderId="13" xfId="0" applyFont="1" applyBorder="1"/>
    <xf numFmtId="0" fontId="12" fillId="0" borderId="13" xfId="0" applyFont="1" applyBorder="1" applyAlignment="1">
      <alignment horizontal="center" vertical="center"/>
    </xf>
    <xf numFmtId="191" fontId="12" fillId="0" borderId="0" xfId="0" applyNumberFormat="1" applyFont="1" applyAlignment="1">
      <alignment vertical="center"/>
    </xf>
    <xf numFmtId="191" fontId="12" fillId="0" borderId="0" xfId="0" applyNumberFormat="1" applyFont="1" applyAlignment="1">
      <alignment horizontal="right" vertical="center"/>
    </xf>
    <xf numFmtId="0" fontId="5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91" fontId="12" fillId="0" borderId="1" xfId="111" applyNumberFormat="1" applyFont="1" applyBorder="1" applyAlignment="1">
      <alignment horizontal="center" vertical="center" wrapText="1"/>
    </xf>
    <xf numFmtId="178" fontId="12" fillId="0" borderId="29" xfId="111" applyNumberFormat="1" applyFont="1" applyBorder="1" applyAlignment="1">
      <alignment horizontal="center" vertical="center" wrapText="1"/>
    </xf>
    <xf numFmtId="178" fontId="12" fillId="0" borderId="30" xfId="111" applyNumberFormat="1" applyFont="1" applyBorder="1" applyAlignment="1">
      <alignment horizontal="center" vertical="center" wrapText="1"/>
    </xf>
    <xf numFmtId="0" fontId="12" fillId="0" borderId="1" xfId="111" applyFont="1" applyBorder="1" applyAlignment="1">
      <alignment horizontal="center" vertical="center" wrapText="1"/>
    </xf>
    <xf numFmtId="178" fontId="12" fillId="0" borderId="31" xfId="111" applyNumberFormat="1" applyFont="1" applyBorder="1" applyAlignment="1">
      <alignment horizontal="center" vertical="center" wrapText="1"/>
    </xf>
    <xf numFmtId="178" fontId="12" fillId="0" borderId="32" xfId="111" applyNumberFormat="1" applyFont="1" applyBorder="1" applyAlignment="1">
      <alignment horizontal="center" vertical="center" wrapText="1"/>
    </xf>
    <xf numFmtId="184" fontId="12" fillId="0" borderId="1" xfId="111" applyNumberFormat="1" applyFont="1" applyBorder="1" applyAlignment="1">
      <alignment horizontal="center" vertical="center" wrapText="1"/>
    </xf>
    <xf numFmtId="191" fontId="12" fillId="0" borderId="1" xfId="111" applyNumberFormat="1" applyFont="1" applyBorder="1" applyAlignment="1">
      <alignment horizontal="center" vertical="center"/>
    </xf>
    <xf numFmtId="184" fontId="12" fillId="0" borderId="1" xfId="111" applyNumberFormat="1" applyFont="1" applyBorder="1" applyAlignment="1">
      <alignment horizontal="center" vertical="center"/>
    </xf>
    <xf numFmtId="0" fontId="5" fillId="0" borderId="1" xfId="111" applyFont="1" applyBorder="1" applyAlignment="1">
      <alignment horizontal="center" vertical="center" wrapText="1"/>
    </xf>
    <xf numFmtId="0" fontId="12" fillId="0" borderId="5" xfId="111" applyFont="1" applyBorder="1" applyAlignment="1">
      <alignment horizontal="center" vertical="center" wrapText="1"/>
    </xf>
    <xf numFmtId="0" fontId="12" fillId="0" borderId="6" xfId="111" applyFont="1" applyBorder="1" applyAlignment="1">
      <alignment horizontal="center" vertical="center" wrapText="1"/>
    </xf>
    <xf numFmtId="0" fontId="12" fillId="0" borderId="8" xfId="111" applyFont="1" applyBorder="1" applyAlignment="1">
      <alignment horizontal="center" vertical="center" wrapText="1"/>
    </xf>
    <xf numFmtId="0" fontId="12" fillId="0" borderId="4" xfId="111" applyFont="1" applyBorder="1" applyAlignment="1">
      <alignment horizontal="center" vertical="center" wrapText="1"/>
    </xf>
    <xf numFmtId="0" fontId="12" fillId="0" borderId="1" xfId="111" applyFont="1" applyBorder="1" applyAlignment="1">
      <alignment horizontal="center" vertical="center" wrapText="1"/>
    </xf>
    <xf numFmtId="0" fontId="12" fillId="0" borderId="6" xfId="111" applyFont="1" applyBorder="1" applyAlignment="1">
      <alignment horizontal="left" vertical="center" wrapText="1"/>
    </xf>
    <xf numFmtId="0" fontId="12" fillId="0" borderId="8" xfId="111" applyFont="1" applyBorder="1" applyAlignment="1">
      <alignment horizontal="left" vertical="center" wrapText="1"/>
    </xf>
    <xf numFmtId="0" fontId="40" fillId="0" borderId="4" xfId="11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1" fontId="12" fillId="0" borderId="3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right" vertical="center"/>
    </xf>
    <xf numFmtId="1" fontId="12" fillId="0" borderId="9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right" vertical="center"/>
    </xf>
    <xf numFmtId="184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1" fillId="0" borderId="0" xfId="0" applyNumberFormat="1" applyFont="1"/>
    <xf numFmtId="184" fontId="12" fillId="0" borderId="1" xfId="0" applyNumberFormat="1" applyFont="1" applyBorder="1" applyAlignment="1">
      <alignment horizontal="center" vertical="center"/>
    </xf>
    <xf numFmtId="178" fontId="12" fillId="0" borderId="0" xfId="0" applyNumberFormat="1" applyFont="1" applyAlignment="1">
      <alignment horizontal="right" vertical="center"/>
    </xf>
    <xf numFmtId="0" fontId="12" fillId="0" borderId="7" xfId="0" applyFont="1" applyBorder="1"/>
    <xf numFmtId="0" fontId="6" fillId="0" borderId="0" xfId="0" applyFont="1" applyAlignment="1">
      <alignment horizontal="center" vertical="center" wrapText="1"/>
    </xf>
    <xf numFmtId="0" fontId="6" fillId="0" borderId="0" xfId="6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184" fontId="12" fillId="0" borderId="1" xfId="0" applyNumberFormat="1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79" fontId="12" fillId="0" borderId="9" xfId="0" applyNumberFormat="1" applyFont="1" applyBorder="1" applyAlignment="1">
      <alignment horizontal="center" vertical="center" wrapText="1"/>
    </xf>
    <xf numFmtId="179" fontId="12" fillId="0" borderId="2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183" fontId="12" fillId="0" borderId="4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47" fillId="0" borderId="0" xfId="0" applyFont="1"/>
    <xf numFmtId="0" fontId="12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12">
    <cellStyle name="20% - Accent1" xfId="35" xr:uid="{00000000-0005-0000-0000-000000000000}"/>
    <cellStyle name="20% - Accent2" xfId="36" xr:uid="{00000000-0005-0000-0000-000001000000}"/>
    <cellStyle name="20% - Accent3" xfId="37" xr:uid="{00000000-0005-0000-0000-000002000000}"/>
    <cellStyle name="20% - Accent4" xfId="38" xr:uid="{00000000-0005-0000-0000-000003000000}"/>
    <cellStyle name="20% - Accent5" xfId="39" xr:uid="{00000000-0005-0000-0000-000004000000}"/>
    <cellStyle name="20% - Accent6" xfId="40" xr:uid="{00000000-0005-0000-0000-000005000000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1" xr:uid="{00000000-0005-0000-0000-00000C000000}"/>
    <cellStyle name="40% - Accent2" xfId="42" xr:uid="{00000000-0005-0000-0000-00000D000000}"/>
    <cellStyle name="40% - Accent3" xfId="43" xr:uid="{00000000-0005-0000-0000-00000E000000}"/>
    <cellStyle name="40% - Accent4" xfId="44" xr:uid="{00000000-0005-0000-0000-00000F000000}"/>
    <cellStyle name="40% - Accent5" xfId="45" xr:uid="{00000000-0005-0000-0000-000010000000}"/>
    <cellStyle name="40% - Accent6" xfId="46" xr:uid="{00000000-0005-0000-0000-000011000000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7" xr:uid="{00000000-0005-0000-0000-000018000000}"/>
    <cellStyle name="60% - Accent2" xfId="48" xr:uid="{00000000-0005-0000-0000-000019000000}"/>
    <cellStyle name="60% - Accent3" xfId="49" xr:uid="{00000000-0005-0000-0000-00001A000000}"/>
    <cellStyle name="60% - Accent4" xfId="50" xr:uid="{00000000-0005-0000-0000-00001B000000}"/>
    <cellStyle name="60% - Accent5" xfId="51" xr:uid="{00000000-0005-0000-0000-00001C000000}"/>
    <cellStyle name="60% - Accent6" xfId="52" xr:uid="{00000000-0005-0000-0000-00001D000000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3" xr:uid="{00000000-0005-0000-0000-000024000000}"/>
    <cellStyle name="Accent2" xfId="54" xr:uid="{00000000-0005-0000-0000-000025000000}"/>
    <cellStyle name="Accent3" xfId="55" xr:uid="{00000000-0005-0000-0000-000026000000}"/>
    <cellStyle name="Accent4" xfId="56" xr:uid="{00000000-0005-0000-0000-000027000000}"/>
    <cellStyle name="Accent5" xfId="57" xr:uid="{00000000-0005-0000-0000-000028000000}"/>
    <cellStyle name="Accent6" xfId="58" xr:uid="{00000000-0005-0000-0000-000029000000}"/>
    <cellStyle name="Bad" xfId="59" xr:uid="{00000000-0005-0000-0000-00002A000000}"/>
    <cellStyle name="Bad 2" xfId="1" xr:uid="{00000000-0005-0000-0000-00002B000000}"/>
    <cellStyle name="Bad 3" xfId="80" xr:uid="{00000000-0005-0000-0000-00002C000000}"/>
    <cellStyle name="Bad_表11_Recovery" xfId="76" xr:uid="{00000000-0005-0000-0000-00002D000000}"/>
    <cellStyle name="Calculation" xfId="60" xr:uid="{00000000-0005-0000-0000-00002E000000}"/>
    <cellStyle name="Check Cell" xfId="61" xr:uid="{00000000-0005-0000-0000-00002F000000}"/>
    <cellStyle name="Explanatory Text" xfId="62" xr:uid="{00000000-0005-0000-0000-000030000000}"/>
    <cellStyle name="Good" xfId="63" xr:uid="{00000000-0005-0000-0000-000031000000}"/>
    <cellStyle name="Heading 1" xfId="64" xr:uid="{00000000-0005-0000-0000-000032000000}"/>
    <cellStyle name="Heading 2" xfId="65" xr:uid="{00000000-0005-0000-0000-000033000000}"/>
    <cellStyle name="Heading 3" xfId="66" xr:uid="{00000000-0005-0000-0000-000034000000}"/>
    <cellStyle name="Heading 4" xfId="67" xr:uid="{00000000-0005-0000-0000-000035000000}"/>
    <cellStyle name="Input" xfId="68" xr:uid="{00000000-0005-0000-0000-000036000000}"/>
    <cellStyle name="Linked Cell" xfId="69" xr:uid="{00000000-0005-0000-0000-000037000000}"/>
    <cellStyle name="Neutral" xfId="70" xr:uid="{00000000-0005-0000-0000-000038000000}"/>
    <cellStyle name="Normal 2" xfId="2" xr:uid="{00000000-0005-0000-0000-000039000000}"/>
    <cellStyle name="Normal 2 2" xfId="91" xr:uid="{00000000-0005-0000-0000-00003A000000}"/>
    <cellStyle name="Normal 3" xfId="3" xr:uid="{00000000-0005-0000-0000-00003B000000}"/>
    <cellStyle name="Normal 3 2" xfId="93" xr:uid="{00000000-0005-0000-0000-00003C000000}"/>
    <cellStyle name="Normal 3 2 2" xfId="94" xr:uid="{00000000-0005-0000-0000-00003D000000}"/>
    <cellStyle name="Normal 3 3" xfId="92" xr:uid="{00000000-0005-0000-0000-00003E000000}"/>
    <cellStyle name="Normal 5" xfId="95" xr:uid="{00000000-0005-0000-0000-00003F000000}"/>
    <cellStyle name="Normal_Gilead Samples 02jan07" xfId="6" xr:uid="{00000000-0005-0000-0000-000040000000}"/>
    <cellStyle name="Note" xfId="71" xr:uid="{00000000-0005-0000-0000-000041000000}"/>
    <cellStyle name="Output" xfId="72" xr:uid="{00000000-0005-0000-0000-000042000000}"/>
    <cellStyle name="Percent 2" xfId="4" xr:uid="{00000000-0005-0000-0000-000043000000}"/>
    <cellStyle name="Title" xfId="73" xr:uid="{00000000-0005-0000-0000-000044000000}"/>
    <cellStyle name="Total" xfId="74" xr:uid="{00000000-0005-0000-0000-000045000000}"/>
    <cellStyle name="Warning Text" xfId="75" xr:uid="{00000000-0005-0000-0000-000046000000}"/>
    <cellStyle name="百分比" xfId="89" builtinId="5"/>
    <cellStyle name="百分比 2" xfId="81" xr:uid="{00000000-0005-0000-0000-000048000000}"/>
    <cellStyle name="差 2" xfId="110" xr:uid="{DEEF7DC8-CF88-486A-AD9B-079A948E4211}"/>
    <cellStyle name="差_1.1" xfId="25" xr:uid="{00000000-0005-0000-0000-000049000000}"/>
    <cellStyle name="差_标曲及QC " xfId="97" xr:uid="{00000000-0005-0000-0000-00004A000000}"/>
    <cellStyle name="差_表11_Recovery" xfId="77" xr:uid="{00000000-0005-0000-0000-00004B000000}"/>
    <cellStyle name="差_表2_SST" xfId="82" xr:uid="{00000000-0005-0000-0000-00004C000000}"/>
    <cellStyle name="差_表25_干扰" xfId="79" xr:uid="{00000000-0005-0000-0000-00004D000000}"/>
    <cellStyle name="常规" xfId="0" builtinId="0"/>
    <cellStyle name="常规 10" xfId="108" xr:uid="{00000000-0005-0000-0000-00004F000000}"/>
    <cellStyle name="常规 2" xfId="27" xr:uid="{00000000-0005-0000-0000-000050000000}"/>
    <cellStyle name="常规 2 2" xfId="5" xr:uid="{00000000-0005-0000-0000-000051000000}"/>
    <cellStyle name="常规 2 2 2" xfId="98" xr:uid="{00000000-0005-0000-0000-000052000000}"/>
    <cellStyle name="常规 2 3 2" xfId="99" xr:uid="{00000000-0005-0000-0000-000053000000}"/>
    <cellStyle name="常规 2_1513RD2_BA_二次数据" xfId="100" xr:uid="{00000000-0005-0000-0000-000054000000}"/>
    <cellStyle name="常规 3" xfId="84" xr:uid="{00000000-0005-0000-0000-000055000000}"/>
    <cellStyle name="常规 3 2" xfId="102" xr:uid="{00000000-0005-0000-0000-000056000000}"/>
    <cellStyle name="常规 3 3" xfId="101" xr:uid="{00000000-0005-0000-0000-000057000000}"/>
    <cellStyle name="常规 4" xfId="85" xr:uid="{00000000-0005-0000-0000-000058000000}"/>
    <cellStyle name="常规 4 2" xfId="104" xr:uid="{00000000-0005-0000-0000-000059000000}"/>
    <cellStyle name="常规 4 2 2" xfId="105" xr:uid="{00000000-0005-0000-0000-00005A000000}"/>
    <cellStyle name="常规 4 3" xfId="103" xr:uid="{00000000-0005-0000-0000-00005B000000}"/>
    <cellStyle name="常规 5" xfId="86" xr:uid="{00000000-0005-0000-0000-00005C000000}"/>
    <cellStyle name="常规 5 2" xfId="106" xr:uid="{00000000-0005-0000-0000-00005D000000}"/>
    <cellStyle name="常规 6" xfId="87" xr:uid="{00000000-0005-0000-0000-00005E000000}"/>
    <cellStyle name="常规 6 2" xfId="107" xr:uid="{00000000-0005-0000-0000-00005F000000}"/>
    <cellStyle name="常规 7" xfId="88" xr:uid="{00000000-0005-0000-0000-000060000000}"/>
    <cellStyle name="常规 8" xfId="90" xr:uid="{00000000-0005-0000-0000-000061000000}"/>
    <cellStyle name="常规 9" xfId="109" xr:uid="{00000000-0005-0000-0000-000062000000}"/>
    <cellStyle name="常规_1.1" xfId="26" xr:uid="{00000000-0005-0000-0000-000063000000}"/>
    <cellStyle name="常规_表11_Recovery" xfId="111" xr:uid="{7BC51483-403D-4DB7-84D0-047F648A6A25}"/>
    <cellStyle name="好_1.1" xfId="28" xr:uid="{00000000-0005-0000-0000-000064000000}"/>
    <cellStyle name="好_标曲及QC " xfId="96" xr:uid="{00000000-0005-0000-0000-000065000000}"/>
    <cellStyle name="好_表11_Recovery" xfId="78" xr:uid="{00000000-0005-0000-0000-000066000000}"/>
    <cellStyle name="好_表2_SST" xfId="83" xr:uid="{00000000-0005-0000-0000-000067000000}"/>
    <cellStyle name="强调文字颜色 1" xfId="29" xr:uid="{00000000-0005-0000-0000-000068000000}"/>
    <cellStyle name="强调文字颜色 2" xfId="30" xr:uid="{00000000-0005-0000-0000-000069000000}"/>
    <cellStyle name="强调文字颜色 3" xfId="31" xr:uid="{00000000-0005-0000-0000-00006A000000}"/>
    <cellStyle name="强调文字颜色 4" xfId="32" xr:uid="{00000000-0005-0000-0000-00006B000000}"/>
    <cellStyle name="强调文字颜色 5" xfId="33" xr:uid="{00000000-0005-0000-0000-00006C000000}"/>
    <cellStyle name="强调文字颜色 6" xfId="34" xr:uid="{00000000-0005-0000-0000-00006D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C61"/>
  <sheetViews>
    <sheetView view="pageBreakPreview" zoomScaleNormal="100" zoomScaleSheetLayoutView="100" workbookViewId="0">
      <selection activeCell="B38" sqref="B38"/>
    </sheetView>
  </sheetViews>
  <sheetFormatPr defaultColWidth="8.83203125" defaultRowHeight="19.5" customHeight="1"/>
  <cols>
    <col min="1" max="1" width="37.1640625" style="150" customWidth="1"/>
    <col min="2" max="2" width="32.58203125" style="150" customWidth="1"/>
    <col min="3" max="3" width="20.58203125" style="150" customWidth="1"/>
    <col min="4" max="6" width="8.83203125" style="150"/>
    <col min="7" max="8" width="12.33203125" style="150" bestFit="1" customWidth="1"/>
    <col min="9" max="16384" width="8.83203125" style="150"/>
  </cols>
  <sheetData>
    <row r="1" spans="1:3" ht="15.75" customHeight="1">
      <c r="A1" s="150" t="s">
        <v>20</v>
      </c>
    </row>
    <row r="2" spans="1:3" ht="15.75" customHeight="1"/>
    <row r="3" spans="1:3" ht="15.75" customHeight="1">
      <c r="A3" s="151" t="s">
        <v>330</v>
      </c>
      <c r="B3" s="152" t="s">
        <v>121</v>
      </c>
      <c r="C3" s="152"/>
    </row>
    <row r="4" spans="1:3" ht="15.75" customHeight="1">
      <c r="A4" s="151" t="s">
        <v>22</v>
      </c>
      <c r="B4" s="152" t="s">
        <v>122</v>
      </c>
      <c r="C4" s="152"/>
    </row>
    <row r="5" spans="1:3" ht="15.75" customHeight="1">
      <c r="A5" s="151" t="s">
        <v>331</v>
      </c>
      <c r="B5" s="153" t="s">
        <v>332</v>
      </c>
      <c r="C5" s="154"/>
    </row>
    <row r="6" spans="1:3" ht="15.75" customHeight="1">
      <c r="A6" s="151" t="s">
        <v>333</v>
      </c>
      <c r="B6" s="151" t="s">
        <v>334</v>
      </c>
      <c r="C6" s="151" t="s">
        <v>335</v>
      </c>
    </row>
    <row r="7" spans="1:3" ht="15.75" customHeight="1">
      <c r="A7" s="151" t="s">
        <v>336</v>
      </c>
      <c r="B7" s="151" t="s">
        <v>18</v>
      </c>
      <c r="C7" s="151" t="s">
        <v>19</v>
      </c>
    </row>
    <row r="8" spans="1:3" ht="15.75" customHeight="1">
      <c r="A8" s="151" t="s">
        <v>337</v>
      </c>
      <c r="B8" s="151" t="s">
        <v>17</v>
      </c>
      <c r="C8" s="151" t="s">
        <v>338</v>
      </c>
    </row>
    <row r="9" spans="1:3" ht="15.75" customHeight="1">
      <c r="A9" s="151" t="s">
        <v>339</v>
      </c>
      <c r="B9" s="151" t="s">
        <v>17</v>
      </c>
      <c r="C9" s="151" t="s">
        <v>177</v>
      </c>
    </row>
    <row r="10" spans="1:3" ht="15.75" customHeight="1">
      <c r="A10" s="155" t="s">
        <v>340</v>
      </c>
      <c r="B10" s="152" t="s">
        <v>297</v>
      </c>
      <c r="C10" s="152"/>
    </row>
    <row r="11" spans="1:3" ht="15.75" customHeight="1">
      <c r="A11" s="151" t="s">
        <v>341</v>
      </c>
      <c r="B11" s="152" t="s">
        <v>342</v>
      </c>
      <c r="C11" s="152"/>
    </row>
    <row r="12" spans="1:3" ht="15.75" customHeight="1">
      <c r="A12" s="151" t="s">
        <v>343</v>
      </c>
      <c r="B12" s="152" t="s">
        <v>344</v>
      </c>
      <c r="C12" s="152"/>
    </row>
    <row r="13" spans="1:3" ht="15.75" customHeight="1">
      <c r="A13" s="152" t="s">
        <v>200</v>
      </c>
      <c r="B13" s="152" t="s">
        <v>178</v>
      </c>
      <c r="C13" s="152"/>
    </row>
    <row r="14" spans="1:3" ht="15.75" customHeight="1">
      <c r="A14" s="152"/>
      <c r="B14" s="152" t="s">
        <v>324</v>
      </c>
      <c r="C14" s="152"/>
    </row>
    <row r="15" spans="1:3" ht="15.75" customHeight="1">
      <c r="A15" s="152" t="s">
        <v>345</v>
      </c>
      <c r="B15" s="152" t="s">
        <v>346</v>
      </c>
      <c r="C15" s="152"/>
    </row>
    <row r="16" spans="1:3" ht="15.75" customHeight="1">
      <c r="A16" s="152"/>
      <c r="B16" s="152" t="s">
        <v>347</v>
      </c>
      <c r="C16" s="152"/>
    </row>
    <row r="17" spans="1:3" ht="15.75" customHeight="1">
      <c r="A17" s="152"/>
      <c r="B17" s="153" t="s">
        <v>201</v>
      </c>
      <c r="C17" s="154"/>
    </row>
    <row r="18" spans="1:3" ht="15.75" customHeight="1">
      <c r="A18" s="151" t="s">
        <v>348</v>
      </c>
      <c r="B18" s="153" t="s">
        <v>349</v>
      </c>
      <c r="C18" s="154"/>
    </row>
    <row r="19" spans="1:3" ht="15.75" customHeight="1">
      <c r="A19" s="151" t="s">
        <v>350</v>
      </c>
      <c r="B19" s="152" t="s">
        <v>351</v>
      </c>
      <c r="C19" s="152"/>
    </row>
    <row r="20" spans="1:3" ht="15.75" customHeight="1">
      <c r="A20" s="151" t="s">
        <v>352</v>
      </c>
      <c r="B20" s="152" t="s">
        <v>179</v>
      </c>
      <c r="C20" s="152"/>
    </row>
    <row r="21" spans="1:3" ht="15.75" customHeight="1">
      <c r="A21" s="151" t="s">
        <v>21</v>
      </c>
      <c r="B21" s="152" t="s">
        <v>123</v>
      </c>
      <c r="C21" s="152"/>
    </row>
    <row r="22" spans="1:3" ht="15.75" customHeight="1">
      <c r="A22" s="151" t="s">
        <v>353</v>
      </c>
      <c r="B22" s="153" t="s">
        <v>354</v>
      </c>
      <c r="C22" s="154"/>
    </row>
    <row r="23" spans="1:3" ht="15.75" customHeight="1">
      <c r="A23" s="151" t="s">
        <v>355</v>
      </c>
      <c r="B23" s="152" t="s">
        <v>202</v>
      </c>
      <c r="C23" s="152"/>
    </row>
    <row r="24" spans="1:3" ht="15.75" customHeight="1">
      <c r="A24" s="151" t="s">
        <v>356</v>
      </c>
      <c r="B24" s="152" t="s">
        <v>125</v>
      </c>
      <c r="C24" s="152"/>
    </row>
    <row r="25" spans="1:3" ht="15.75" customHeight="1">
      <c r="A25" s="151" t="s">
        <v>357</v>
      </c>
      <c r="B25" s="156" t="s">
        <v>180</v>
      </c>
      <c r="C25" s="156"/>
    </row>
    <row r="26" spans="1:3" ht="15.75" customHeight="1">
      <c r="A26" s="151" t="s">
        <v>358</v>
      </c>
      <c r="B26" s="152" t="s">
        <v>7</v>
      </c>
      <c r="C26" s="152"/>
    </row>
    <row r="27" spans="1:3" ht="15.75" customHeight="1">
      <c r="A27" s="151" t="s">
        <v>359</v>
      </c>
      <c r="B27" s="152" t="s">
        <v>360</v>
      </c>
      <c r="C27" s="152"/>
    </row>
    <row r="28" spans="1:3" ht="15.75" customHeight="1">
      <c r="A28" s="151" t="s">
        <v>361</v>
      </c>
      <c r="B28" s="156" t="s">
        <v>203</v>
      </c>
      <c r="C28" s="156"/>
    </row>
    <row r="29" spans="1:3" ht="15.75" customHeight="1">
      <c r="A29" s="151" t="s">
        <v>362</v>
      </c>
      <c r="B29" s="156" t="s">
        <v>204</v>
      </c>
      <c r="C29" s="156"/>
    </row>
    <row r="30" spans="1:3" ht="15.75" customHeight="1">
      <c r="A30" s="151" t="s">
        <v>363</v>
      </c>
      <c r="B30" s="156" t="s">
        <v>204</v>
      </c>
      <c r="C30" s="156"/>
    </row>
    <row r="31" spans="1:3" ht="28" customHeight="1">
      <c r="A31" s="151" t="s">
        <v>364</v>
      </c>
      <c r="B31" s="156" t="s">
        <v>205</v>
      </c>
      <c r="C31" s="156"/>
    </row>
    <row r="32" spans="1:3" ht="37" customHeight="1">
      <c r="A32" s="155" t="s">
        <v>181</v>
      </c>
      <c r="B32" s="152" t="s">
        <v>206</v>
      </c>
      <c r="C32" s="152"/>
    </row>
    <row r="33" spans="1:3" ht="15.75" customHeight="1">
      <c r="A33" s="151" t="s">
        <v>182</v>
      </c>
      <c r="B33" s="152" t="s">
        <v>207</v>
      </c>
      <c r="C33" s="152"/>
    </row>
    <row r="34" spans="1:3" ht="15.75" customHeight="1">
      <c r="A34" s="151" t="s">
        <v>183</v>
      </c>
      <c r="B34" s="152" t="s">
        <v>208</v>
      </c>
      <c r="C34" s="152"/>
    </row>
    <row r="35" spans="1:3" ht="28.5" customHeight="1">
      <c r="A35" s="151" t="s">
        <v>209</v>
      </c>
      <c r="B35" s="152" t="s">
        <v>210</v>
      </c>
      <c r="C35" s="152"/>
    </row>
    <row r="36" spans="1:3" ht="15.75" customHeight="1">
      <c r="A36" s="151" t="s">
        <v>211</v>
      </c>
      <c r="B36" s="153" t="s">
        <v>212</v>
      </c>
      <c r="C36" s="154"/>
    </row>
    <row r="37" spans="1:3" ht="15.75" customHeight="1">
      <c r="A37" s="151" t="s">
        <v>184</v>
      </c>
      <c r="B37" s="152" t="s">
        <v>213</v>
      </c>
      <c r="C37" s="152"/>
    </row>
    <row r="38" spans="1:3" ht="15.75" customHeight="1">
      <c r="A38" s="155" t="s">
        <v>214</v>
      </c>
      <c r="B38" s="151" t="s">
        <v>185</v>
      </c>
      <c r="C38" s="157" t="s">
        <v>186</v>
      </c>
    </row>
    <row r="39" spans="1:3" ht="15.75" customHeight="1">
      <c r="A39" s="158" t="s">
        <v>187</v>
      </c>
      <c r="B39" s="159" t="s">
        <v>299</v>
      </c>
      <c r="C39" s="160">
        <v>7.3999999999999996E-2</v>
      </c>
    </row>
    <row r="40" spans="1:3" ht="15.75" customHeight="1">
      <c r="A40" s="158" t="s">
        <v>215</v>
      </c>
      <c r="B40" s="151" t="s">
        <v>175</v>
      </c>
      <c r="C40" s="20">
        <v>0.16200000000000001</v>
      </c>
    </row>
    <row r="41" spans="1:3" ht="15.75" customHeight="1">
      <c r="A41" s="158" t="s">
        <v>216</v>
      </c>
      <c r="B41" s="151" t="s">
        <v>176</v>
      </c>
      <c r="C41" s="160">
        <v>7.5999999999999998E-2</v>
      </c>
    </row>
    <row r="42" spans="1:3" ht="15.75" customHeight="1">
      <c r="A42" s="158" t="s">
        <v>217</v>
      </c>
      <c r="B42" s="21">
        <v>7.9000000000000001E-2</v>
      </c>
      <c r="C42" s="20">
        <v>0.13700000000000001</v>
      </c>
    </row>
    <row r="43" spans="1:3" ht="81" customHeight="1">
      <c r="A43" s="151" t="s">
        <v>188</v>
      </c>
      <c r="B43" s="152" t="s">
        <v>218</v>
      </c>
      <c r="C43" s="152"/>
    </row>
    <row r="44" spans="1:3" ht="15.75" customHeight="1">
      <c r="A44" s="151" t="s">
        <v>189</v>
      </c>
      <c r="B44" s="161" t="s">
        <v>219</v>
      </c>
      <c r="C44" s="152"/>
    </row>
    <row r="45" spans="1:3" ht="15.75" customHeight="1">
      <c r="A45" s="151" t="s">
        <v>190</v>
      </c>
      <c r="B45" s="152" t="s">
        <v>220</v>
      </c>
      <c r="C45" s="152"/>
    </row>
    <row r="46" spans="1:3" ht="83.25" customHeight="1">
      <c r="A46" s="151" t="s">
        <v>221</v>
      </c>
      <c r="B46" s="153" t="s">
        <v>222</v>
      </c>
      <c r="C46" s="154"/>
    </row>
    <row r="47" spans="1:3" ht="45.75" customHeight="1">
      <c r="A47" s="151" t="s">
        <v>191</v>
      </c>
      <c r="B47" s="152" t="s">
        <v>323</v>
      </c>
      <c r="C47" s="152"/>
    </row>
    <row r="48" spans="1:3" ht="54" customHeight="1">
      <c r="A48" s="151" t="s">
        <v>223</v>
      </c>
      <c r="B48" s="152" t="s">
        <v>365</v>
      </c>
      <c r="C48" s="152"/>
    </row>
    <row r="49" spans="1:3" ht="52.5" customHeight="1">
      <c r="A49" s="151" t="s">
        <v>192</v>
      </c>
      <c r="B49" s="152" t="s">
        <v>366</v>
      </c>
      <c r="C49" s="152"/>
    </row>
    <row r="50" spans="1:3" ht="15.75" customHeight="1">
      <c r="A50" s="151" t="s">
        <v>193</v>
      </c>
      <c r="B50" s="152" t="s">
        <v>194</v>
      </c>
      <c r="C50" s="152"/>
    </row>
    <row r="51" spans="1:3" ht="15.75" customHeight="1">
      <c r="A51" s="151" t="s">
        <v>195</v>
      </c>
      <c r="B51" s="152" t="s">
        <v>224</v>
      </c>
      <c r="C51" s="152"/>
    </row>
    <row r="52" spans="1:3" ht="15.75" customHeight="1">
      <c r="A52" s="151" t="s">
        <v>367</v>
      </c>
      <c r="B52" s="152" t="s">
        <v>196</v>
      </c>
      <c r="C52" s="152"/>
    </row>
    <row r="53" spans="1:3" ht="15.75" customHeight="1">
      <c r="A53" s="151" t="s">
        <v>197</v>
      </c>
      <c r="B53" s="152" t="s">
        <v>300</v>
      </c>
      <c r="C53" s="152"/>
    </row>
    <row r="54" spans="1:3" ht="15.75" customHeight="1">
      <c r="A54" s="151" t="s">
        <v>198</v>
      </c>
      <c r="B54" s="152" t="s">
        <v>301</v>
      </c>
      <c r="C54" s="152"/>
    </row>
    <row r="55" spans="1:3" ht="15.75" customHeight="1">
      <c r="A55" s="151" t="s">
        <v>225</v>
      </c>
      <c r="B55" s="152" t="s">
        <v>226</v>
      </c>
      <c r="C55" s="152"/>
    </row>
    <row r="56" spans="1:3" ht="15.75" customHeight="1">
      <c r="A56" s="151" t="s">
        <v>368</v>
      </c>
      <c r="B56" s="152" t="s">
        <v>199</v>
      </c>
      <c r="C56" s="152"/>
    </row>
    <row r="59" spans="1:3" ht="19.5" customHeight="1">
      <c r="A59" s="162"/>
    </row>
    <row r="60" spans="1:3" ht="19.5" customHeight="1">
      <c r="A60" s="162"/>
    </row>
    <row r="61" spans="1:3" ht="19.5" customHeight="1">
      <c r="A61" s="162"/>
    </row>
  </sheetData>
  <mergeCells count="47">
    <mergeCell ref="B29:C29"/>
    <mergeCell ref="B30:C30"/>
    <mergeCell ref="B31:C31"/>
    <mergeCell ref="B19:C19"/>
    <mergeCell ref="B15:C15"/>
    <mergeCell ref="B16:C16"/>
    <mergeCell ref="B23:C23"/>
    <mergeCell ref="B28:C28"/>
    <mergeCell ref="B18:C18"/>
    <mergeCell ref="B24:C24"/>
    <mergeCell ref="B20:C20"/>
    <mergeCell ref="B22:C22"/>
    <mergeCell ref="B21:C21"/>
    <mergeCell ref="B25:C25"/>
    <mergeCell ref="B26:C26"/>
    <mergeCell ref="B27:C27"/>
    <mergeCell ref="B48:C48"/>
    <mergeCell ref="B46:C46"/>
    <mergeCell ref="B47:C47"/>
    <mergeCell ref="B36:C36"/>
    <mergeCell ref="B35:C35"/>
    <mergeCell ref="B55:C55"/>
    <mergeCell ref="B56:C56"/>
    <mergeCell ref="B49:C49"/>
    <mergeCell ref="B50:C50"/>
    <mergeCell ref="B51:C51"/>
    <mergeCell ref="B52:C52"/>
    <mergeCell ref="B53:C53"/>
    <mergeCell ref="B54:C54"/>
    <mergeCell ref="A13:A14"/>
    <mergeCell ref="B13:C13"/>
    <mergeCell ref="B14:C14"/>
    <mergeCell ref="A15:A17"/>
    <mergeCell ref="B17:C17"/>
    <mergeCell ref="B12:C12"/>
    <mergeCell ref="B3:C3"/>
    <mergeCell ref="B4:C4"/>
    <mergeCell ref="B5:C5"/>
    <mergeCell ref="B10:C10"/>
    <mergeCell ref="B11:C11"/>
    <mergeCell ref="B32:C32"/>
    <mergeCell ref="B45:C45"/>
    <mergeCell ref="B43:C43"/>
    <mergeCell ref="B44:C44"/>
    <mergeCell ref="B33:C33"/>
    <mergeCell ref="B34:C34"/>
    <mergeCell ref="B37:C3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4" orientation="portrait" r:id="rId1"/>
  <headerFooter>
    <oddHeader>&amp;C 1632MV7生物分析方法学验证数据</oddHeader>
    <oddFooter>&amp;C第&amp;P页，共&amp;N页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B11"/>
  <sheetViews>
    <sheetView view="pageBreakPreview" zoomScaleNormal="100" zoomScaleSheetLayoutView="100" workbookViewId="0">
      <selection activeCell="B14" sqref="B14:C14"/>
    </sheetView>
  </sheetViews>
  <sheetFormatPr defaultColWidth="8.83203125" defaultRowHeight="13.5"/>
  <cols>
    <col min="1" max="1" width="21" style="3" customWidth="1"/>
    <col min="2" max="2" width="29.33203125" style="3" customWidth="1"/>
    <col min="3" max="16384" width="8.83203125" style="3"/>
  </cols>
  <sheetData>
    <row r="2" spans="1:2" ht="14">
      <c r="A2" s="4" t="s">
        <v>31</v>
      </c>
    </row>
    <row r="3" spans="1:2">
      <c r="A3" s="4"/>
    </row>
    <row r="4" spans="1:2" ht="15" customHeight="1">
      <c r="A4" s="9" t="s">
        <v>65</v>
      </c>
      <c r="B4" s="9" t="s">
        <v>99</v>
      </c>
    </row>
    <row r="5" spans="1:2" ht="15" customHeight="1">
      <c r="A5" s="9" t="s">
        <v>66</v>
      </c>
      <c r="B5" s="9" t="s">
        <v>100</v>
      </c>
    </row>
    <row r="6" spans="1:2" ht="15" customHeight="1">
      <c r="A6" s="9" t="s">
        <v>67</v>
      </c>
      <c r="B6" s="3" t="s">
        <v>101</v>
      </c>
    </row>
    <row r="7" spans="1:2" ht="15" customHeight="1">
      <c r="A7" s="9" t="s">
        <v>68</v>
      </c>
      <c r="B7" s="9" t="s">
        <v>102</v>
      </c>
    </row>
    <row r="8" spans="1:2" ht="15" customHeight="1">
      <c r="A8" s="9" t="s">
        <v>69</v>
      </c>
      <c r="B8" s="13">
        <v>0.98899999999999999</v>
      </c>
    </row>
    <row r="9" spans="1:2" ht="15" customHeight="1">
      <c r="A9" s="9" t="s">
        <v>72</v>
      </c>
      <c r="B9" s="14" t="s">
        <v>103</v>
      </c>
    </row>
    <row r="10" spans="1:2" ht="15" customHeight="1">
      <c r="A10" s="9" t="s">
        <v>104</v>
      </c>
      <c r="B10" s="16">
        <v>45490</v>
      </c>
    </row>
    <row r="11" spans="1:2" ht="15" customHeight="1">
      <c r="A11" s="9" t="s">
        <v>73</v>
      </c>
      <c r="B11" s="15" t="s">
        <v>98</v>
      </c>
    </row>
  </sheetData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B11"/>
  <sheetViews>
    <sheetView view="pageBreakPreview" zoomScaleNormal="100" zoomScaleSheetLayoutView="100" workbookViewId="0">
      <selection activeCell="G8" sqref="G8"/>
    </sheetView>
  </sheetViews>
  <sheetFormatPr defaultColWidth="8.83203125" defaultRowHeight="13.5"/>
  <cols>
    <col min="1" max="1" width="21" style="3" customWidth="1"/>
    <col min="2" max="2" width="30.83203125" style="3" customWidth="1"/>
    <col min="3" max="3" width="29.33203125" style="3" customWidth="1"/>
    <col min="4" max="16384" width="8.83203125" style="3"/>
  </cols>
  <sheetData>
    <row r="2" spans="1:2" ht="14">
      <c r="A2" s="4" t="s">
        <v>32</v>
      </c>
    </row>
    <row r="3" spans="1:2" ht="14">
      <c r="B3" s="1"/>
    </row>
    <row r="4" spans="1:2" ht="15.75" customHeight="1">
      <c r="A4" s="9" t="s">
        <v>65</v>
      </c>
      <c r="B4" s="9" t="s">
        <v>105</v>
      </c>
    </row>
    <row r="5" spans="1:2" ht="15.75" customHeight="1">
      <c r="A5" s="9" t="s">
        <v>66</v>
      </c>
      <c r="B5" s="9" t="s">
        <v>106</v>
      </c>
    </row>
    <row r="6" spans="1:2" ht="15.75" customHeight="1">
      <c r="A6" s="9" t="s">
        <v>67</v>
      </c>
      <c r="B6" s="9" t="s">
        <v>107</v>
      </c>
    </row>
    <row r="7" spans="1:2" ht="15.75" customHeight="1">
      <c r="A7" s="9" t="s">
        <v>68</v>
      </c>
      <c r="B7" s="9">
        <v>126749</v>
      </c>
    </row>
    <row r="8" spans="1:2" ht="15.75" customHeight="1">
      <c r="A8" s="9" t="s">
        <v>108</v>
      </c>
      <c r="B8" s="94">
        <v>0.998</v>
      </c>
    </row>
    <row r="9" spans="1:2" ht="15.75" customHeight="1">
      <c r="A9" s="10" t="s">
        <v>70</v>
      </c>
      <c r="B9" s="9" t="s">
        <v>109</v>
      </c>
    </row>
    <row r="10" spans="1:2" ht="15.75" customHeight="1">
      <c r="A10" s="12" t="s">
        <v>110</v>
      </c>
      <c r="B10" s="16">
        <v>45662</v>
      </c>
    </row>
    <row r="11" spans="1:2" ht="15.75" customHeight="1">
      <c r="A11" s="10" t="s">
        <v>71</v>
      </c>
      <c r="B11" s="9" t="s">
        <v>111</v>
      </c>
    </row>
  </sheetData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56"/>
  <sheetViews>
    <sheetView view="pageBreakPreview" zoomScale="115" zoomScaleNormal="100" zoomScaleSheetLayoutView="115" workbookViewId="0">
      <selection activeCell="B14" sqref="B14:C14"/>
    </sheetView>
  </sheetViews>
  <sheetFormatPr defaultColWidth="9" defaultRowHeight="13.5"/>
  <cols>
    <col min="1" max="1" width="25.08203125" style="2" customWidth="1"/>
    <col min="2" max="2" width="54.83203125" style="2" bestFit="1" customWidth="1"/>
    <col min="3" max="3" width="25.08203125" style="2" customWidth="1"/>
    <col min="4" max="4" width="16.5" style="2" customWidth="1"/>
    <col min="5" max="16384" width="9" style="2"/>
  </cols>
  <sheetData>
    <row r="1" spans="1:3" ht="15" customHeight="1"/>
    <row r="2" spans="1:3" ht="15" customHeight="1">
      <c r="A2" s="2" t="s">
        <v>310</v>
      </c>
    </row>
    <row r="3" spans="1:3" ht="15" customHeight="1"/>
    <row r="4" spans="1:3">
      <c r="A4" s="11" t="s">
        <v>311</v>
      </c>
      <c r="B4" s="11" t="s">
        <v>312</v>
      </c>
      <c r="C4" s="18" t="s">
        <v>322</v>
      </c>
    </row>
    <row r="5" spans="1:3">
      <c r="A5" s="99" t="s">
        <v>325</v>
      </c>
      <c r="B5" s="99" t="s">
        <v>326</v>
      </c>
      <c r="C5" s="100" t="s">
        <v>327</v>
      </c>
    </row>
    <row r="6" spans="1:3" ht="15.75" customHeight="1">
      <c r="A6" s="8" t="s">
        <v>313</v>
      </c>
      <c r="B6" s="24" t="s">
        <v>317</v>
      </c>
      <c r="C6" s="8" t="s">
        <v>314</v>
      </c>
    </row>
    <row r="7" spans="1:3" ht="15.75" customHeight="1">
      <c r="A7" s="8" t="s">
        <v>315</v>
      </c>
      <c r="B7" s="24" t="s">
        <v>309</v>
      </c>
      <c r="C7" s="8" t="s">
        <v>314</v>
      </c>
    </row>
    <row r="8" spans="1:3" ht="15.75" customHeight="1">
      <c r="A8" s="8" t="s">
        <v>318</v>
      </c>
      <c r="B8" s="24" t="s">
        <v>316</v>
      </c>
      <c r="C8" s="8" t="s">
        <v>314</v>
      </c>
    </row>
    <row r="9" spans="1:3" ht="15.75" customHeight="1">
      <c r="A9" s="8" t="s">
        <v>319</v>
      </c>
      <c r="B9" s="24" t="s">
        <v>316</v>
      </c>
      <c r="C9" s="8" t="s">
        <v>314</v>
      </c>
    </row>
    <row r="10" spans="1:3" ht="15.75" customHeight="1">
      <c r="A10" s="8" t="s">
        <v>320</v>
      </c>
      <c r="B10" s="24" t="s">
        <v>321</v>
      </c>
      <c r="C10" s="8" t="s">
        <v>314</v>
      </c>
    </row>
    <row r="55" spans="2:2">
      <c r="B55" s="3"/>
    </row>
    <row r="56" spans="2:2">
      <c r="B56" s="3"/>
    </row>
  </sheetData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81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6"/>
  <sheetViews>
    <sheetView view="pageBreakPreview" zoomScaleNormal="100" zoomScaleSheetLayoutView="100" workbookViewId="0">
      <selection activeCell="B14" sqref="B14:C14"/>
    </sheetView>
  </sheetViews>
  <sheetFormatPr defaultColWidth="9" defaultRowHeight="15.75" customHeight="1"/>
  <cols>
    <col min="1" max="1" width="9" style="27"/>
    <col min="2" max="2" width="35.33203125" style="27" customWidth="1"/>
    <col min="3" max="3" width="18" style="27" customWidth="1"/>
    <col min="4" max="4" width="18.75" style="27" customWidth="1"/>
    <col min="5" max="16384" width="9" style="27"/>
  </cols>
  <sheetData>
    <row r="1" spans="1:4" ht="15.75" customHeight="1">
      <c r="A1" s="25" t="s">
        <v>227</v>
      </c>
      <c r="B1" s="26"/>
    </row>
    <row r="3" spans="1:4" s="3" customFormat="1" ht="15.75" customHeight="1">
      <c r="A3" s="28" t="s">
        <v>83</v>
      </c>
      <c r="B3" s="28" t="s">
        <v>85</v>
      </c>
      <c r="C3" s="28" t="s">
        <v>86</v>
      </c>
      <c r="D3" s="28" t="s">
        <v>84</v>
      </c>
    </row>
    <row r="4" spans="1:4" s="3" customFormat="1" ht="15.75" customHeight="1">
      <c r="A4" s="28" t="s">
        <v>87</v>
      </c>
      <c r="B4" s="29" t="s">
        <v>124</v>
      </c>
      <c r="C4" s="30" t="s">
        <v>126</v>
      </c>
      <c r="D4" s="31">
        <v>45107</v>
      </c>
    </row>
    <row r="5" spans="1:4" s="3" customFormat="1" ht="15.75" customHeight="1">
      <c r="A5" s="28" t="s">
        <v>87</v>
      </c>
      <c r="B5" s="29" t="s">
        <v>298</v>
      </c>
      <c r="C5" s="30" t="s">
        <v>127</v>
      </c>
      <c r="D5" s="31">
        <v>44966</v>
      </c>
    </row>
    <row r="6" spans="1:4" s="3" customFormat="1" ht="15.75" customHeight="1">
      <c r="A6" s="28" t="s">
        <v>88</v>
      </c>
      <c r="B6" s="29" t="s">
        <v>128</v>
      </c>
      <c r="C6" s="30" t="s">
        <v>129</v>
      </c>
      <c r="D6" s="31">
        <v>45370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C20"/>
  <sheetViews>
    <sheetView view="pageBreakPreview" zoomScaleNormal="100" zoomScaleSheetLayoutView="100" workbookViewId="0">
      <selection activeCell="B14" sqref="B14:C14"/>
    </sheetView>
  </sheetViews>
  <sheetFormatPr defaultColWidth="8.83203125" defaultRowHeight="16.5" customHeight="1"/>
  <cols>
    <col min="1" max="1" width="23.33203125" style="5" customWidth="1"/>
    <col min="2" max="2" width="26.08203125" style="5" customWidth="1"/>
    <col min="3" max="3" width="30.75" style="5" customWidth="1"/>
    <col min="4" max="16384" width="8.83203125" style="5"/>
  </cols>
  <sheetData>
    <row r="2" spans="1:3" ht="16.5" customHeight="1">
      <c r="A2" s="6" t="s">
        <v>94</v>
      </c>
    </row>
    <row r="4" spans="1:3" ht="15.75" customHeight="1">
      <c r="A4" s="7" t="s">
        <v>89</v>
      </c>
      <c r="B4" s="7" t="s">
        <v>90</v>
      </c>
      <c r="C4" s="7" t="s">
        <v>91</v>
      </c>
    </row>
    <row r="5" spans="1:3" ht="15.75" customHeight="1">
      <c r="A5" s="104" t="s">
        <v>92</v>
      </c>
      <c r="B5" s="17">
        <v>45366</v>
      </c>
      <c r="C5" s="103" t="s">
        <v>302</v>
      </c>
    </row>
    <row r="6" spans="1:3" ht="15.75" customHeight="1">
      <c r="A6" s="104"/>
      <c r="B6" s="17">
        <v>45368</v>
      </c>
      <c r="C6" s="103"/>
    </row>
    <row r="7" spans="1:3" ht="15.75" customHeight="1">
      <c r="A7" s="104"/>
      <c r="B7" s="17">
        <v>45370</v>
      </c>
      <c r="C7" s="103"/>
    </row>
    <row r="8" spans="1:3" ht="15.75" customHeight="1">
      <c r="A8" s="104"/>
      <c r="B8" s="17">
        <v>45371</v>
      </c>
      <c r="C8" s="103"/>
    </row>
    <row r="9" spans="1:3" ht="15.75" customHeight="1">
      <c r="A9" s="104"/>
      <c r="B9" s="17">
        <v>45394</v>
      </c>
      <c r="C9" s="103"/>
    </row>
    <row r="10" spans="1:3" ht="15.75" customHeight="1">
      <c r="A10" s="104"/>
      <c r="B10" s="17">
        <v>45435</v>
      </c>
      <c r="C10" s="103"/>
    </row>
    <row r="11" spans="1:3" ht="15.75" customHeight="1">
      <c r="A11" s="104"/>
      <c r="B11" s="17">
        <v>45439</v>
      </c>
      <c r="C11" s="103"/>
    </row>
    <row r="12" spans="1:3" ht="15.75" customHeight="1">
      <c r="A12" s="104"/>
      <c r="B12" s="17">
        <v>45448</v>
      </c>
      <c r="C12" s="103"/>
    </row>
    <row r="13" spans="1:3" ht="15.75" customHeight="1">
      <c r="A13" s="104" t="s">
        <v>93</v>
      </c>
      <c r="B13" s="17">
        <v>45366</v>
      </c>
      <c r="C13" s="103" t="s">
        <v>302</v>
      </c>
    </row>
    <row r="14" spans="1:3" ht="15.75" customHeight="1">
      <c r="A14" s="104"/>
      <c r="B14" s="17">
        <v>45368</v>
      </c>
      <c r="C14" s="103"/>
    </row>
    <row r="15" spans="1:3" ht="15.75" customHeight="1">
      <c r="A15" s="104"/>
      <c r="B15" s="17">
        <v>45370</v>
      </c>
      <c r="C15" s="103"/>
    </row>
    <row r="16" spans="1:3" ht="15.75" customHeight="1">
      <c r="A16" s="104"/>
      <c r="B16" s="17">
        <v>45371</v>
      </c>
      <c r="C16" s="103"/>
    </row>
    <row r="17" spans="1:3" ht="15.75" customHeight="1">
      <c r="A17" s="104"/>
      <c r="B17" s="17">
        <v>45394</v>
      </c>
      <c r="C17" s="103"/>
    </row>
    <row r="18" spans="1:3" ht="15.75" customHeight="1">
      <c r="A18" s="104"/>
      <c r="B18" s="17">
        <v>45435</v>
      </c>
      <c r="C18" s="103"/>
    </row>
    <row r="19" spans="1:3" ht="15.75" customHeight="1">
      <c r="A19" s="104"/>
      <c r="B19" s="17">
        <v>45439</v>
      </c>
      <c r="C19" s="103"/>
    </row>
    <row r="20" spans="1:3" ht="15.75" customHeight="1">
      <c r="A20" s="104"/>
      <c r="B20" s="17">
        <v>45448</v>
      </c>
      <c r="C20" s="103"/>
    </row>
  </sheetData>
  <mergeCells count="4">
    <mergeCell ref="C5:C12"/>
    <mergeCell ref="A13:A20"/>
    <mergeCell ref="C13:C20"/>
    <mergeCell ref="A5:A12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F28"/>
  <sheetViews>
    <sheetView view="pageBreakPreview" zoomScaleNormal="100" zoomScaleSheetLayoutView="100" workbookViewId="0">
      <selection activeCell="B14" sqref="B14:C14"/>
    </sheetView>
  </sheetViews>
  <sheetFormatPr defaultColWidth="8.83203125" defaultRowHeight="13.5"/>
  <cols>
    <col min="1" max="1" width="10.33203125" style="3" customWidth="1"/>
    <col min="2" max="2" width="67.58203125" style="3" customWidth="1"/>
    <col min="3" max="4" width="14.75" style="3" customWidth="1"/>
    <col min="5" max="5" width="13.83203125" style="33" customWidth="1"/>
    <col min="6" max="6" width="14" style="3" customWidth="1"/>
    <col min="7" max="16384" width="8.83203125" style="3"/>
  </cols>
  <sheetData>
    <row r="2" spans="1:6">
      <c r="A2" s="105" t="s">
        <v>44</v>
      </c>
      <c r="B2" s="105"/>
      <c r="C2" s="32"/>
    </row>
    <row r="3" spans="1:6">
      <c r="A3" s="4"/>
    </row>
    <row r="4" spans="1:6" ht="31.5" customHeight="1">
      <c r="A4" s="34" t="s">
        <v>23</v>
      </c>
      <c r="B4" s="34" t="s">
        <v>24</v>
      </c>
      <c r="C4" s="34" t="s">
        <v>228</v>
      </c>
      <c r="D4" s="34" t="s">
        <v>25</v>
      </c>
      <c r="E4" s="34" t="s">
        <v>229</v>
      </c>
      <c r="F4" s="35" t="s">
        <v>230</v>
      </c>
    </row>
    <row r="5" spans="1:6" ht="48" customHeight="1">
      <c r="A5" s="36">
        <v>1</v>
      </c>
      <c r="B5" s="19" t="s">
        <v>231</v>
      </c>
      <c r="C5" s="17">
        <v>45366</v>
      </c>
      <c r="D5" s="17">
        <v>45367</v>
      </c>
      <c r="E5" s="34" t="s">
        <v>119</v>
      </c>
      <c r="F5" s="35" t="s">
        <v>282</v>
      </c>
    </row>
    <row r="6" spans="1:6" ht="44.25" customHeight="1">
      <c r="A6" s="36">
        <v>2</v>
      </c>
      <c r="B6" s="19" t="s">
        <v>232</v>
      </c>
      <c r="C6" s="17">
        <v>45368</v>
      </c>
      <c r="D6" s="17">
        <v>45368</v>
      </c>
      <c r="E6" s="34" t="s">
        <v>233</v>
      </c>
      <c r="F6" s="35" t="s">
        <v>283</v>
      </c>
    </row>
    <row r="7" spans="1:6" ht="15.75" customHeight="1">
      <c r="A7" s="36">
        <v>3</v>
      </c>
      <c r="B7" s="19" t="s">
        <v>234</v>
      </c>
      <c r="C7" s="17">
        <v>45371</v>
      </c>
      <c r="D7" s="17">
        <v>45371</v>
      </c>
      <c r="E7" s="34" t="s">
        <v>235</v>
      </c>
      <c r="F7" s="35" t="s">
        <v>282</v>
      </c>
    </row>
    <row r="8" spans="1:6" ht="45.75" customHeight="1">
      <c r="A8" s="36">
        <v>4</v>
      </c>
      <c r="B8" s="37" t="s">
        <v>236</v>
      </c>
      <c r="C8" s="17">
        <v>45370</v>
      </c>
      <c r="D8" s="17">
        <v>45370</v>
      </c>
      <c r="E8" s="34" t="s">
        <v>119</v>
      </c>
      <c r="F8" s="35" t="s">
        <v>282</v>
      </c>
    </row>
    <row r="9" spans="1:6" ht="19.5" customHeight="1">
      <c r="A9" s="36">
        <v>5</v>
      </c>
      <c r="B9" s="37" t="s">
        <v>237</v>
      </c>
      <c r="C9" s="17">
        <v>45371</v>
      </c>
      <c r="D9" s="17">
        <v>45372</v>
      </c>
      <c r="E9" s="34" t="s">
        <v>235</v>
      </c>
      <c r="F9" s="35" t="s">
        <v>282</v>
      </c>
    </row>
    <row r="10" spans="1:6" ht="36" customHeight="1">
      <c r="A10" s="36">
        <v>6</v>
      </c>
      <c r="B10" s="37" t="s">
        <v>238</v>
      </c>
      <c r="C10" s="17">
        <v>45371</v>
      </c>
      <c r="D10" s="17">
        <v>45372</v>
      </c>
      <c r="E10" s="34" t="s">
        <v>119</v>
      </c>
      <c r="F10" s="35" t="s">
        <v>282</v>
      </c>
    </row>
    <row r="11" spans="1:6" ht="15.75" customHeight="1">
      <c r="A11" s="36">
        <v>7</v>
      </c>
      <c r="B11" s="37" t="s">
        <v>239</v>
      </c>
      <c r="C11" s="17">
        <v>45394</v>
      </c>
      <c r="D11" s="17">
        <v>45394</v>
      </c>
      <c r="E11" s="34" t="s">
        <v>119</v>
      </c>
      <c r="F11" s="35" t="s">
        <v>284</v>
      </c>
    </row>
    <row r="12" spans="1:6" ht="15.75" customHeight="1">
      <c r="A12" s="36">
        <v>8</v>
      </c>
      <c r="B12" s="95" t="s">
        <v>305</v>
      </c>
      <c r="C12" s="17">
        <v>45435</v>
      </c>
      <c r="D12" s="17">
        <v>45438</v>
      </c>
      <c r="E12" s="34" t="s">
        <v>235</v>
      </c>
      <c r="F12" s="35" t="s">
        <v>120</v>
      </c>
    </row>
    <row r="13" spans="1:6" ht="15.75" customHeight="1">
      <c r="A13" s="36">
        <v>9</v>
      </c>
      <c r="B13" s="37" t="s">
        <v>240</v>
      </c>
      <c r="C13" s="17">
        <v>45435</v>
      </c>
      <c r="D13" s="17">
        <v>45438</v>
      </c>
      <c r="E13" s="34" t="s">
        <v>119</v>
      </c>
      <c r="F13" s="35" t="s">
        <v>120</v>
      </c>
    </row>
    <row r="14" spans="1:6" ht="15.75" customHeight="1">
      <c r="A14" s="36">
        <v>10</v>
      </c>
      <c r="B14" s="37" t="s">
        <v>241</v>
      </c>
      <c r="C14" s="17">
        <v>45439</v>
      </c>
      <c r="D14" s="17">
        <v>45443</v>
      </c>
      <c r="E14" s="34" t="s">
        <v>119</v>
      </c>
      <c r="F14" s="35" t="s">
        <v>120</v>
      </c>
    </row>
    <row r="15" spans="1:6" ht="15.75" customHeight="1">
      <c r="A15" s="36">
        <v>11</v>
      </c>
      <c r="B15" s="37" t="s">
        <v>285</v>
      </c>
      <c r="C15" s="17">
        <v>45448</v>
      </c>
      <c r="D15" s="17">
        <v>45449</v>
      </c>
      <c r="E15" s="34" t="s">
        <v>119</v>
      </c>
      <c r="F15" s="35" t="s">
        <v>120</v>
      </c>
    </row>
    <row r="16" spans="1:6">
      <c r="A16" s="22" t="s">
        <v>64</v>
      </c>
      <c r="F16" s="61"/>
    </row>
    <row r="17" spans="1:6" ht="14.25" customHeight="1">
      <c r="A17" s="22" t="s">
        <v>286</v>
      </c>
      <c r="F17" s="61"/>
    </row>
    <row r="18" spans="1:6">
      <c r="A18" s="22" t="s">
        <v>287</v>
      </c>
      <c r="F18" s="61"/>
    </row>
    <row r="19" spans="1:6">
      <c r="A19" s="22" t="s">
        <v>308</v>
      </c>
      <c r="F19" s="61"/>
    </row>
    <row r="20" spans="1:6" ht="37.5" customHeight="1">
      <c r="A20" s="106" t="s">
        <v>303</v>
      </c>
      <c r="B20" s="106"/>
      <c r="C20" s="106"/>
      <c r="D20" s="106"/>
      <c r="E20" s="106"/>
      <c r="F20" s="106"/>
    </row>
    <row r="21" spans="1:6">
      <c r="A21" s="22" t="s">
        <v>288</v>
      </c>
      <c r="F21" s="61"/>
    </row>
    <row r="22" spans="1:6">
      <c r="A22" s="22" t="s">
        <v>289</v>
      </c>
      <c r="F22" s="61"/>
    </row>
    <row r="23" spans="1:6">
      <c r="A23" s="22" t="s">
        <v>290</v>
      </c>
      <c r="F23" s="61"/>
    </row>
    <row r="24" spans="1:6">
      <c r="A24" s="22" t="s">
        <v>291</v>
      </c>
      <c r="F24" s="61"/>
    </row>
    <row r="25" spans="1:6" ht="14">
      <c r="A25" s="3" t="s">
        <v>304</v>
      </c>
      <c r="B25" s="25"/>
      <c r="C25" s="25"/>
      <c r="D25" s="25"/>
      <c r="E25" s="25"/>
    </row>
    <row r="26" spans="1:6" ht="14">
      <c r="A26" s="3" t="s">
        <v>292</v>
      </c>
      <c r="B26" s="25"/>
      <c r="C26" s="25"/>
      <c r="D26" s="25"/>
      <c r="E26" s="25"/>
      <c r="F26" s="38"/>
    </row>
    <row r="27" spans="1:6" ht="14">
      <c r="B27" s="25"/>
      <c r="C27" s="25"/>
      <c r="D27" s="25"/>
      <c r="E27" s="25"/>
    </row>
    <row r="28" spans="1:6" ht="14">
      <c r="B28" s="25"/>
      <c r="C28" s="25"/>
      <c r="D28" s="25"/>
      <c r="E28" s="25"/>
    </row>
  </sheetData>
  <mergeCells count="2">
    <mergeCell ref="A2:B2"/>
    <mergeCell ref="A20:F2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D21"/>
  <sheetViews>
    <sheetView view="pageBreakPreview" zoomScaleNormal="100" zoomScaleSheetLayoutView="100" workbookViewId="0">
      <selection activeCell="B14" sqref="B14:C14"/>
    </sheetView>
  </sheetViews>
  <sheetFormatPr defaultColWidth="8.83203125" defaultRowHeight="13.5"/>
  <cols>
    <col min="1" max="4" width="17.5" style="40" customWidth="1"/>
    <col min="5" max="8" width="17.58203125" style="40" customWidth="1"/>
    <col min="9" max="16384" width="8.83203125" style="40"/>
  </cols>
  <sheetData>
    <row r="2" spans="1:4">
      <c r="A2" s="107" t="s">
        <v>43</v>
      </c>
      <c r="B2" s="107"/>
      <c r="C2" s="107"/>
    </row>
    <row r="4" spans="1:4">
      <c r="A4" s="40" t="s">
        <v>100</v>
      </c>
    </row>
    <row r="5" spans="1:4" ht="16.5" customHeight="1">
      <c r="A5" s="108" t="s">
        <v>23</v>
      </c>
      <c r="B5" s="109" t="s">
        <v>50</v>
      </c>
      <c r="C5" s="110"/>
      <c r="D5" s="111"/>
    </row>
    <row r="6" spans="1:4" ht="16.5" customHeight="1">
      <c r="A6" s="108"/>
      <c r="B6" s="34" t="s">
        <v>242</v>
      </c>
      <c r="C6" s="34" t="s">
        <v>26</v>
      </c>
      <c r="D6" s="34" t="s">
        <v>243</v>
      </c>
    </row>
    <row r="7" spans="1:4" ht="16.5" customHeight="1">
      <c r="A7" s="35">
        <v>1</v>
      </c>
      <c r="B7" s="42">
        <v>0</v>
      </c>
      <c r="C7" s="42">
        <v>0.8</v>
      </c>
      <c r="D7" s="42">
        <v>6.6</v>
      </c>
    </row>
    <row r="8" spans="1:4" ht="16.5" customHeight="1">
      <c r="A8" s="35">
        <v>3</v>
      </c>
      <c r="B8" s="42">
        <v>0</v>
      </c>
      <c r="C8" s="42">
        <v>0.8</v>
      </c>
      <c r="D8" s="42">
        <v>8.1999999999999993</v>
      </c>
    </row>
    <row r="9" spans="1:4" ht="16.5" customHeight="1">
      <c r="A9" s="35">
        <v>4</v>
      </c>
      <c r="B9" s="42">
        <v>0</v>
      </c>
      <c r="C9" s="42">
        <v>0.8</v>
      </c>
      <c r="D9" s="42">
        <v>2.8</v>
      </c>
    </row>
    <row r="10" spans="1:4" ht="16.5" customHeight="1">
      <c r="A10" s="35">
        <v>5</v>
      </c>
      <c r="B10" s="42">
        <v>0.5</v>
      </c>
      <c r="C10" s="42">
        <v>0.8</v>
      </c>
      <c r="D10" s="42">
        <v>4.8</v>
      </c>
    </row>
    <row r="11" spans="1:4" ht="16.5" customHeight="1">
      <c r="A11" s="35">
        <v>6</v>
      </c>
      <c r="B11" s="42">
        <v>0</v>
      </c>
      <c r="C11" s="42">
        <v>0.8</v>
      </c>
      <c r="D11" s="42">
        <v>2.2999999999999998</v>
      </c>
    </row>
    <row r="12" spans="1:4" ht="16.5" customHeight="1">
      <c r="A12" s="35">
        <v>7</v>
      </c>
      <c r="B12" s="42">
        <v>0.5</v>
      </c>
      <c r="C12" s="42">
        <v>0</v>
      </c>
      <c r="D12" s="42">
        <v>2.5</v>
      </c>
    </row>
    <row r="13" spans="1:4" ht="16.5" customHeight="1">
      <c r="A13" s="35">
        <v>8</v>
      </c>
      <c r="B13" s="42">
        <v>0.5</v>
      </c>
      <c r="C13" s="42">
        <v>0</v>
      </c>
      <c r="D13" s="42">
        <v>4.0999999999999996</v>
      </c>
    </row>
    <row r="14" spans="1:4" ht="16.5" customHeight="1">
      <c r="A14" s="35">
        <v>9</v>
      </c>
      <c r="B14" s="42">
        <v>0</v>
      </c>
      <c r="C14" s="42">
        <v>0.8</v>
      </c>
      <c r="D14" s="42">
        <v>1</v>
      </c>
    </row>
    <row r="15" spans="1:4" ht="16.5" customHeight="1">
      <c r="A15" s="35">
        <v>10</v>
      </c>
      <c r="B15" s="42">
        <v>0</v>
      </c>
      <c r="C15" s="42">
        <v>0.8</v>
      </c>
      <c r="D15" s="42">
        <v>3.2</v>
      </c>
    </row>
    <row r="16" spans="1:4" ht="16.5" customHeight="1">
      <c r="A16" s="35">
        <v>11</v>
      </c>
      <c r="B16" s="42">
        <v>0</v>
      </c>
      <c r="C16" s="42">
        <v>0.8</v>
      </c>
      <c r="D16" s="42">
        <v>0.6</v>
      </c>
    </row>
    <row r="17" ht="16.5" customHeight="1"/>
    <row r="18" ht="16.5" customHeight="1"/>
    <row r="19" ht="16.5" customHeight="1"/>
    <row r="20" ht="16.5" customHeight="1"/>
    <row r="21" ht="16.5" customHeight="1"/>
  </sheetData>
  <mergeCells count="3">
    <mergeCell ref="A2:C2"/>
    <mergeCell ref="A5:A6"/>
    <mergeCell ref="B5:D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I27"/>
  <sheetViews>
    <sheetView view="pageBreakPreview" zoomScaleNormal="100" zoomScaleSheetLayoutView="100" workbookViewId="0">
      <selection activeCell="B14" sqref="B14:C14"/>
    </sheetView>
  </sheetViews>
  <sheetFormatPr defaultColWidth="8.83203125" defaultRowHeight="13.5"/>
  <cols>
    <col min="1" max="1" width="9.83203125" style="3" customWidth="1"/>
    <col min="2" max="2" width="15.08203125" style="3" customWidth="1"/>
    <col min="3" max="3" width="14.75" style="3" customWidth="1"/>
    <col min="4" max="4" width="12" style="3" customWidth="1"/>
    <col min="5" max="5" width="12.25" style="3" customWidth="1"/>
    <col min="6" max="6" width="15.83203125" style="3" customWidth="1"/>
    <col min="7" max="7" width="15" style="3" customWidth="1"/>
    <col min="8" max="8" width="9.75" style="3" customWidth="1"/>
    <col min="9" max="9" width="11.83203125" style="3" customWidth="1"/>
    <col min="10" max="10" width="11.08203125" style="3" customWidth="1"/>
    <col min="11" max="16384" width="8.83203125" style="3"/>
  </cols>
  <sheetData>
    <row r="2" spans="1:9" s="40" customFormat="1" ht="18" customHeight="1">
      <c r="A2" s="116" t="s">
        <v>35</v>
      </c>
      <c r="B2" s="116"/>
      <c r="C2" s="116"/>
    </row>
    <row r="3" spans="1:9" s="40" customFormat="1" ht="18" customHeight="1">
      <c r="A3" s="22"/>
      <c r="B3" s="22"/>
      <c r="C3" s="22"/>
    </row>
    <row r="4" spans="1:9" s="40" customFormat="1" ht="18" customHeight="1">
      <c r="A4" s="117" t="s">
        <v>100</v>
      </c>
      <c r="B4" s="117"/>
      <c r="C4" s="117"/>
    </row>
    <row r="5" spans="1:9" ht="70.5" customHeight="1">
      <c r="A5" s="34" t="s">
        <v>244</v>
      </c>
      <c r="B5" s="34" t="s">
        <v>245</v>
      </c>
      <c r="C5" s="34" t="s">
        <v>249</v>
      </c>
      <c r="D5" s="34" t="s">
        <v>250</v>
      </c>
      <c r="E5" s="34" t="s">
        <v>251</v>
      </c>
      <c r="F5" s="34" t="s">
        <v>246</v>
      </c>
      <c r="G5" s="34" t="s">
        <v>247</v>
      </c>
      <c r="H5" s="34" t="s">
        <v>54</v>
      </c>
      <c r="I5" s="34" t="s">
        <v>55</v>
      </c>
    </row>
    <row r="6" spans="1:9" ht="14.25" customHeight="1">
      <c r="A6" s="114" t="s">
        <v>138</v>
      </c>
      <c r="B6" s="44">
        <v>0</v>
      </c>
      <c r="C6" s="44">
        <v>984</v>
      </c>
      <c r="D6" s="44">
        <v>1305</v>
      </c>
      <c r="E6" s="44">
        <v>152037</v>
      </c>
      <c r="F6" s="112">
        <f>ROUND(AVERAGE(D6:D7),0)</f>
        <v>1305</v>
      </c>
      <c r="G6" s="114">
        <f>ROUND(AVERAGE(E6:E7),0)</f>
        <v>152037</v>
      </c>
      <c r="H6" s="43">
        <f>ROUND(B6/F6*100,1)</f>
        <v>0</v>
      </c>
      <c r="I6" s="43">
        <f>ROUND(C6/G6*100,1)</f>
        <v>0.6</v>
      </c>
    </row>
    <row r="7" spans="1:9" ht="14.25" customHeight="1">
      <c r="A7" s="115"/>
      <c r="B7" s="44">
        <v>722</v>
      </c>
      <c r="C7" s="44">
        <v>713</v>
      </c>
      <c r="D7" s="44" t="s">
        <v>132</v>
      </c>
      <c r="E7" s="44" t="s">
        <v>133</v>
      </c>
      <c r="F7" s="113"/>
      <c r="G7" s="115"/>
      <c r="H7" s="43">
        <f>ROUND(B7/F6*100,1)</f>
        <v>55.3</v>
      </c>
      <c r="I7" s="43">
        <f>ROUND(C7/G6*100,1)</f>
        <v>0.5</v>
      </c>
    </row>
    <row r="8" spans="1:9" ht="14.25" customHeight="1">
      <c r="A8" s="114" t="s">
        <v>139</v>
      </c>
      <c r="B8" s="44">
        <v>0</v>
      </c>
      <c r="C8" s="44">
        <v>692</v>
      </c>
      <c r="D8" s="44" t="s">
        <v>134</v>
      </c>
      <c r="E8" s="44" t="s">
        <v>135</v>
      </c>
      <c r="F8" s="112">
        <f>ROUND(AVERAGE(D8:D9),0)</f>
        <v>1073</v>
      </c>
      <c r="G8" s="114">
        <f t="shared" ref="G8" si="0">ROUND(AVERAGE(E8:E9),0)</f>
        <v>129467</v>
      </c>
      <c r="H8" s="43">
        <f>ROUND(B8/F8*100,1)</f>
        <v>0</v>
      </c>
      <c r="I8" s="43">
        <f>ROUND(C8/G8*100,1)</f>
        <v>0.5</v>
      </c>
    </row>
    <row r="9" spans="1:9" ht="14.25" customHeight="1">
      <c r="A9" s="115"/>
      <c r="B9" s="44">
        <v>331</v>
      </c>
      <c r="C9" s="44">
        <v>1244</v>
      </c>
      <c r="D9" s="44">
        <v>1073</v>
      </c>
      <c r="E9" s="44">
        <v>129467</v>
      </c>
      <c r="F9" s="113"/>
      <c r="G9" s="115"/>
      <c r="H9" s="43">
        <f>ROUND(B9/F8*100,1)</f>
        <v>30.8</v>
      </c>
      <c r="I9" s="43">
        <f>ROUND(C9/G8*100,1)</f>
        <v>1</v>
      </c>
    </row>
    <row r="10" spans="1:9" ht="14.25" customHeight="1">
      <c r="A10" s="114">
        <v>6</v>
      </c>
      <c r="B10" s="44">
        <v>282</v>
      </c>
      <c r="C10" s="44">
        <v>6468</v>
      </c>
      <c r="D10" s="44">
        <v>1815</v>
      </c>
      <c r="E10" s="44">
        <v>129325</v>
      </c>
      <c r="F10" s="112">
        <f>ROUND(AVERAGE(D10:D11),0)</f>
        <v>1804</v>
      </c>
      <c r="G10" s="114">
        <f t="shared" ref="G10" si="1">ROUND(AVERAGE(E10:E11),0)</f>
        <v>132609</v>
      </c>
      <c r="H10" s="43">
        <f>ROUND(B10/F10*100,1)</f>
        <v>15.6</v>
      </c>
      <c r="I10" s="43">
        <f>ROUND(C10/G10*100,1)</f>
        <v>4.9000000000000004</v>
      </c>
    </row>
    <row r="11" spans="1:9" ht="14.25" customHeight="1">
      <c r="A11" s="115"/>
      <c r="B11" s="44">
        <v>0</v>
      </c>
      <c r="C11" s="44">
        <v>2300</v>
      </c>
      <c r="D11" s="44">
        <v>1792</v>
      </c>
      <c r="E11" s="44">
        <v>135893</v>
      </c>
      <c r="F11" s="113"/>
      <c r="G11" s="115"/>
      <c r="H11" s="43">
        <f>ROUND(B11/F10*100,1)</f>
        <v>0</v>
      </c>
      <c r="I11" s="43">
        <f>ROUND(C11/G10*100,1)</f>
        <v>1.7</v>
      </c>
    </row>
    <row r="12" spans="1:9" ht="14.25" customHeight="1">
      <c r="A12" s="114">
        <v>7</v>
      </c>
      <c r="B12" s="45">
        <v>0</v>
      </c>
      <c r="C12" s="45">
        <v>1027</v>
      </c>
      <c r="D12" s="46">
        <v>1465</v>
      </c>
      <c r="E12" s="46">
        <v>134273</v>
      </c>
      <c r="F12" s="112">
        <f>ROUND(AVERAGE(D12:D13),0)</f>
        <v>1465</v>
      </c>
      <c r="G12" s="114">
        <f t="shared" ref="G12" si="2">ROUND(AVERAGE(E12:E13),0)</f>
        <v>134273</v>
      </c>
      <c r="H12" s="43">
        <f>ROUND(B12/F12*100,1)</f>
        <v>0</v>
      </c>
      <c r="I12" s="43">
        <f>ROUND(C12/G12*100,1)</f>
        <v>0.8</v>
      </c>
    </row>
    <row r="13" spans="1:9" ht="14.25" customHeight="1">
      <c r="A13" s="115"/>
      <c r="B13" s="45">
        <v>0</v>
      </c>
      <c r="C13" s="45">
        <v>1887</v>
      </c>
      <c r="D13" s="46" t="s">
        <v>130</v>
      </c>
      <c r="E13" s="46" t="s">
        <v>131</v>
      </c>
      <c r="F13" s="113"/>
      <c r="G13" s="115"/>
      <c r="H13" s="43">
        <f>ROUND(B13/F12*100,1)</f>
        <v>0</v>
      </c>
      <c r="I13" s="43">
        <f>ROUND(C13/G12*100,1)</f>
        <v>1.4</v>
      </c>
    </row>
    <row r="14" spans="1:9" ht="14.25" customHeight="1">
      <c r="A14" s="114">
        <v>9</v>
      </c>
      <c r="B14" s="44">
        <v>301</v>
      </c>
      <c r="C14" s="44">
        <v>1400</v>
      </c>
      <c r="D14" s="44">
        <v>1982</v>
      </c>
      <c r="E14" s="44">
        <v>565199</v>
      </c>
      <c r="F14" s="112">
        <f>ROUND(AVERAGE(D14:D15),0)</f>
        <v>1834</v>
      </c>
      <c r="G14" s="114">
        <f t="shared" ref="G14" si="3">ROUND(AVERAGE(E14:E15),0)</f>
        <v>565203</v>
      </c>
      <c r="H14" s="43">
        <f>ROUND(B14/F14*100,1)</f>
        <v>16.399999999999999</v>
      </c>
      <c r="I14" s="43">
        <f>ROUND(C14/G14*100,1)</f>
        <v>0.2</v>
      </c>
    </row>
    <row r="15" spans="1:9" ht="14.25" customHeight="1">
      <c r="A15" s="115"/>
      <c r="B15" s="44">
        <v>0</v>
      </c>
      <c r="C15" s="44">
        <v>1278</v>
      </c>
      <c r="D15" s="44">
        <v>1685</v>
      </c>
      <c r="E15" s="44">
        <v>565207</v>
      </c>
      <c r="F15" s="113"/>
      <c r="G15" s="115"/>
      <c r="H15" s="43">
        <f>ROUND(B15/F14*100,1)</f>
        <v>0</v>
      </c>
      <c r="I15" s="43">
        <f>ROUND(C15/G14*100,1)</f>
        <v>0.2</v>
      </c>
    </row>
    <row r="16" spans="1:9" ht="14.25" customHeight="1">
      <c r="A16" s="114">
        <v>10</v>
      </c>
      <c r="B16" s="47">
        <v>0</v>
      </c>
      <c r="C16" s="47">
        <v>1775</v>
      </c>
      <c r="D16" s="47" t="s">
        <v>136</v>
      </c>
      <c r="E16" s="47" t="s">
        <v>137</v>
      </c>
      <c r="F16" s="112">
        <f>ROUND(AVERAGE(D16:D17),0)</f>
        <v>3149</v>
      </c>
      <c r="G16" s="114">
        <f t="shared" ref="G16" si="4">ROUND(AVERAGE(E16:E17),0)</f>
        <v>416249</v>
      </c>
      <c r="H16" s="43">
        <f>ROUND(B16/F16*100,1)</f>
        <v>0</v>
      </c>
      <c r="I16" s="43">
        <f>ROUND(C16/G16*100,1)</f>
        <v>0.4</v>
      </c>
    </row>
    <row r="17" spans="1:9" ht="14.25" customHeight="1">
      <c r="A17" s="115"/>
      <c r="B17" s="47">
        <v>0</v>
      </c>
      <c r="C17" s="47">
        <v>1013</v>
      </c>
      <c r="D17" s="47">
        <v>3149</v>
      </c>
      <c r="E17" s="47">
        <v>416249</v>
      </c>
      <c r="F17" s="113"/>
      <c r="G17" s="115"/>
      <c r="H17" s="43">
        <f>ROUND(B17/F16*100,1)</f>
        <v>0</v>
      </c>
      <c r="I17" s="43">
        <f>ROUND(C17/G16*100,1)</f>
        <v>0.2</v>
      </c>
    </row>
    <row r="18" spans="1:9" ht="14.25" customHeight="1">
      <c r="A18" s="114">
        <v>11</v>
      </c>
      <c r="B18" s="47">
        <v>383</v>
      </c>
      <c r="C18" s="47">
        <v>1474</v>
      </c>
      <c r="D18" s="47">
        <v>2911</v>
      </c>
      <c r="E18" s="47">
        <v>472090</v>
      </c>
      <c r="F18" s="112">
        <f>ROUND(AVERAGE(D18:D19),0)</f>
        <v>2733</v>
      </c>
      <c r="G18" s="114">
        <f t="shared" ref="G18" si="5">ROUND(AVERAGE(E18:E19),0)</f>
        <v>470648</v>
      </c>
      <c r="H18" s="43">
        <f>ROUND(B18/F18*100,1)</f>
        <v>14</v>
      </c>
      <c r="I18" s="43">
        <f>ROUND(C18/G18*100,1)</f>
        <v>0.3</v>
      </c>
    </row>
    <row r="19" spans="1:9" ht="14.25" customHeight="1">
      <c r="A19" s="115"/>
      <c r="B19" s="47">
        <v>365</v>
      </c>
      <c r="C19" s="47">
        <v>1697</v>
      </c>
      <c r="D19" s="47">
        <v>2555</v>
      </c>
      <c r="E19" s="47">
        <v>469206</v>
      </c>
      <c r="F19" s="113"/>
      <c r="G19" s="115"/>
      <c r="H19" s="43">
        <f>ROUND(B19/F18*100,1)</f>
        <v>13.4</v>
      </c>
      <c r="I19" s="43">
        <f>ROUND(C19/G18*100,1)</f>
        <v>0.4</v>
      </c>
    </row>
    <row r="20" spans="1:9" ht="14">
      <c r="A20" s="48" t="s">
        <v>252</v>
      </c>
      <c r="B20" s="32"/>
    </row>
    <row r="21" spans="1:9" ht="14">
      <c r="A21" s="3" t="s">
        <v>248</v>
      </c>
      <c r="B21" s="23"/>
      <c r="C21" s="23"/>
      <c r="D21" s="23"/>
      <c r="E21" s="23"/>
      <c r="F21" s="23"/>
    </row>
    <row r="22" spans="1:9">
      <c r="B22" s="23"/>
      <c r="C22" s="23"/>
      <c r="D22" s="23"/>
      <c r="E22" s="23"/>
      <c r="F22" s="23"/>
    </row>
    <row r="23" spans="1:9">
      <c r="B23" s="23"/>
      <c r="C23" s="23"/>
    </row>
    <row r="24" spans="1:9">
      <c r="B24" s="23"/>
      <c r="C24" s="23"/>
    </row>
    <row r="25" spans="1:9">
      <c r="B25" s="23"/>
      <c r="C25" s="23"/>
    </row>
    <row r="26" spans="1:9">
      <c r="B26" s="23"/>
      <c r="C26" s="23"/>
    </row>
    <row r="27" spans="1:9">
      <c r="B27" s="23"/>
      <c r="C27" s="23"/>
    </row>
  </sheetData>
  <protectedRanges>
    <protectedRange sqref="B16:C17" name="区域5"/>
    <protectedRange sqref="E16:E17" name="区域6"/>
    <protectedRange sqref="D16:D17" name="区域3"/>
    <protectedRange sqref="B18:C19" name="区域5_1"/>
    <protectedRange sqref="E18:E19" name="区域6_1"/>
    <protectedRange sqref="D18:D19" name="区域3_1"/>
  </protectedRanges>
  <mergeCells count="23">
    <mergeCell ref="A2:C2"/>
    <mergeCell ref="A4:C4"/>
    <mergeCell ref="A6:A7"/>
    <mergeCell ref="A18:A19"/>
    <mergeCell ref="A12:A13"/>
    <mergeCell ref="A14:A15"/>
    <mergeCell ref="A16:A17"/>
    <mergeCell ref="A8:A9"/>
    <mergeCell ref="A10:A11"/>
    <mergeCell ref="F10:F11"/>
    <mergeCell ref="G10:G11"/>
    <mergeCell ref="G6:G7"/>
    <mergeCell ref="G18:G19"/>
    <mergeCell ref="F6:F7"/>
    <mergeCell ref="F18:F19"/>
    <mergeCell ref="F12:F13"/>
    <mergeCell ref="G12:G13"/>
    <mergeCell ref="F14:F15"/>
    <mergeCell ref="G14:G15"/>
    <mergeCell ref="F16:F17"/>
    <mergeCell ref="G16:G17"/>
    <mergeCell ref="F8:F9"/>
    <mergeCell ref="G8:G9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3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80AE-25F8-48AE-B8BA-5F5F424BA82F}">
  <sheetPr>
    <tabColor rgb="FF00B050"/>
    <pageSetUpPr fitToPage="1"/>
  </sheetPr>
  <dimension ref="A1:I32"/>
  <sheetViews>
    <sheetView view="pageBreakPreview" topLeftCell="A7" zoomScaleNormal="100" zoomScaleSheetLayoutView="100" workbookViewId="0">
      <selection activeCell="K26" sqref="K26"/>
    </sheetView>
  </sheetViews>
  <sheetFormatPr defaultColWidth="8.83203125" defaultRowHeight="13.5"/>
  <cols>
    <col min="1" max="1" width="8.75" style="61" customWidth="1"/>
    <col min="2" max="2" width="19.25" style="61" customWidth="1"/>
    <col min="3" max="3" width="10.33203125" style="61" customWidth="1"/>
    <col min="4" max="4" width="20.58203125" style="61" customWidth="1"/>
    <col min="5" max="6" width="10.33203125" style="61" customWidth="1"/>
    <col min="7" max="7" width="20.08203125" style="61" customWidth="1"/>
    <col min="8" max="8" width="10.33203125" style="61" customWidth="1"/>
    <col min="9" max="16384" width="8.83203125" style="61"/>
  </cols>
  <sheetData>
    <row r="1" spans="1:8" ht="15" customHeight="1"/>
    <row r="2" spans="1:8" ht="15" customHeight="1">
      <c r="A2" s="116" t="s">
        <v>369</v>
      </c>
      <c r="B2" s="116"/>
      <c r="C2" s="116"/>
    </row>
    <row r="3" spans="1:8" ht="15" customHeight="1">
      <c r="A3" s="22"/>
      <c r="B3" s="22"/>
      <c r="C3" s="22"/>
    </row>
    <row r="4" spans="1:8" ht="15" customHeight="1">
      <c r="A4" s="22" t="s">
        <v>370</v>
      </c>
      <c r="C4" s="61" t="s">
        <v>371</v>
      </c>
    </row>
    <row r="5" spans="1:8" ht="15" customHeight="1">
      <c r="A5" s="146" t="s">
        <v>372</v>
      </c>
      <c r="B5" s="126"/>
      <c r="C5" s="126"/>
      <c r="D5" s="126"/>
      <c r="E5" s="126"/>
      <c r="F5" s="126"/>
      <c r="G5" s="126"/>
      <c r="H5" s="102"/>
    </row>
    <row r="6" spans="1:8" ht="15" customHeight="1">
      <c r="A6" s="108" t="s">
        <v>373</v>
      </c>
      <c r="B6" s="108" t="s">
        <v>374</v>
      </c>
      <c r="C6" s="108" t="s">
        <v>375</v>
      </c>
      <c r="D6" s="108"/>
      <c r="E6" s="108"/>
      <c r="F6" s="108" t="s">
        <v>376</v>
      </c>
      <c r="G6" s="108"/>
      <c r="H6" s="108"/>
    </row>
    <row r="7" spans="1:8" ht="41.25" customHeight="1">
      <c r="A7" s="108"/>
      <c r="B7" s="108"/>
      <c r="C7" s="34" t="s">
        <v>377</v>
      </c>
      <c r="D7" s="98" t="s">
        <v>378</v>
      </c>
      <c r="E7" s="34" t="s">
        <v>379</v>
      </c>
      <c r="F7" s="34" t="s">
        <v>377</v>
      </c>
      <c r="G7" s="163" t="s">
        <v>380</v>
      </c>
      <c r="H7" s="34" t="s">
        <v>379</v>
      </c>
    </row>
    <row r="8" spans="1:8" ht="15" customHeight="1">
      <c r="A8" s="34" t="s">
        <v>381</v>
      </c>
      <c r="B8" s="164" t="s">
        <v>382</v>
      </c>
      <c r="C8" s="35">
        <v>0</v>
      </c>
      <c r="D8" s="165">
        <v>1465</v>
      </c>
      <c r="E8" s="166">
        <f>ROUND(C8/$D$8*100,1)</f>
        <v>0</v>
      </c>
      <c r="F8" s="35">
        <v>1348</v>
      </c>
      <c r="G8" s="165">
        <v>134273</v>
      </c>
      <c r="H8" s="166">
        <f>ROUND(F8/$G$8*100,1)</f>
        <v>1</v>
      </c>
    </row>
    <row r="9" spans="1:8" ht="15" customHeight="1">
      <c r="A9" s="34" t="s">
        <v>383</v>
      </c>
      <c r="B9" s="164" t="s">
        <v>384</v>
      </c>
      <c r="C9" s="35">
        <v>0</v>
      </c>
      <c r="D9" s="167"/>
      <c r="E9" s="166">
        <f>ROUND(C9/$D$8*100,1)</f>
        <v>0</v>
      </c>
      <c r="F9" s="35">
        <v>1015</v>
      </c>
      <c r="G9" s="167"/>
      <c r="H9" s="166">
        <f t="shared" ref="H9:H13" si="0">ROUND(F9/$G$8*100,1)</f>
        <v>0.8</v>
      </c>
    </row>
    <row r="10" spans="1:8" ht="15" customHeight="1">
      <c r="A10" s="34" t="s">
        <v>385</v>
      </c>
      <c r="B10" s="164" t="s">
        <v>386</v>
      </c>
      <c r="C10" s="35">
        <v>0</v>
      </c>
      <c r="D10" s="167"/>
      <c r="E10" s="166">
        <f t="shared" ref="E10:E13" si="1">ROUND(C10/$D$8*100,1)</f>
        <v>0</v>
      </c>
      <c r="F10" s="35">
        <v>1349</v>
      </c>
      <c r="G10" s="167"/>
      <c r="H10" s="166">
        <f t="shared" si="0"/>
        <v>1</v>
      </c>
    </row>
    <row r="11" spans="1:8" ht="15" customHeight="1">
      <c r="A11" s="34" t="s">
        <v>387</v>
      </c>
      <c r="B11" s="164" t="s">
        <v>388</v>
      </c>
      <c r="C11" s="35">
        <v>0</v>
      </c>
      <c r="D11" s="167"/>
      <c r="E11" s="166">
        <f t="shared" si="1"/>
        <v>0</v>
      </c>
      <c r="F11" s="35">
        <v>1297</v>
      </c>
      <c r="G11" s="167"/>
      <c r="H11" s="166">
        <f t="shared" si="0"/>
        <v>1</v>
      </c>
    </row>
    <row r="12" spans="1:8" ht="15" customHeight="1">
      <c r="A12" s="34" t="s">
        <v>389</v>
      </c>
      <c r="B12" s="164" t="s">
        <v>390</v>
      </c>
      <c r="C12" s="35">
        <v>0</v>
      </c>
      <c r="D12" s="167"/>
      <c r="E12" s="166">
        <f t="shared" si="1"/>
        <v>0</v>
      </c>
      <c r="F12" s="35">
        <v>1498</v>
      </c>
      <c r="G12" s="167"/>
      <c r="H12" s="166">
        <f t="shared" si="0"/>
        <v>1.1000000000000001</v>
      </c>
    </row>
    <row r="13" spans="1:8" ht="15" customHeight="1">
      <c r="A13" s="34" t="s">
        <v>391</v>
      </c>
      <c r="B13" s="164" t="s">
        <v>392</v>
      </c>
      <c r="C13" s="35">
        <v>164</v>
      </c>
      <c r="D13" s="168"/>
      <c r="E13" s="166">
        <f t="shared" si="1"/>
        <v>11.2</v>
      </c>
      <c r="F13" s="35">
        <v>1237</v>
      </c>
      <c r="G13" s="168"/>
      <c r="H13" s="166">
        <f t="shared" si="0"/>
        <v>0.9</v>
      </c>
    </row>
    <row r="14" spans="1:8" ht="15" customHeight="1">
      <c r="D14" s="169"/>
    </row>
    <row r="15" spans="1:8" ht="15" customHeight="1">
      <c r="A15" s="22" t="s">
        <v>393</v>
      </c>
    </row>
    <row r="16" spans="1:8" ht="15" customHeight="1">
      <c r="A16" s="146" t="s">
        <v>394</v>
      </c>
      <c r="B16" s="126"/>
      <c r="C16" s="126"/>
      <c r="D16" s="126"/>
      <c r="E16" s="126"/>
      <c r="F16" s="126"/>
      <c r="G16" s="126"/>
      <c r="H16" s="102"/>
    </row>
    <row r="17" spans="1:9" ht="15" customHeight="1">
      <c r="A17" s="108" t="s">
        <v>373</v>
      </c>
      <c r="B17" s="108" t="s">
        <v>374</v>
      </c>
      <c r="C17" s="108" t="s">
        <v>375</v>
      </c>
      <c r="D17" s="108"/>
      <c r="E17" s="108"/>
      <c r="F17" s="108" t="s">
        <v>376</v>
      </c>
      <c r="G17" s="108"/>
      <c r="H17" s="108"/>
    </row>
    <row r="18" spans="1:9" ht="40.5" customHeight="1">
      <c r="A18" s="108"/>
      <c r="B18" s="108"/>
      <c r="C18" s="34" t="s">
        <v>377</v>
      </c>
      <c r="D18" s="98" t="s">
        <v>378</v>
      </c>
      <c r="E18" s="34" t="s">
        <v>395</v>
      </c>
      <c r="F18" s="34" t="s">
        <v>377</v>
      </c>
      <c r="G18" s="163" t="s">
        <v>380</v>
      </c>
      <c r="H18" s="34" t="s">
        <v>379</v>
      </c>
    </row>
    <row r="19" spans="1:9" ht="48.75" customHeight="1">
      <c r="A19" s="28" t="s">
        <v>396</v>
      </c>
      <c r="B19" s="164" t="s">
        <v>397</v>
      </c>
      <c r="C19" s="35">
        <v>0</v>
      </c>
      <c r="D19" s="35">
        <v>1804</v>
      </c>
      <c r="E19" s="166">
        <f>ROUND(C19/$D$19*100,1)</f>
        <v>0</v>
      </c>
      <c r="F19" s="35">
        <v>2751</v>
      </c>
      <c r="G19" s="35">
        <v>132609</v>
      </c>
      <c r="H19" s="166">
        <f>ROUND(F19/$G$19*100,1)</f>
        <v>2.1</v>
      </c>
    </row>
    <row r="23" spans="1:9">
      <c r="A23" s="22" t="s">
        <v>398</v>
      </c>
      <c r="C23" s="61" t="s">
        <v>371</v>
      </c>
    </row>
    <row r="24" spans="1:9">
      <c r="A24" s="146" t="s">
        <v>399</v>
      </c>
      <c r="B24" s="126"/>
      <c r="C24" s="126"/>
      <c r="D24" s="126"/>
      <c r="E24" s="126"/>
      <c r="F24" s="126"/>
      <c r="G24" s="126"/>
      <c r="H24" s="102"/>
      <c r="I24" s="61">
        <v>4</v>
      </c>
    </row>
    <row r="25" spans="1:9">
      <c r="A25" s="108" t="s">
        <v>373</v>
      </c>
      <c r="B25" s="108" t="s">
        <v>374</v>
      </c>
      <c r="C25" s="108" t="s">
        <v>375</v>
      </c>
      <c r="D25" s="108"/>
      <c r="E25" s="108"/>
      <c r="F25" s="108" t="s">
        <v>376</v>
      </c>
      <c r="G25" s="108"/>
      <c r="H25" s="108"/>
    </row>
    <row r="26" spans="1:9" ht="41">
      <c r="A26" s="108"/>
      <c r="B26" s="108"/>
      <c r="C26" s="34" t="s">
        <v>377</v>
      </c>
      <c r="D26" s="98" t="s">
        <v>378</v>
      </c>
      <c r="E26" s="34" t="s">
        <v>379</v>
      </c>
      <c r="F26" s="34" t="s">
        <v>377</v>
      </c>
      <c r="G26" s="163" t="s">
        <v>380</v>
      </c>
      <c r="H26" s="34" t="s">
        <v>379</v>
      </c>
    </row>
    <row r="27" spans="1:9" ht="14">
      <c r="A27" s="34" t="s">
        <v>381</v>
      </c>
      <c r="B27" s="164" t="s">
        <v>382</v>
      </c>
      <c r="C27" s="35">
        <v>616</v>
      </c>
      <c r="D27" s="165">
        <v>1073</v>
      </c>
      <c r="E27" s="166">
        <f>ROUND(C27/$D$27*100,1)</f>
        <v>57.4</v>
      </c>
      <c r="F27" s="35">
        <v>997</v>
      </c>
      <c r="G27" s="165">
        <v>129467</v>
      </c>
      <c r="H27" s="166">
        <f>ROUND(F27/$G$27*100,1)</f>
        <v>0.8</v>
      </c>
    </row>
    <row r="28" spans="1:9" ht="14">
      <c r="A28" s="34" t="s">
        <v>383</v>
      </c>
      <c r="B28" s="164" t="s">
        <v>384</v>
      </c>
      <c r="C28" s="35">
        <v>380</v>
      </c>
      <c r="D28" s="167"/>
      <c r="E28" s="166">
        <f t="shared" ref="E28:E32" si="2">ROUND(C28/$D$27*100,1)</f>
        <v>35.4</v>
      </c>
      <c r="F28" s="35">
        <v>1461</v>
      </c>
      <c r="G28" s="167"/>
      <c r="H28" s="166">
        <f t="shared" ref="H28:H32" si="3">ROUND(F28/$G$27*100,1)</f>
        <v>1.1000000000000001</v>
      </c>
    </row>
    <row r="29" spans="1:9" ht="14">
      <c r="A29" s="34" t="s">
        <v>385</v>
      </c>
      <c r="B29" s="164" t="s">
        <v>386</v>
      </c>
      <c r="C29" s="35">
        <v>0</v>
      </c>
      <c r="D29" s="167"/>
      <c r="E29" s="166">
        <f t="shared" si="2"/>
        <v>0</v>
      </c>
      <c r="F29" s="35">
        <v>1403</v>
      </c>
      <c r="G29" s="167"/>
      <c r="H29" s="166">
        <f t="shared" si="3"/>
        <v>1.1000000000000001</v>
      </c>
    </row>
    <row r="30" spans="1:9" ht="14">
      <c r="A30" s="34" t="s">
        <v>387</v>
      </c>
      <c r="B30" s="164" t="s">
        <v>388</v>
      </c>
      <c r="C30" s="35">
        <v>0</v>
      </c>
      <c r="D30" s="167"/>
      <c r="E30" s="166">
        <f t="shared" si="2"/>
        <v>0</v>
      </c>
      <c r="F30" s="35">
        <v>554</v>
      </c>
      <c r="G30" s="167"/>
      <c r="H30" s="166">
        <f t="shared" si="3"/>
        <v>0.4</v>
      </c>
    </row>
    <row r="31" spans="1:9" ht="14">
      <c r="A31" s="34" t="s">
        <v>389</v>
      </c>
      <c r="B31" s="164" t="s">
        <v>390</v>
      </c>
      <c r="C31" s="35">
        <v>0</v>
      </c>
      <c r="D31" s="167"/>
      <c r="E31" s="166">
        <f t="shared" si="2"/>
        <v>0</v>
      </c>
      <c r="F31" s="35">
        <v>871</v>
      </c>
      <c r="G31" s="167"/>
      <c r="H31" s="166">
        <f t="shared" si="3"/>
        <v>0.7</v>
      </c>
    </row>
    <row r="32" spans="1:9" ht="14">
      <c r="A32" s="34" t="s">
        <v>391</v>
      </c>
      <c r="B32" s="164" t="s">
        <v>392</v>
      </c>
      <c r="C32" s="35">
        <v>0</v>
      </c>
      <c r="D32" s="168"/>
      <c r="E32" s="166">
        <f t="shared" si="2"/>
        <v>0</v>
      </c>
      <c r="F32" s="35">
        <v>781</v>
      </c>
      <c r="G32" s="168"/>
      <c r="H32" s="166">
        <f t="shared" si="3"/>
        <v>0.6</v>
      </c>
    </row>
  </sheetData>
  <mergeCells count="20">
    <mergeCell ref="A24:H24"/>
    <mergeCell ref="A25:A26"/>
    <mergeCell ref="B25:B26"/>
    <mergeCell ref="C25:E25"/>
    <mergeCell ref="F25:H25"/>
    <mergeCell ref="D27:D32"/>
    <mergeCell ref="G27:G32"/>
    <mergeCell ref="D8:D13"/>
    <mergeCell ref="G8:G13"/>
    <mergeCell ref="A16:H16"/>
    <mergeCell ref="A17:A18"/>
    <mergeCell ref="B17:B18"/>
    <mergeCell ref="C17:E17"/>
    <mergeCell ref="F17:H17"/>
    <mergeCell ref="A2:C2"/>
    <mergeCell ref="A5:H5"/>
    <mergeCell ref="A6:A7"/>
    <mergeCell ref="B6:B7"/>
    <mergeCell ref="C6:E6"/>
    <mergeCell ref="F6:H6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77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7-933E-44E3-8819-C879CFCE8816}">
  <sheetPr>
    <tabColor rgb="FF00B050"/>
    <pageSetUpPr fitToPage="1"/>
  </sheetPr>
  <dimension ref="A2:T34"/>
  <sheetViews>
    <sheetView view="pageBreakPreview" zoomScaleNormal="100" zoomScaleSheetLayoutView="100" workbookViewId="0">
      <selection activeCell="F21" sqref="F21:F22"/>
    </sheetView>
  </sheetViews>
  <sheetFormatPr defaultColWidth="8.83203125" defaultRowHeight="13.5"/>
  <cols>
    <col min="1" max="1" width="11.08203125" style="171" customWidth="1"/>
    <col min="2" max="2" width="9.58203125" style="171" customWidth="1"/>
    <col min="3" max="3" width="27.5" style="172" customWidth="1"/>
    <col min="4" max="4" width="21" style="171" customWidth="1"/>
    <col min="5" max="5" width="34.33203125" style="171" customWidth="1"/>
    <col min="6" max="6" width="18.58203125" style="171" customWidth="1"/>
    <col min="7" max="7" width="19.33203125" style="171" customWidth="1"/>
    <col min="8" max="16384" width="8.83203125" style="171"/>
  </cols>
  <sheetData>
    <row r="2" spans="1:20">
      <c r="A2" s="170" t="s">
        <v>400</v>
      </c>
      <c r="B2" s="116"/>
      <c r="C2" s="116"/>
    </row>
    <row r="3" spans="1:20">
      <c r="A3" s="22"/>
      <c r="B3" s="22"/>
      <c r="C3" s="22"/>
      <c r="G3" s="172"/>
    </row>
    <row r="4" spans="1:20">
      <c r="A4" s="173" t="s">
        <v>401</v>
      </c>
      <c r="C4" s="171"/>
      <c r="D4" s="61"/>
      <c r="E4" s="61"/>
      <c r="F4" s="61"/>
      <c r="G4" s="172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</row>
    <row r="5" spans="1:20" ht="15.75" customHeight="1">
      <c r="A5" s="108" t="s">
        <v>34</v>
      </c>
      <c r="B5" s="108" t="s">
        <v>402</v>
      </c>
      <c r="C5" s="108" t="s">
        <v>403</v>
      </c>
      <c r="D5" s="174" t="s">
        <v>404</v>
      </c>
      <c r="E5" s="174" t="s">
        <v>405</v>
      </c>
      <c r="F5" s="174" t="s">
        <v>406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ht="15.75" customHeight="1">
      <c r="A6" s="108"/>
      <c r="B6" s="108"/>
      <c r="C6" s="108"/>
      <c r="D6" s="108"/>
      <c r="E6" s="108"/>
      <c r="F6" s="108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</row>
    <row r="7" spans="1:20" ht="15.75" customHeight="1">
      <c r="A7" s="175">
        <v>45367</v>
      </c>
      <c r="B7" s="108">
        <v>1</v>
      </c>
      <c r="C7" s="176" t="s">
        <v>407</v>
      </c>
      <c r="D7" s="35">
        <v>1587</v>
      </c>
      <c r="E7" s="177">
        <v>152037</v>
      </c>
      <c r="F7" s="178">
        <f>ROUND(AVERAGE(D7:D9)/E7*100,1)</f>
        <v>0.8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</row>
    <row r="8" spans="1:20" ht="15.75" customHeight="1">
      <c r="A8" s="175"/>
      <c r="B8" s="108"/>
      <c r="C8" s="176" t="s">
        <v>408</v>
      </c>
      <c r="D8" s="35">
        <v>1250</v>
      </c>
      <c r="E8" s="177"/>
      <c r="F8" s="17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</row>
    <row r="9" spans="1:20" ht="15.75" customHeight="1">
      <c r="A9" s="175"/>
      <c r="B9" s="108"/>
      <c r="C9" s="176" t="s">
        <v>409</v>
      </c>
      <c r="D9" s="35">
        <v>806</v>
      </c>
      <c r="E9" s="177"/>
      <c r="F9" s="180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</row>
    <row r="10" spans="1:20">
      <c r="B10" s="181"/>
      <c r="C10" s="182"/>
      <c r="D10" s="61"/>
      <c r="E10" s="183"/>
      <c r="F10" s="184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</row>
    <row r="11" spans="1:20">
      <c r="B11" s="181"/>
      <c r="C11" s="182"/>
      <c r="D11" s="61"/>
      <c r="E11" s="183"/>
      <c r="F11" s="184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 spans="1:20">
      <c r="A12" s="170" t="s">
        <v>410</v>
      </c>
      <c r="B12" s="116"/>
      <c r="C12" s="116"/>
      <c r="D12" s="61"/>
      <c r="F12" s="61"/>
      <c r="G12" s="3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3" spans="1:20" ht="15.75" customHeight="1">
      <c r="A13" s="108" t="s">
        <v>34</v>
      </c>
      <c r="B13" s="108" t="s">
        <v>402</v>
      </c>
      <c r="C13" s="108" t="s">
        <v>403</v>
      </c>
      <c r="D13" s="108" t="s">
        <v>411</v>
      </c>
      <c r="E13" s="174" t="s">
        <v>412</v>
      </c>
      <c r="F13" s="174" t="s">
        <v>413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0" ht="15.75" customHeight="1">
      <c r="A14" s="108"/>
      <c r="B14" s="108"/>
      <c r="C14" s="108"/>
      <c r="D14" s="108"/>
      <c r="E14" s="108"/>
      <c r="F14" s="108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</row>
    <row r="15" spans="1:20" ht="15.75" customHeight="1">
      <c r="A15" s="175">
        <v>45372</v>
      </c>
      <c r="B15" s="108">
        <v>6</v>
      </c>
      <c r="C15" s="185" t="s">
        <v>414</v>
      </c>
      <c r="D15" s="35">
        <v>0</v>
      </c>
      <c r="E15" s="118">
        <v>1804</v>
      </c>
      <c r="F15" s="178">
        <f>ROUND(AVERAGE(D15:D17)/E15*100,1)</f>
        <v>0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20" ht="15.75" customHeight="1">
      <c r="A16" s="175"/>
      <c r="B16" s="108"/>
      <c r="C16" s="176" t="s">
        <v>415</v>
      </c>
      <c r="D16" s="35">
        <v>0</v>
      </c>
      <c r="E16" s="118"/>
      <c r="F16" s="17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0" ht="15.75" customHeight="1">
      <c r="A17" s="175"/>
      <c r="B17" s="108"/>
      <c r="C17" s="176" t="s">
        <v>416</v>
      </c>
      <c r="D17" s="35">
        <v>0</v>
      </c>
      <c r="E17" s="118"/>
      <c r="F17" s="180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</row>
    <row r="18" spans="1:20">
      <c r="B18" s="3"/>
      <c r="C18" s="3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4">
      <c r="A19" s="186" t="s">
        <v>417</v>
      </c>
      <c r="B19" s="3"/>
      <c r="C19" s="3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116" t="s">
        <v>410</v>
      </c>
      <c r="B20" s="116"/>
      <c r="C20" s="116"/>
      <c r="D20" s="61"/>
      <c r="F20" s="61"/>
      <c r="G20" s="69"/>
    </row>
    <row r="21" spans="1:20">
      <c r="A21" s="108" t="s">
        <v>34</v>
      </c>
      <c r="B21" s="108" t="s">
        <v>402</v>
      </c>
      <c r="C21" s="108" t="s">
        <v>403</v>
      </c>
      <c r="D21" s="108" t="s">
        <v>411</v>
      </c>
      <c r="E21" s="174" t="s">
        <v>412</v>
      </c>
      <c r="F21" s="108" t="s">
        <v>418</v>
      </c>
      <c r="G21" s="69"/>
    </row>
    <row r="22" spans="1:20">
      <c r="A22" s="108"/>
      <c r="B22" s="108"/>
      <c r="C22" s="108"/>
      <c r="D22" s="108"/>
      <c r="E22" s="108"/>
      <c r="F22" s="108"/>
      <c r="G22" s="69"/>
    </row>
    <row r="23" spans="1:20">
      <c r="A23" s="175">
        <v>45367</v>
      </c>
      <c r="B23" s="108">
        <v>1</v>
      </c>
      <c r="C23" s="176" t="s">
        <v>414</v>
      </c>
      <c r="D23" s="35">
        <v>588</v>
      </c>
      <c r="E23" s="118">
        <v>1305</v>
      </c>
      <c r="F23" s="178">
        <f>ROUND(AVERAGE(D23:D25)/E23*100,1)</f>
        <v>147.80000000000001</v>
      </c>
      <c r="G23" s="69"/>
    </row>
    <row r="24" spans="1:20">
      <c r="A24" s="175"/>
      <c r="B24" s="108"/>
      <c r="C24" s="176" t="s">
        <v>415</v>
      </c>
      <c r="D24" s="35">
        <v>0</v>
      </c>
      <c r="E24" s="118"/>
      <c r="F24" s="179"/>
      <c r="G24" s="69"/>
    </row>
    <row r="25" spans="1:20">
      <c r="A25" s="175"/>
      <c r="B25" s="108"/>
      <c r="C25" s="176" t="s">
        <v>416</v>
      </c>
      <c r="D25" s="35">
        <v>5197</v>
      </c>
      <c r="E25" s="118"/>
      <c r="F25" s="180"/>
      <c r="G25" s="69"/>
    </row>
    <row r="26" spans="1:20">
      <c r="G26" s="69"/>
    </row>
    <row r="27" spans="1:20">
      <c r="G27" s="69"/>
    </row>
    <row r="28" spans="1:20">
      <c r="A28" s="116" t="s">
        <v>410</v>
      </c>
      <c r="B28" s="116"/>
      <c r="C28" s="116"/>
      <c r="D28" s="61"/>
      <c r="F28" s="61"/>
      <c r="G28" s="69"/>
    </row>
    <row r="29" spans="1:20">
      <c r="A29" s="108" t="s">
        <v>34</v>
      </c>
      <c r="B29" s="108" t="s">
        <v>402</v>
      </c>
      <c r="C29" s="108" t="s">
        <v>403</v>
      </c>
      <c r="D29" s="108" t="s">
        <v>411</v>
      </c>
      <c r="E29" s="174" t="s">
        <v>412</v>
      </c>
      <c r="F29" s="108" t="s">
        <v>418</v>
      </c>
      <c r="G29" s="69"/>
    </row>
    <row r="30" spans="1:20">
      <c r="A30" s="108"/>
      <c r="B30" s="108"/>
      <c r="C30" s="108"/>
      <c r="D30" s="108"/>
      <c r="E30" s="108"/>
      <c r="F30" s="108"/>
      <c r="G30" s="69"/>
    </row>
    <row r="31" spans="1:20">
      <c r="A31" s="175">
        <v>45370</v>
      </c>
      <c r="B31" s="108">
        <v>4</v>
      </c>
      <c r="C31" s="176" t="s">
        <v>414</v>
      </c>
      <c r="D31" s="35">
        <v>523</v>
      </c>
      <c r="E31" s="118">
        <v>1073</v>
      </c>
      <c r="F31" s="178">
        <f>ROUND(AVERAGE(D31:D33)/E31*100,1)</f>
        <v>111.4</v>
      </c>
      <c r="G31" s="69"/>
    </row>
    <row r="32" spans="1:20">
      <c r="A32" s="175"/>
      <c r="B32" s="108"/>
      <c r="C32" s="176" t="s">
        <v>415</v>
      </c>
      <c r="D32" s="35">
        <v>0</v>
      </c>
      <c r="E32" s="118"/>
      <c r="F32" s="179"/>
      <c r="G32" s="69"/>
    </row>
    <row r="33" spans="1:7">
      <c r="A33" s="175"/>
      <c r="B33" s="108"/>
      <c r="C33" s="176" t="s">
        <v>416</v>
      </c>
      <c r="D33" s="35">
        <v>3063</v>
      </c>
      <c r="E33" s="118"/>
      <c r="F33" s="180"/>
      <c r="G33" s="69"/>
    </row>
    <row r="34" spans="1:7">
      <c r="G34" s="69"/>
    </row>
  </sheetData>
  <mergeCells count="44">
    <mergeCell ref="A31:A33"/>
    <mergeCell ref="B31:B33"/>
    <mergeCell ref="E31:E33"/>
    <mergeCell ref="F31:F33"/>
    <mergeCell ref="A29:A30"/>
    <mergeCell ref="B29:B30"/>
    <mergeCell ref="C29:C30"/>
    <mergeCell ref="D29:D30"/>
    <mergeCell ref="E29:E30"/>
    <mergeCell ref="F29:F30"/>
    <mergeCell ref="F21:F22"/>
    <mergeCell ref="A23:A25"/>
    <mergeCell ref="B23:B25"/>
    <mergeCell ref="E23:E25"/>
    <mergeCell ref="F23:F25"/>
    <mergeCell ref="A28:C28"/>
    <mergeCell ref="A15:A17"/>
    <mergeCell ref="B15:B17"/>
    <mergeCell ref="E15:E17"/>
    <mergeCell ref="F15:F17"/>
    <mergeCell ref="A20:C20"/>
    <mergeCell ref="A21:A22"/>
    <mergeCell ref="B21:B22"/>
    <mergeCell ref="C21:C22"/>
    <mergeCell ref="D21:D22"/>
    <mergeCell ref="E21:E22"/>
    <mergeCell ref="A13:A14"/>
    <mergeCell ref="B13:B14"/>
    <mergeCell ref="C13:C14"/>
    <mergeCell ref="D13:D14"/>
    <mergeCell ref="E13:E14"/>
    <mergeCell ref="F13:F14"/>
    <mergeCell ref="F5:F6"/>
    <mergeCell ref="A7:A9"/>
    <mergeCell ref="B7:B9"/>
    <mergeCell ref="E7:E9"/>
    <mergeCell ref="F7:F9"/>
    <mergeCell ref="A12:C12"/>
    <mergeCell ref="A2:C2"/>
    <mergeCell ref="A5:A6"/>
    <mergeCell ref="B5:B6"/>
    <mergeCell ref="C5:C6"/>
    <mergeCell ref="D5:D6"/>
    <mergeCell ref="E5:E6"/>
  </mergeCells>
  <phoneticPr fontId="16" type="noConversion"/>
  <conditionalFormatting sqref="A1:XFD1048576">
    <cfRule type="containsText" dxfId="1" priority="1" operator="containsText" text="ISSS24050">
      <formula>NOT(ISERROR(SEARCH("ISSS24050",A1)))</formula>
    </cfRule>
  </conditionalFormatting>
  <conditionalFormatting sqref="I14">
    <cfRule type="colorScale" priority="3">
      <colorScale>
        <cfvo type="num" val="&quot;$C$15&quot;"/>
        <cfvo type="max"/>
        <color rgb="FFFF7128"/>
        <color rgb="FFFFEF9C"/>
      </colorScale>
    </cfRule>
  </conditionalFormatting>
  <conditionalFormatting sqref="I21">
    <cfRule type="containsText" dxfId="0" priority="2" operator="containsText" text="ISSS24050">
      <formula>NOT(ISERROR(SEARCH("ISSS24050",I21)))</formula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0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2:E87"/>
  <sheetViews>
    <sheetView view="pageBreakPreview" topLeftCell="A58" zoomScaleSheetLayoutView="100" workbookViewId="0">
      <selection activeCell="C28" sqref="C28"/>
    </sheetView>
  </sheetViews>
  <sheetFormatPr defaultColWidth="9" defaultRowHeight="15.75" customHeight="1"/>
  <cols>
    <col min="1" max="1" width="34.83203125" style="40" bestFit="1" customWidth="1"/>
    <col min="2" max="3" width="16.58203125" style="40" customWidth="1"/>
    <col min="4" max="4" width="20.25" style="40" customWidth="1"/>
    <col min="5" max="5" width="19.58203125" style="40" customWidth="1"/>
    <col min="6" max="220" width="13.5" style="40" customWidth="1"/>
    <col min="221" max="16384" width="9" style="40"/>
  </cols>
  <sheetData>
    <row r="2" spans="1:5" ht="15.75" customHeight="1">
      <c r="A2" s="22" t="s">
        <v>253</v>
      </c>
    </row>
    <row r="4" spans="1:5" ht="15.75" customHeight="1">
      <c r="A4" s="101" t="s">
        <v>294</v>
      </c>
      <c r="B4" s="126"/>
      <c r="C4" s="102"/>
      <c r="D4" s="101" t="s">
        <v>293</v>
      </c>
      <c r="E4" s="102"/>
    </row>
    <row r="5" spans="1:5" ht="15.75" customHeight="1">
      <c r="A5" s="108" t="s">
        <v>78</v>
      </c>
      <c r="B5" s="34" t="s">
        <v>16</v>
      </c>
      <c r="C5" s="114" t="s">
        <v>79</v>
      </c>
      <c r="D5" s="49" t="s">
        <v>1</v>
      </c>
      <c r="E5" s="114" t="s">
        <v>79</v>
      </c>
    </row>
    <row r="6" spans="1:5" ht="15.75" customHeight="1">
      <c r="A6" s="108"/>
      <c r="B6" s="50">
        <v>150</v>
      </c>
      <c r="C6" s="125"/>
      <c r="D6" s="50">
        <v>18750</v>
      </c>
      <c r="E6" s="125"/>
    </row>
    <row r="7" spans="1:5" ht="15.75" customHeight="1">
      <c r="A7" s="108"/>
      <c r="B7" s="51" t="s">
        <v>118</v>
      </c>
      <c r="C7" s="115"/>
      <c r="D7" s="51" t="s">
        <v>118</v>
      </c>
      <c r="E7" s="115"/>
    </row>
    <row r="8" spans="1:5" ht="15.75" customHeight="1">
      <c r="A8" s="127" t="s">
        <v>112</v>
      </c>
      <c r="B8" s="76">
        <v>145.38200000000001</v>
      </c>
      <c r="C8" s="92">
        <f>ROUND((B8-B$6)/B$6*100,1)</f>
        <v>-3.1</v>
      </c>
      <c r="D8" s="76">
        <v>17860.435000000001</v>
      </c>
      <c r="E8" s="92">
        <f>ROUND((D8-D$6)/D$6*100,1)</f>
        <v>-4.7</v>
      </c>
    </row>
    <row r="9" spans="1:5" ht="15.75" customHeight="1">
      <c r="A9" s="127"/>
      <c r="B9" s="76">
        <v>139.727</v>
      </c>
      <c r="C9" s="92">
        <f>ROUND((B9-B$6)/B$6*100,1)</f>
        <v>-6.8</v>
      </c>
      <c r="D9" s="76">
        <v>19304.427</v>
      </c>
      <c r="E9" s="92">
        <f>ROUND((D9-D$6)/D$6*100,1)</f>
        <v>3</v>
      </c>
    </row>
    <row r="10" spans="1:5" ht="15.75" customHeight="1">
      <c r="A10" s="127"/>
      <c r="B10" s="76">
        <v>126.11</v>
      </c>
      <c r="C10" s="92">
        <f>ROUND((B10-B$6)/B$6*100,1)</f>
        <v>-15.9</v>
      </c>
      <c r="D10" s="76">
        <v>18885.381000000001</v>
      </c>
      <c r="E10" s="92">
        <f>ROUND((D10-D$6)/D$6*100,1)</f>
        <v>0.7</v>
      </c>
    </row>
    <row r="11" spans="1:5" ht="15.75" customHeight="1">
      <c r="A11" s="34" t="s">
        <v>27</v>
      </c>
      <c r="B11" s="76">
        <f>ROUND(AVERAGE(B8:B10),3)</f>
        <v>137.07300000000001</v>
      </c>
      <c r="C11" s="119"/>
      <c r="D11" s="76">
        <f>ROUND(AVERAGE(D8:D10),3)</f>
        <v>18683.414000000001</v>
      </c>
      <c r="E11" s="119"/>
    </row>
    <row r="12" spans="1:5" ht="15.75" customHeight="1">
      <c r="A12" s="34" t="s">
        <v>3</v>
      </c>
      <c r="B12" s="76">
        <f>ROUND(STDEV(B8:B10),3)</f>
        <v>9.9060000000000006</v>
      </c>
      <c r="C12" s="120"/>
      <c r="D12" s="76">
        <f>ROUND(STDEV(D8:D10),3)</f>
        <v>742.88</v>
      </c>
      <c r="E12" s="120"/>
    </row>
    <row r="13" spans="1:5" ht="15.75" customHeight="1">
      <c r="A13" s="34" t="s">
        <v>80</v>
      </c>
      <c r="B13" s="92">
        <f>ROUND(B12/B11*100,1)</f>
        <v>7.2</v>
      </c>
      <c r="C13" s="120"/>
      <c r="D13" s="92">
        <f>ROUND(D12/D11*100,1)</f>
        <v>4</v>
      </c>
      <c r="E13" s="120"/>
    </row>
    <row r="14" spans="1:5" ht="15.75" customHeight="1">
      <c r="A14" s="34" t="s">
        <v>81</v>
      </c>
      <c r="B14" s="92">
        <f>ROUND(B11/B$6*100,1)</f>
        <v>91.4</v>
      </c>
      <c r="C14" s="120"/>
      <c r="D14" s="92">
        <f>ROUND(D11/D$6*100,1)</f>
        <v>99.6</v>
      </c>
      <c r="E14" s="120"/>
    </row>
    <row r="15" spans="1:5" ht="15.75" customHeight="1">
      <c r="A15" s="34" t="s">
        <v>79</v>
      </c>
      <c r="B15" s="92">
        <f>ROUND((B11-B$6)/B$6*100,1)</f>
        <v>-8.6</v>
      </c>
      <c r="C15" s="120"/>
      <c r="D15" s="92">
        <f>ROUND((D11-D$6)/D$6*100,1)</f>
        <v>-0.4</v>
      </c>
      <c r="E15" s="120"/>
    </row>
    <row r="16" spans="1:5" ht="15.75" customHeight="1">
      <c r="A16" s="34" t="s">
        <v>5</v>
      </c>
      <c r="B16" s="34">
        <v>3</v>
      </c>
      <c r="C16" s="121"/>
      <c r="D16" s="34">
        <v>3</v>
      </c>
      <c r="E16" s="121"/>
    </row>
    <row r="17" spans="1:5" ht="15.75" customHeight="1">
      <c r="A17" s="127" t="s">
        <v>113</v>
      </c>
      <c r="B17" s="76">
        <v>138.214</v>
      </c>
      <c r="C17" s="92">
        <f>ROUND((B17-B$6)/B$6*100,1)</f>
        <v>-7.9</v>
      </c>
      <c r="D17" s="76">
        <v>18474.894</v>
      </c>
      <c r="E17" s="92">
        <f>ROUND((D17-D$6)/D$6*100,1)</f>
        <v>-1.5</v>
      </c>
    </row>
    <row r="18" spans="1:5" ht="15.75" customHeight="1">
      <c r="A18" s="127"/>
      <c r="B18" s="76">
        <v>163.161</v>
      </c>
      <c r="C18" s="92">
        <f>ROUND((B18-B$6)/B$6*100,1)</f>
        <v>8.8000000000000007</v>
      </c>
      <c r="D18" s="76">
        <v>20413.412</v>
      </c>
      <c r="E18" s="92">
        <f>ROUND((D18-D$6)/D$6*100,1)</f>
        <v>8.9</v>
      </c>
    </row>
    <row r="19" spans="1:5" ht="13.5">
      <c r="A19" s="127"/>
      <c r="B19" s="76">
        <v>125.80500000000001</v>
      </c>
      <c r="C19" s="92">
        <f>ROUND((B19-B$6)/B$6*100,1)</f>
        <v>-16.100000000000001</v>
      </c>
      <c r="D19" s="76">
        <v>19578.103999999999</v>
      </c>
      <c r="E19" s="92">
        <f>ROUND((D19-D$6)/D$6*100,1)</f>
        <v>4.4000000000000004</v>
      </c>
    </row>
    <row r="20" spans="1:5" ht="15.75" customHeight="1">
      <c r="A20" s="34" t="s">
        <v>27</v>
      </c>
      <c r="B20" s="76">
        <f>ROUND(AVERAGE(B17:B19),3)</f>
        <v>142.393</v>
      </c>
      <c r="C20" s="119"/>
      <c r="D20" s="76">
        <f>ROUND(AVERAGE(D17:D19),3)</f>
        <v>19488.803</v>
      </c>
      <c r="E20" s="119"/>
    </row>
    <row r="21" spans="1:5" ht="15.75" customHeight="1">
      <c r="A21" s="34" t="s">
        <v>3</v>
      </c>
      <c r="B21" s="76">
        <f>ROUND(STDEV(B17:B19),3)</f>
        <v>19.024999999999999</v>
      </c>
      <c r="C21" s="120"/>
      <c r="D21" s="76">
        <f>ROUND(STDEV(D17:D19),3)</f>
        <v>972.33900000000006</v>
      </c>
      <c r="E21" s="120"/>
    </row>
    <row r="22" spans="1:5" ht="15.75" customHeight="1">
      <c r="A22" s="34" t="s">
        <v>80</v>
      </c>
      <c r="B22" s="92">
        <f>ROUND(B21/B20*100,1)</f>
        <v>13.4</v>
      </c>
      <c r="C22" s="120"/>
      <c r="D22" s="92">
        <f>ROUND(D21/D20*100,1)</f>
        <v>5</v>
      </c>
      <c r="E22" s="120"/>
    </row>
    <row r="23" spans="1:5" ht="15.75" customHeight="1">
      <c r="A23" s="34" t="s">
        <v>81</v>
      </c>
      <c r="B23" s="92">
        <f>ROUND(B20/B$6*100,1)</f>
        <v>94.9</v>
      </c>
      <c r="C23" s="120"/>
      <c r="D23" s="92">
        <f>ROUND(D20/D$6*100,1)</f>
        <v>103.9</v>
      </c>
      <c r="E23" s="120"/>
    </row>
    <row r="24" spans="1:5" ht="15.75" customHeight="1">
      <c r="A24" s="34" t="s">
        <v>79</v>
      </c>
      <c r="B24" s="92">
        <f>ROUND((B20-B$6)/B$6*100,1)</f>
        <v>-5.0999999999999996</v>
      </c>
      <c r="C24" s="120"/>
      <c r="D24" s="92">
        <f>ROUND((D20-D$6)/D$6*100,1)</f>
        <v>3.9</v>
      </c>
      <c r="E24" s="120"/>
    </row>
    <row r="25" spans="1:5" ht="15.75" customHeight="1">
      <c r="A25" s="34" t="s">
        <v>5</v>
      </c>
      <c r="B25" s="34">
        <v>3</v>
      </c>
      <c r="C25" s="121"/>
      <c r="D25" s="34">
        <v>3</v>
      </c>
      <c r="E25" s="121"/>
    </row>
    <row r="26" spans="1:5" ht="15.75" customHeight="1">
      <c r="A26" s="118" t="s">
        <v>114</v>
      </c>
      <c r="B26" s="76">
        <v>135.49100000000001</v>
      </c>
      <c r="C26" s="92">
        <f>ROUND((B26-B$6)/B$6*100,1)</f>
        <v>-9.6999999999999993</v>
      </c>
      <c r="D26" s="76">
        <v>19260.3</v>
      </c>
      <c r="E26" s="92">
        <f>ROUND((D26-D$6)/D$6*100,1)</f>
        <v>2.7</v>
      </c>
    </row>
    <row r="27" spans="1:5" ht="15.75" customHeight="1">
      <c r="A27" s="118"/>
      <c r="B27" s="76">
        <v>148.66999999999999</v>
      </c>
      <c r="C27" s="92">
        <f>ROUND((B27-B$6)/B$6*100,1)</f>
        <v>-0.9</v>
      </c>
      <c r="D27" s="76">
        <v>18559.082999999999</v>
      </c>
      <c r="E27" s="92">
        <f>ROUND((D27-D$6)/D$6*100,1)</f>
        <v>-1</v>
      </c>
    </row>
    <row r="28" spans="1:5" ht="15.75" customHeight="1">
      <c r="A28" s="118"/>
      <c r="B28" s="76">
        <v>149.72900000000001</v>
      </c>
      <c r="C28" s="92">
        <f>ROUND((B28-B$6)/B$6*100,1)</f>
        <v>-0.2</v>
      </c>
      <c r="D28" s="76">
        <v>19341.683000000001</v>
      </c>
      <c r="E28" s="92">
        <f>ROUND((D28-D$6)/D$6*100,1)</f>
        <v>3.2</v>
      </c>
    </row>
    <row r="29" spans="1:5" ht="15.75" customHeight="1">
      <c r="A29" s="34" t="s">
        <v>27</v>
      </c>
      <c r="B29" s="76">
        <f>ROUND(AVERAGE(B26:B28),3)</f>
        <v>144.63</v>
      </c>
      <c r="C29" s="119"/>
      <c r="D29" s="76">
        <f>ROUND(AVERAGE(D26:D28),3)</f>
        <v>19053.688999999998</v>
      </c>
      <c r="E29" s="119"/>
    </row>
    <row r="30" spans="1:5" ht="15.75" customHeight="1">
      <c r="A30" s="34" t="s">
        <v>3</v>
      </c>
      <c r="B30" s="76">
        <f>ROUND(STDEV(B26:B28),3)</f>
        <v>7.9320000000000004</v>
      </c>
      <c r="C30" s="120"/>
      <c r="D30" s="76">
        <f>ROUND(STDEV(D26:D28),3)</f>
        <v>430.27</v>
      </c>
      <c r="E30" s="120"/>
    </row>
    <row r="31" spans="1:5" ht="15.75" customHeight="1">
      <c r="A31" s="34" t="s">
        <v>80</v>
      </c>
      <c r="B31" s="92">
        <f>ROUND(B30/B29*100,1)</f>
        <v>5.5</v>
      </c>
      <c r="C31" s="120"/>
      <c r="D31" s="92">
        <f>ROUND(D30/D29*100,1)</f>
        <v>2.2999999999999998</v>
      </c>
      <c r="E31" s="120"/>
    </row>
    <row r="32" spans="1:5" ht="15.75" customHeight="1">
      <c r="A32" s="34" t="s">
        <v>81</v>
      </c>
      <c r="B32" s="92">
        <f>ROUND(B29/B$6*100,1)</f>
        <v>96.4</v>
      </c>
      <c r="C32" s="120"/>
      <c r="D32" s="92">
        <f>ROUND(D29/D$6*100,1)</f>
        <v>101.6</v>
      </c>
      <c r="E32" s="120"/>
    </row>
    <row r="33" spans="1:5" ht="15.75" customHeight="1">
      <c r="A33" s="34" t="s">
        <v>79</v>
      </c>
      <c r="B33" s="92">
        <f>ROUND((B29-B$6)/B$6*100,1)</f>
        <v>-3.6</v>
      </c>
      <c r="C33" s="120"/>
      <c r="D33" s="92">
        <f>ROUND((D29-D$6)/D$6*100,1)</f>
        <v>1.6</v>
      </c>
      <c r="E33" s="120"/>
    </row>
    <row r="34" spans="1:5" ht="15.75" customHeight="1">
      <c r="A34" s="34" t="s">
        <v>5</v>
      </c>
      <c r="B34" s="34">
        <v>3</v>
      </c>
      <c r="C34" s="121"/>
      <c r="D34" s="34">
        <v>3</v>
      </c>
      <c r="E34" s="121"/>
    </row>
    <row r="35" spans="1:5" ht="15.75" customHeight="1">
      <c r="A35" s="118" t="s">
        <v>115</v>
      </c>
      <c r="B35" s="76">
        <v>143.762</v>
      </c>
      <c r="C35" s="92">
        <f>ROUND((B35-B$6)/B$6*100,1)</f>
        <v>-4.2</v>
      </c>
      <c r="D35" s="76">
        <v>20859.913</v>
      </c>
      <c r="E35" s="92">
        <f>ROUND((D35-D$6)/D$6*100,1)</f>
        <v>11.3</v>
      </c>
    </row>
    <row r="36" spans="1:5" ht="15.75" customHeight="1">
      <c r="A36" s="118"/>
      <c r="B36" s="76">
        <v>154.99299999999999</v>
      </c>
      <c r="C36" s="92">
        <f>ROUND((B36-B$6)/B$6*100,1)</f>
        <v>3.3</v>
      </c>
      <c r="D36" s="76">
        <v>20066.863000000001</v>
      </c>
      <c r="E36" s="92">
        <f>ROUND((D36-D$6)/D$6*100,1)</f>
        <v>7</v>
      </c>
    </row>
    <row r="37" spans="1:5" ht="15.75" customHeight="1">
      <c r="A37" s="118"/>
      <c r="B37" s="76">
        <v>161.00200000000001</v>
      </c>
      <c r="C37" s="92">
        <f>ROUND((B37-B$6)/B$6*100,1)</f>
        <v>7.3</v>
      </c>
      <c r="D37" s="76">
        <v>20079.982</v>
      </c>
      <c r="E37" s="92">
        <f>ROUND((D37-D$6)/D$6*100,1)</f>
        <v>7.1</v>
      </c>
    </row>
    <row r="38" spans="1:5" ht="15.75" customHeight="1">
      <c r="A38" s="34" t="s">
        <v>27</v>
      </c>
      <c r="B38" s="76">
        <f>ROUND(AVERAGE(B35:B37),3)</f>
        <v>153.25200000000001</v>
      </c>
      <c r="C38" s="119"/>
      <c r="D38" s="76">
        <f>ROUND(AVERAGE(D35:D37),3)</f>
        <v>20335.585999999999</v>
      </c>
      <c r="E38" s="119"/>
    </row>
    <row r="39" spans="1:5" ht="15.75" customHeight="1">
      <c r="A39" s="34" t="s">
        <v>3</v>
      </c>
      <c r="B39" s="76">
        <f>ROUND(STDEV(B35:B37),3)</f>
        <v>8.7509999999999994</v>
      </c>
      <c r="C39" s="120"/>
      <c r="D39" s="76">
        <f>ROUND(STDEV(D35:D37),3)</f>
        <v>454.12799999999999</v>
      </c>
      <c r="E39" s="120"/>
    </row>
    <row r="40" spans="1:5" ht="15.75" customHeight="1">
      <c r="A40" s="34" t="s">
        <v>80</v>
      </c>
      <c r="B40" s="92">
        <f>ROUND(B39/B38*100,1)</f>
        <v>5.7</v>
      </c>
      <c r="C40" s="120"/>
      <c r="D40" s="92">
        <f>ROUND(D39/D38*100,1)</f>
        <v>2.2000000000000002</v>
      </c>
      <c r="E40" s="120"/>
    </row>
    <row r="41" spans="1:5" ht="15.75" customHeight="1">
      <c r="A41" s="34" t="s">
        <v>81</v>
      </c>
      <c r="B41" s="92">
        <f>ROUND(B38/B$6*100,1)</f>
        <v>102.2</v>
      </c>
      <c r="C41" s="120"/>
      <c r="D41" s="92">
        <f>ROUND(D38/D$6*100,1)</f>
        <v>108.5</v>
      </c>
      <c r="E41" s="120"/>
    </row>
    <row r="42" spans="1:5" ht="15.75" customHeight="1">
      <c r="A42" s="34" t="s">
        <v>79</v>
      </c>
      <c r="B42" s="92">
        <f>ROUND((B38-B$6)/B$6*100,1)</f>
        <v>2.2000000000000002</v>
      </c>
      <c r="C42" s="120"/>
      <c r="D42" s="92">
        <f>ROUND((D38-D$6)/D$6*100,1)</f>
        <v>8.5</v>
      </c>
      <c r="E42" s="120"/>
    </row>
    <row r="43" spans="1:5" ht="15.75" customHeight="1">
      <c r="A43" s="34" t="s">
        <v>5</v>
      </c>
      <c r="B43" s="34">
        <v>3</v>
      </c>
      <c r="C43" s="121"/>
      <c r="D43" s="34">
        <v>3</v>
      </c>
      <c r="E43" s="121"/>
    </row>
    <row r="44" spans="1:5" ht="15.75" customHeight="1">
      <c r="A44" s="118" t="s">
        <v>116</v>
      </c>
      <c r="B44" s="76">
        <v>161.32599999999999</v>
      </c>
      <c r="C44" s="92">
        <f>ROUND((B44-B$6)/B$6*100,1)</f>
        <v>7.6</v>
      </c>
      <c r="D44" s="76">
        <v>22189.809000000001</v>
      </c>
      <c r="E44" s="92">
        <f>ROUND((D44-D$6)/D$6*100,1)</f>
        <v>18.3</v>
      </c>
    </row>
    <row r="45" spans="1:5" ht="15.75" customHeight="1">
      <c r="A45" s="118"/>
      <c r="B45" s="76">
        <v>133.06800000000001</v>
      </c>
      <c r="C45" s="92">
        <f>ROUND((B45-B$6)/B$6*100,1)</f>
        <v>-11.3</v>
      </c>
      <c r="D45" s="76">
        <v>17360.574000000001</v>
      </c>
      <c r="E45" s="92">
        <f>ROUND((D45-D$6)/D$6*100,1)</f>
        <v>-7.4</v>
      </c>
    </row>
    <row r="46" spans="1:5" ht="15.75" customHeight="1">
      <c r="A46" s="118"/>
      <c r="B46" s="76">
        <v>151.072</v>
      </c>
      <c r="C46" s="92">
        <f>ROUND((B46-B$6)/B$6*100,1)</f>
        <v>0.7</v>
      </c>
      <c r="D46" s="76">
        <v>17578.686000000002</v>
      </c>
      <c r="E46" s="92">
        <f>ROUND((D46-D$6)/D$6*100,1)</f>
        <v>-6.2</v>
      </c>
    </row>
    <row r="47" spans="1:5" ht="15.75" customHeight="1">
      <c r="A47" s="34" t="s">
        <v>27</v>
      </c>
      <c r="B47" s="76">
        <f>ROUND(AVERAGE(B44:B46),3)</f>
        <v>148.489</v>
      </c>
      <c r="C47" s="119"/>
      <c r="D47" s="76">
        <f>ROUND(AVERAGE(D44:D46),3)</f>
        <v>19043.023000000001</v>
      </c>
      <c r="E47" s="119"/>
    </row>
    <row r="48" spans="1:5" ht="15.75" customHeight="1">
      <c r="A48" s="34" t="s">
        <v>3</v>
      </c>
      <c r="B48" s="76">
        <f>ROUND(STDEV(B44:B46),3)</f>
        <v>14.305</v>
      </c>
      <c r="C48" s="120"/>
      <c r="D48" s="76">
        <f>ROUND(STDEV(D44:D46),3)</f>
        <v>2727.3780000000002</v>
      </c>
      <c r="E48" s="120"/>
    </row>
    <row r="49" spans="1:5" ht="15.75" customHeight="1">
      <c r="A49" s="34" t="s">
        <v>80</v>
      </c>
      <c r="B49" s="92">
        <f>ROUND(B48/B47*100,1)</f>
        <v>9.6</v>
      </c>
      <c r="C49" s="120"/>
      <c r="D49" s="92">
        <f>ROUND(D48/D47*100,1)</f>
        <v>14.3</v>
      </c>
      <c r="E49" s="120"/>
    </row>
    <row r="50" spans="1:5" ht="15.75" customHeight="1">
      <c r="A50" s="34" t="s">
        <v>81</v>
      </c>
      <c r="B50" s="92">
        <f>ROUND(B47/B$6*100,1)</f>
        <v>99</v>
      </c>
      <c r="C50" s="120"/>
      <c r="D50" s="92">
        <f>ROUND(D47/D$6*100,1)</f>
        <v>101.6</v>
      </c>
      <c r="E50" s="120"/>
    </row>
    <row r="51" spans="1:5" ht="15.75" customHeight="1">
      <c r="A51" s="34" t="s">
        <v>79</v>
      </c>
      <c r="B51" s="92">
        <f>ROUND((B47-B$6)/B$6*100,1)</f>
        <v>-1</v>
      </c>
      <c r="C51" s="120"/>
      <c r="D51" s="92">
        <f>ROUND((D47-D$6)/D$6*100,1)</f>
        <v>1.6</v>
      </c>
      <c r="E51" s="120"/>
    </row>
    <row r="52" spans="1:5" ht="15.75" customHeight="1">
      <c r="A52" s="34" t="s">
        <v>5</v>
      </c>
      <c r="B52" s="34">
        <v>3</v>
      </c>
      <c r="C52" s="121"/>
      <c r="D52" s="34">
        <v>3</v>
      </c>
      <c r="E52" s="121"/>
    </row>
    <row r="53" spans="1:5" ht="15.75" customHeight="1">
      <c r="A53" s="118" t="s">
        <v>117</v>
      </c>
      <c r="B53" s="76">
        <v>164.88</v>
      </c>
      <c r="C53" s="92">
        <f>ROUND((B53-B$6)/B$6*100,1)</f>
        <v>9.9</v>
      </c>
      <c r="D53" s="76">
        <v>20435.539000000001</v>
      </c>
      <c r="E53" s="92">
        <f>ROUND((D53-D$6)/D$6*100,1)</f>
        <v>9</v>
      </c>
    </row>
    <row r="54" spans="1:5" ht="15.75" customHeight="1">
      <c r="A54" s="118"/>
      <c r="B54" s="76">
        <v>166.166</v>
      </c>
      <c r="C54" s="92">
        <f>ROUND((B54-B$6)/B$6*100,1)</f>
        <v>10.8</v>
      </c>
      <c r="D54" s="76">
        <v>21203.045999999998</v>
      </c>
      <c r="E54" s="92">
        <f>ROUND((D54-D$6)/D$6*100,1)</f>
        <v>13.1</v>
      </c>
    </row>
    <row r="55" spans="1:5" ht="15.75" customHeight="1">
      <c r="A55" s="118"/>
      <c r="B55" s="76">
        <v>161.655</v>
      </c>
      <c r="C55" s="92">
        <f>ROUND((B55-B$6)/B$6*100,1)</f>
        <v>7.8</v>
      </c>
      <c r="D55" s="76">
        <v>20381.661</v>
      </c>
      <c r="E55" s="92">
        <f>ROUND((D55-D$6)/D$6*100,1)</f>
        <v>8.6999999999999993</v>
      </c>
    </row>
    <row r="56" spans="1:5" ht="15.75" customHeight="1">
      <c r="A56" s="34" t="s">
        <v>27</v>
      </c>
      <c r="B56" s="76">
        <f>ROUND(AVERAGE(B53:B55),3)</f>
        <v>164.23400000000001</v>
      </c>
      <c r="C56" s="119"/>
      <c r="D56" s="76">
        <f>ROUND(AVERAGE(D53:D55),3)</f>
        <v>20673.415000000001</v>
      </c>
      <c r="E56" s="119"/>
    </row>
    <row r="57" spans="1:5" ht="15.75" customHeight="1">
      <c r="A57" s="34" t="s">
        <v>3</v>
      </c>
      <c r="B57" s="76">
        <f>ROUND(STDEV(B53:B55),3)</f>
        <v>2.3239999999999998</v>
      </c>
      <c r="C57" s="120"/>
      <c r="D57" s="76">
        <f>ROUND(STDEV(D53:D55),3)</f>
        <v>459.464</v>
      </c>
      <c r="E57" s="120"/>
    </row>
    <row r="58" spans="1:5" ht="15.75" customHeight="1">
      <c r="A58" s="34" t="s">
        <v>80</v>
      </c>
      <c r="B58" s="92">
        <f>ROUND(B57/B56*100,1)</f>
        <v>1.4</v>
      </c>
      <c r="C58" s="120"/>
      <c r="D58" s="92">
        <f>ROUND(D57/D56*100,1)</f>
        <v>2.2000000000000002</v>
      </c>
      <c r="E58" s="120"/>
    </row>
    <row r="59" spans="1:5" ht="15.75" customHeight="1">
      <c r="A59" s="34" t="s">
        <v>81</v>
      </c>
      <c r="B59" s="92">
        <f>ROUND(B56/B$6*100,1)</f>
        <v>109.5</v>
      </c>
      <c r="C59" s="120"/>
      <c r="D59" s="92">
        <f>ROUND(D56/D$6*100,1)</f>
        <v>110.3</v>
      </c>
      <c r="E59" s="120"/>
    </row>
    <row r="60" spans="1:5" ht="15.75" customHeight="1">
      <c r="A60" s="34" t="s">
        <v>79</v>
      </c>
      <c r="B60" s="92">
        <f>ROUND((B56-B$6)/B$6*100,1)</f>
        <v>9.5</v>
      </c>
      <c r="C60" s="120"/>
      <c r="D60" s="92">
        <f>ROUND((D56-D$6)/D$6*100,1)</f>
        <v>10.3</v>
      </c>
      <c r="E60" s="120"/>
    </row>
    <row r="61" spans="1:5" ht="15.75" customHeight="1">
      <c r="A61" s="34" t="s">
        <v>5</v>
      </c>
      <c r="B61" s="34">
        <v>3</v>
      </c>
      <c r="C61" s="121"/>
      <c r="D61" s="34">
        <v>3</v>
      </c>
      <c r="E61" s="121"/>
    </row>
    <row r="62" spans="1:5" ht="15.75" customHeight="1">
      <c r="D62" s="91"/>
      <c r="E62" s="91"/>
    </row>
    <row r="65" spans="1:5" ht="15.75" customHeight="1">
      <c r="A65" s="40" t="s">
        <v>254</v>
      </c>
    </row>
    <row r="66" spans="1:5" ht="15.75" customHeight="1">
      <c r="A66" s="101" t="s">
        <v>295</v>
      </c>
      <c r="B66" s="126"/>
      <c r="C66" s="102"/>
      <c r="D66" s="101" t="s">
        <v>255</v>
      </c>
      <c r="E66" s="102"/>
    </row>
    <row r="67" spans="1:5" ht="15.75" customHeight="1">
      <c r="A67" s="108" t="s">
        <v>78</v>
      </c>
      <c r="B67" s="34" t="s">
        <v>16</v>
      </c>
      <c r="C67" s="114" t="s">
        <v>79</v>
      </c>
      <c r="D67" s="49" t="s">
        <v>1</v>
      </c>
      <c r="E67" s="114" t="s">
        <v>79</v>
      </c>
    </row>
    <row r="68" spans="1:5" ht="15.75" customHeight="1">
      <c r="A68" s="108"/>
      <c r="B68" s="50">
        <v>150</v>
      </c>
      <c r="C68" s="125"/>
      <c r="D68" s="50">
        <v>18750</v>
      </c>
      <c r="E68" s="125"/>
    </row>
    <row r="69" spans="1:5" ht="15.75" customHeight="1">
      <c r="A69" s="108"/>
      <c r="B69" s="51" t="s">
        <v>82</v>
      </c>
      <c r="C69" s="115"/>
      <c r="D69" s="51" t="s">
        <v>82</v>
      </c>
      <c r="E69" s="115"/>
    </row>
    <row r="70" spans="1:5" ht="15.75" customHeight="1">
      <c r="A70" s="118" t="s">
        <v>114</v>
      </c>
      <c r="B70" s="76">
        <v>116.84099999999999</v>
      </c>
      <c r="C70" s="92">
        <f>ROUND((B70-B$6)/B$6*100,1)</f>
        <v>-22.1</v>
      </c>
      <c r="D70" s="76">
        <v>19199.838</v>
      </c>
      <c r="E70" s="92">
        <f>ROUND((D70-D$6)/D$6*100,1)</f>
        <v>2.4</v>
      </c>
    </row>
    <row r="71" spans="1:5" ht="15.75" customHeight="1">
      <c r="A71" s="118"/>
      <c r="B71" s="76">
        <v>158.76400000000001</v>
      </c>
      <c r="C71" s="92">
        <f>ROUND((B71-B$6)/B$6*100,1)</f>
        <v>5.8</v>
      </c>
      <c r="D71" s="76">
        <v>20440.945</v>
      </c>
      <c r="E71" s="92">
        <f>ROUND((D71-D$6)/D$6*100,1)</f>
        <v>9</v>
      </c>
    </row>
    <row r="72" spans="1:5" ht="15.75" customHeight="1">
      <c r="A72" s="118"/>
      <c r="B72" s="76">
        <v>152.20099999999999</v>
      </c>
      <c r="C72" s="92">
        <f>ROUND((B72-B$6)/B$6*100,1)</f>
        <v>1.5</v>
      </c>
      <c r="D72" s="76">
        <v>20440.767</v>
      </c>
      <c r="E72" s="92">
        <f>ROUND((D72-D$6)/D$6*100,1)</f>
        <v>9</v>
      </c>
    </row>
    <row r="73" spans="1:5" ht="15.75" customHeight="1">
      <c r="A73" s="34" t="s">
        <v>27</v>
      </c>
      <c r="B73" s="76">
        <f>ROUND(AVERAGE(B70:B72),3)</f>
        <v>142.602</v>
      </c>
      <c r="C73" s="119"/>
      <c r="D73" s="76">
        <f>ROUND(AVERAGE(D70:D72),3)</f>
        <v>20027.183000000001</v>
      </c>
      <c r="E73" s="119"/>
    </row>
    <row r="74" spans="1:5" ht="15.75" customHeight="1">
      <c r="A74" s="34" t="s">
        <v>3</v>
      </c>
      <c r="B74" s="76">
        <f>ROUND(STDEV(B70:B72),3)</f>
        <v>22.55</v>
      </c>
      <c r="C74" s="120"/>
      <c r="D74" s="76">
        <f>ROUND(STDEV(D70:D72),3)</f>
        <v>716.50199999999995</v>
      </c>
      <c r="E74" s="120"/>
    </row>
    <row r="75" spans="1:5" ht="15.75" customHeight="1">
      <c r="A75" s="34" t="s">
        <v>80</v>
      </c>
      <c r="B75" s="93">
        <f>ROUND(B74/B73*100,1)</f>
        <v>15.8</v>
      </c>
      <c r="C75" s="120"/>
      <c r="D75" s="92">
        <f>ROUND(D74/D73*100,1)</f>
        <v>3.6</v>
      </c>
      <c r="E75" s="120"/>
    </row>
    <row r="76" spans="1:5" ht="15.75" customHeight="1">
      <c r="A76" s="34" t="s">
        <v>81</v>
      </c>
      <c r="B76" s="92">
        <f>ROUND(B73/B$6*100,1)</f>
        <v>95.1</v>
      </c>
      <c r="C76" s="120"/>
      <c r="D76" s="92">
        <f>ROUND(D73/D$6*100,1)</f>
        <v>106.8</v>
      </c>
      <c r="E76" s="120"/>
    </row>
    <row r="77" spans="1:5" ht="15.75" customHeight="1">
      <c r="A77" s="34" t="s">
        <v>79</v>
      </c>
      <c r="B77" s="92">
        <f>ROUND((B73-B$6)/B$6*100,1)</f>
        <v>-4.9000000000000004</v>
      </c>
      <c r="C77" s="120"/>
      <c r="D77" s="92">
        <f>ROUND((D73-D$6)/D$6*100,1)</f>
        <v>6.8</v>
      </c>
      <c r="E77" s="120"/>
    </row>
    <row r="78" spans="1:5" ht="15.75" customHeight="1">
      <c r="A78" s="34" t="s">
        <v>5</v>
      </c>
      <c r="B78" s="34">
        <v>3</v>
      </c>
      <c r="C78" s="121"/>
      <c r="D78" s="34">
        <v>3</v>
      </c>
      <c r="E78" s="121"/>
    </row>
    <row r="79" spans="1:5" ht="15.75" customHeight="1">
      <c r="A79" s="118" t="s">
        <v>296</v>
      </c>
      <c r="B79" s="76">
        <v>152.00899999999999</v>
      </c>
      <c r="C79" s="92">
        <f>ROUND((B79-B$6)/B$6*100,1)</f>
        <v>1.3</v>
      </c>
      <c r="D79" s="76">
        <v>21001.681</v>
      </c>
      <c r="E79" s="92">
        <f>ROUND((D79-D$6)/D$6*100,1)</f>
        <v>12</v>
      </c>
    </row>
    <row r="80" spans="1:5" ht="15.75" customHeight="1">
      <c r="A80" s="118"/>
      <c r="B80" s="76">
        <v>164.32599999999999</v>
      </c>
      <c r="C80" s="92">
        <f>ROUND((B80-B$6)/B$6*100,1)</f>
        <v>9.6</v>
      </c>
      <c r="D80" s="76">
        <v>22653.787</v>
      </c>
      <c r="E80" s="92">
        <f>ROUND((D80-D$6)/D$6*100,1)</f>
        <v>20.8</v>
      </c>
    </row>
    <row r="81" spans="1:5" ht="15.75" customHeight="1">
      <c r="A81" s="118"/>
      <c r="B81" s="76">
        <v>161.88999999999999</v>
      </c>
      <c r="C81" s="92">
        <f>ROUND((B81-B$6)/B$6*100,1)</f>
        <v>7.9</v>
      </c>
      <c r="D81" s="76">
        <v>21849.476999999999</v>
      </c>
      <c r="E81" s="92">
        <f>ROUND((D81-D$6)/D$6*100,1)</f>
        <v>16.5</v>
      </c>
    </row>
    <row r="82" spans="1:5" ht="15.75" customHeight="1">
      <c r="A82" s="34" t="s">
        <v>27</v>
      </c>
      <c r="B82" s="76">
        <f>ROUND(AVERAGE(B79:B81),3)</f>
        <v>159.40799999999999</v>
      </c>
      <c r="C82" s="122"/>
      <c r="D82" s="76">
        <f>ROUND(AVERAGE(D79:D81),3)</f>
        <v>21834.982</v>
      </c>
      <c r="E82" s="119"/>
    </row>
    <row r="83" spans="1:5" ht="15.75" customHeight="1">
      <c r="A83" s="34" t="s">
        <v>3</v>
      </c>
      <c r="B83" s="76">
        <f>ROUND(STDEV(B79:B81),3)</f>
        <v>6.5229999999999997</v>
      </c>
      <c r="C83" s="123"/>
      <c r="D83" s="76">
        <f>ROUND(STDEV(D79:D81),3)</f>
        <v>826.14800000000002</v>
      </c>
      <c r="E83" s="120"/>
    </row>
    <row r="84" spans="1:5" ht="15.75" customHeight="1">
      <c r="A84" s="34" t="s">
        <v>80</v>
      </c>
      <c r="B84" s="92">
        <f>ROUND(B83/B82*100,1)</f>
        <v>4.0999999999999996</v>
      </c>
      <c r="C84" s="123"/>
      <c r="D84" s="92">
        <f>ROUND(D83/D82*100,1)</f>
        <v>3.8</v>
      </c>
      <c r="E84" s="120"/>
    </row>
    <row r="85" spans="1:5" ht="15.75" customHeight="1">
      <c r="A85" s="34" t="s">
        <v>81</v>
      </c>
      <c r="B85" s="92">
        <f>ROUND(B82/B$6*100,1)</f>
        <v>106.3</v>
      </c>
      <c r="C85" s="123"/>
      <c r="D85" s="93">
        <f>ROUND(D82/D$6*100,1)</f>
        <v>116.5</v>
      </c>
      <c r="E85" s="120"/>
    </row>
    <row r="86" spans="1:5" ht="15.75" customHeight="1">
      <c r="A86" s="34" t="s">
        <v>79</v>
      </c>
      <c r="B86" s="92">
        <f>ROUND((B82-B$6)/B$6*100,1)</f>
        <v>6.3</v>
      </c>
      <c r="C86" s="123"/>
      <c r="D86" s="92">
        <f>ROUND((D82-D$6)/D$6*100,1)</f>
        <v>16.5</v>
      </c>
      <c r="E86" s="120"/>
    </row>
    <row r="87" spans="1:5" ht="15.75" customHeight="1">
      <c r="A87" s="34" t="s">
        <v>5</v>
      </c>
      <c r="B87" s="34">
        <v>3</v>
      </c>
      <c r="C87" s="124"/>
      <c r="D87" s="34">
        <v>3</v>
      </c>
      <c r="E87" s="121"/>
    </row>
  </sheetData>
  <mergeCells count="34">
    <mergeCell ref="C11:C16"/>
    <mergeCell ref="E11:E16"/>
    <mergeCell ref="A17:A19"/>
    <mergeCell ref="C20:C25"/>
    <mergeCell ref="E20:E25"/>
    <mergeCell ref="A8:A10"/>
    <mergeCell ref="A4:C4"/>
    <mergeCell ref="D4:E4"/>
    <mergeCell ref="A5:A7"/>
    <mergeCell ref="C5:C7"/>
    <mergeCell ref="E5:E7"/>
    <mergeCell ref="A53:A55"/>
    <mergeCell ref="C56:C61"/>
    <mergeCell ref="E56:E61"/>
    <mergeCell ref="A79:A81"/>
    <mergeCell ref="C82:C87"/>
    <mergeCell ref="E82:E87"/>
    <mergeCell ref="A70:A72"/>
    <mergeCell ref="C73:C78"/>
    <mergeCell ref="E73:E78"/>
    <mergeCell ref="A67:A69"/>
    <mergeCell ref="C67:C69"/>
    <mergeCell ref="E67:E69"/>
    <mergeCell ref="A66:C66"/>
    <mergeCell ref="D66:E66"/>
    <mergeCell ref="A44:A46"/>
    <mergeCell ref="C47:C52"/>
    <mergeCell ref="E47:E52"/>
    <mergeCell ref="A26:A28"/>
    <mergeCell ref="C29:C34"/>
    <mergeCell ref="E29:E34"/>
    <mergeCell ref="A35:A37"/>
    <mergeCell ref="C38:C43"/>
    <mergeCell ref="E38:E43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37" orientation="landscape" r:id="rId1"/>
  <headerFooter>
    <oddHeader>&amp;CSSC23009MV01验证数据汇总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H24"/>
  <sheetViews>
    <sheetView view="pageBreakPreview" zoomScaleNormal="100" zoomScaleSheetLayoutView="100" zoomScalePageLayoutView="90" workbookViewId="0">
      <selection activeCell="L35" sqref="L35"/>
    </sheetView>
  </sheetViews>
  <sheetFormatPr defaultColWidth="8.83203125" defaultRowHeight="13.5"/>
  <cols>
    <col min="1" max="1" width="17.75" style="3" customWidth="1"/>
    <col min="2" max="2" width="12.25" style="3" customWidth="1"/>
    <col min="3" max="3" width="18.5" style="3" customWidth="1"/>
    <col min="4" max="4" width="15" style="3" customWidth="1"/>
    <col min="5" max="5" width="13.75" style="3" customWidth="1"/>
    <col min="6" max="7" width="14.5" style="3" customWidth="1"/>
    <col min="8" max="16384" width="8.83203125" style="3"/>
  </cols>
  <sheetData>
    <row r="2" spans="1:7" ht="15.75" customHeight="1">
      <c r="A2" s="105" t="s">
        <v>41</v>
      </c>
      <c r="B2" s="105"/>
      <c r="C2" s="105"/>
      <c r="D2" s="105"/>
    </row>
    <row r="3" spans="1:7" ht="15.75" customHeight="1">
      <c r="A3" s="32"/>
      <c r="B3" s="32"/>
      <c r="C3" s="32"/>
      <c r="D3" s="32"/>
    </row>
    <row r="4" spans="1:7" ht="15.75" customHeight="1">
      <c r="A4" s="128" t="s">
        <v>95</v>
      </c>
      <c r="B4" s="105"/>
      <c r="C4" s="105"/>
      <c r="D4" s="105"/>
    </row>
    <row r="5" spans="1:7" s="33" customFormat="1" ht="30" customHeight="1">
      <c r="A5" s="34" t="s">
        <v>256</v>
      </c>
      <c r="B5" s="34" t="s">
        <v>257</v>
      </c>
      <c r="C5" s="34" t="s">
        <v>258</v>
      </c>
      <c r="D5" s="34" t="s">
        <v>259</v>
      </c>
      <c r="E5" s="34" t="s">
        <v>260</v>
      </c>
      <c r="F5" s="34" t="s">
        <v>140</v>
      </c>
      <c r="G5" s="34" t="s">
        <v>141</v>
      </c>
    </row>
    <row r="6" spans="1:7" s="33" customFormat="1" ht="16.5" customHeight="1">
      <c r="A6" s="53">
        <v>45367</v>
      </c>
      <c r="B6" s="35">
        <v>1</v>
      </c>
      <c r="C6" s="54">
        <v>1.36E-4</v>
      </c>
      <c r="D6" s="55">
        <v>1.737E-3</v>
      </c>
      <c r="E6" s="56">
        <v>0.99619999999999997</v>
      </c>
      <c r="F6" s="57">
        <v>50</v>
      </c>
      <c r="G6" s="57">
        <v>25000</v>
      </c>
    </row>
    <row r="7" spans="1:7" s="33" customFormat="1" ht="16.5" customHeight="1">
      <c r="A7" s="53">
        <v>45370</v>
      </c>
      <c r="B7" s="35">
        <v>4</v>
      </c>
      <c r="C7" s="54">
        <v>1.4080000000000001E-4</v>
      </c>
      <c r="D7" s="55">
        <v>1.3960000000000001E-3</v>
      </c>
      <c r="E7" s="56">
        <v>0.99619999999999997</v>
      </c>
      <c r="F7" s="57">
        <v>50</v>
      </c>
      <c r="G7" s="57">
        <v>25000</v>
      </c>
    </row>
    <row r="8" spans="1:7" s="33" customFormat="1" ht="16.5" customHeight="1">
      <c r="A8" s="53">
        <v>45372</v>
      </c>
      <c r="B8" s="35">
        <v>6</v>
      </c>
      <c r="C8" s="54">
        <v>2.5119999999999998E-4</v>
      </c>
      <c r="D8" s="54">
        <v>9.5679999999999995E-4</v>
      </c>
      <c r="E8" s="56">
        <v>0.99409999999999998</v>
      </c>
      <c r="F8" s="57">
        <v>50</v>
      </c>
      <c r="G8" s="57">
        <v>25000</v>
      </c>
    </row>
    <row r="9" spans="1:7" s="33" customFormat="1" ht="16.5" customHeight="1">
      <c r="A9" s="53">
        <v>45394</v>
      </c>
      <c r="B9" s="35">
        <v>7</v>
      </c>
      <c r="C9" s="54">
        <v>1.7990000000000001E-4</v>
      </c>
      <c r="D9" s="55">
        <v>1.7949999999999999E-3</v>
      </c>
      <c r="E9" s="56">
        <v>0.99639999999999995</v>
      </c>
      <c r="F9" s="57">
        <v>50</v>
      </c>
      <c r="G9" s="57">
        <v>25000</v>
      </c>
    </row>
    <row r="10" spans="1:7" s="33" customFormat="1" ht="16.5" customHeight="1">
      <c r="A10" s="53">
        <v>45438</v>
      </c>
      <c r="B10" s="35">
        <v>9</v>
      </c>
      <c r="C10" s="58">
        <v>6.7990000000000005E-5</v>
      </c>
      <c r="D10" s="54">
        <v>-1.7770000000000001E-4</v>
      </c>
      <c r="E10" s="56">
        <v>0.99780000000000002</v>
      </c>
      <c r="F10" s="57">
        <v>50</v>
      </c>
      <c r="G10" s="57">
        <v>25000</v>
      </c>
    </row>
    <row r="11" spans="1:7" s="33" customFormat="1" ht="16.5" customHeight="1">
      <c r="A11" s="53">
        <v>45443</v>
      </c>
      <c r="B11" s="35">
        <v>10</v>
      </c>
      <c r="C11" s="54">
        <v>1.2420000000000001E-4</v>
      </c>
      <c r="D11" s="55">
        <v>1.2689999999999999E-3</v>
      </c>
      <c r="E11" s="56">
        <v>0.99260000000000004</v>
      </c>
      <c r="F11" s="57">
        <v>50</v>
      </c>
      <c r="G11" s="57">
        <v>25000</v>
      </c>
    </row>
    <row r="12" spans="1:7" s="33" customFormat="1" ht="16.5" customHeight="1">
      <c r="A12" s="53">
        <v>45449</v>
      </c>
      <c r="B12" s="35">
        <v>11</v>
      </c>
      <c r="C12" s="58">
        <v>9.0179999999999994E-5</v>
      </c>
      <c r="D12" s="55">
        <v>1.2390000000000001E-3</v>
      </c>
      <c r="E12" s="56">
        <v>0.99709999999999999</v>
      </c>
      <c r="F12" s="57">
        <v>50</v>
      </c>
      <c r="G12" s="57">
        <v>25000</v>
      </c>
    </row>
    <row r="13" spans="1:7" s="33" customFormat="1" ht="16.5" customHeight="1">
      <c r="A13" s="34" t="s">
        <v>261</v>
      </c>
      <c r="B13" s="129"/>
      <c r="C13" s="54">
        <v>1.415E-4</v>
      </c>
      <c r="D13" s="55">
        <v>1.1739999999999999E-3</v>
      </c>
      <c r="E13" s="56">
        <v>0.99580000000000002</v>
      </c>
      <c r="F13" s="129"/>
      <c r="G13" s="129"/>
    </row>
    <row r="14" spans="1:7" s="33" customFormat="1" ht="16.5" customHeight="1">
      <c r="A14" s="34" t="s">
        <v>3</v>
      </c>
      <c r="B14" s="129"/>
      <c r="C14" s="58">
        <v>6.0380000000000001E-5</v>
      </c>
      <c r="D14" s="54">
        <v>6.6330000000000002E-4</v>
      </c>
      <c r="E14" s="56">
        <v>1.8E-3</v>
      </c>
      <c r="F14" s="129"/>
      <c r="G14" s="129"/>
    </row>
    <row r="15" spans="1:7" s="33" customFormat="1" ht="16.5" customHeight="1">
      <c r="A15" s="34" t="s">
        <v>50</v>
      </c>
      <c r="B15" s="129"/>
      <c r="C15" s="59">
        <v>42.7</v>
      </c>
      <c r="D15" s="59">
        <v>56.5</v>
      </c>
      <c r="E15" s="59">
        <v>0.2</v>
      </c>
      <c r="F15" s="129"/>
      <c r="G15" s="129"/>
    </row>
    <row r="16" spans="1:7" s="33" customFormat="1" ht="16.5" customHeight="1">
      <c r="A16" s="34" t="s">
        <v>5</v>
      </c>
      <c r="B16" s="129"/>
      <c r="C16" s="35">
        <v>7</v>
      </c>
      <c r="D16" s="35">
        <v>7</v>
      </c>
      <c r="E16" s="35">
        <v>7</v>
      </c>
      <c r="F16" s="129"/>
      <c r="G16" s="129"/>
    </row>
    <row r="17" spans="1:8">
      <c r="A17" s="3" t="s">
        <v>42</v>
      </c>
    </row>
    <row r="20" spans="1:8" ht="14">
      <c r="A20" s="128" t="s">
        <v>96</v>
      </c>
      <c r="B20" s="105"/>
      <c r="C20" s="105"/>
      <c r="D20" s="105"/>
    </row>
    <row r="21" spans="1:8" s="33" customFormat="1" ht="30" customHeight="1">
      <c r="A21" s="34" t="s">
        <v>262</v>
      </c>
      <c r="B21" s="34" t="s">
        <v>244</v>
      </c>
      <c r="C21" s="34" t="s">
        <v>258</v>
      </c>
      <c r="D21" s="34" t="s">
        <v>259</v>
      </c>
      <c r="E21" s="34" t="s">
        <v>260</v>
      </c>
      <c r="F21" s="34" t="s">
        <v>140</v>
      </c>
      <c r="G21" s="34" t="s">
        <v>141</v>
      </c>
    </row>
    <row r="22" spans="1:8" s="33" customFormat="1" ht="16.5" customHeight="1">
      <c r="A22" s="53">
        <v>45368</v>
      </c>
      <c r="B22" s="35">
        <v>2</v>
      </c>
      <c r="C22" s="54">
        <v>2.1709999999999999E-4</v>
      </c>
      <c r="D22" s="55">
        <v>8.77E-3</v>
      </c>
      <c r="E22" s="56">
        <v>0.99919999999999998</v>
      </c>
      <c r="F22" s="57">
        <v>50</v>
      </c>
      <c r="G22" s="57">
        <v>25000</v>
      </c>
      <c r="H22" s="60">
        <v>1</v>
      </c>
    </row>
    <row r="23" spans="1:8" ht="14">
      <c r="A23" s="3" t="s">
        <v>263</v>
      </c>
    </row>
    <row r="24" spans="1:8">
      <c r="A24" s="3" t="s">
        <v>42</v>
      </c>
    </row>
  </sheetData>
  <mergeCells count="5">
    <mergeCell ref="A4:D4"/>
    <mergeCell ref="A2:D2"/>
    <mergeCell ref="B13:B16"/>
    <mergeCell ref="F13:G16"/>
    <mergeCell ref="A20:D2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80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R39"/>
  <sheetViews>
    <sheetView view="pageBreakPreview" zoomScaleNormal="100" zoomScaleSheetLayoutView="100" workbookViewId="0">
      <selection activeCell="C25" sqref="C25"/>
    </sheetView>
  </sheetViews>
  <sheetFormatPr defaultColWidth="8.83203125" defaultRowHeight="13.5"/>
  <cols>
    <col min="1" max="1" width="12.75" style="61" customWidth="1"/>
    <col min="2" max="2" width="7.33203125" style="61" customWidth="1"/>
    <col min="3" max="3" width="8.83203125" style="61" customWidth="1"/>
    <col min="4" max="4" width="6.83203125" style="61" customWidth="1"/>
    <col min="5" max="5" width="8.08203125" style="61" customWidth="1"/>
    <col min="6" max="6" width="7.25" style="61" customWidth="1"/>
    <col min="7" max="7" width="9.58203125" style="61" customWidth="1"/>
    <col min="8" max="8" width="7.33203125" style="61" customWidth="1"/>
    <col min="9" max="9" width="8.58203125" style="61" customWidth="1"/>
    <col min="10" max="10" width="6.75" style="61" customWidth="1"/>
    <col min="11" max="11" width="8.75" style="61" customWidth="1"/>
    <col min="12" max="12" width="7.25" style="61" customWidth="1"/>
    <col min="13" max="13" width="9.33203125" style="61" customWidth="1"/>
    <col min="14" max="14" width="7" style="61" customWidth="1"/>
    <col min="15" max="15" width="10.75" style="61" customWidth="1"/>
    <col min="16" max="16" width="6.58203125" style="61" customWidth="1"/>
    <col min="17" max="17" width="11.75" style="61" customWidth="1"/>
    <col min="18" max="18" width="6.83203125" style="61" customWidth="1"/>
    <col min="19" max="16384" width="8.83203125" style="61"/>
  </cols>
  <sheetData>
    <row r="2" spans="1:18">
      <c r="A2" s="116" t="s">
        <v>40</v>
      </c>
      <c r="B2" s="116"/>
      <c r="C2" s="116"/>
      <c r="D2" s="116"/>
      <c r="E2" s="116"/>
    </row>
    <row r="3" spans="1:18">
      <c r="A3" s="22"/>
      <c r="B3" s="22"/>
      <c r="C3" s="22"/>
      <c r="D3" s="22"/>
      <c r="E3" s="22"/>
    </row>
    <row r="4" spans="1:18">
      <c r="A4" s="130" t="s">
        <v>97</v>
      </c>
      <c r="B4" s="117"/>
      <c r="C4" s="117"/>
      <c r="D4" s="117"/>
      <c r="E4" s="117"/>
    </row>
    <row r="5" spans="1:18" ht="14.15" customHeight="1">
      <c r="A5" s="108" t="s">
        <v>25</v>
      </c>
      <c r="B5" s="108" t="s">
        <v>23</v>
      </c>
      <c r="C5" s="34" t="s">
        <v>6</v>
      </c>
      <c r="D5" s="108" t="s">
        <v>53</v>
      </c>
      <c r="E5" s="34" t="s">
        <v>8</v>
      </c>
      <c r="F5" s="108" t="s">
        <v>53</v>
      </c>
      <c r="G5" s="34" t="s">
        <v>9</v>
      </c>
      <c r="H5" s="108" t="s">
        <v>53</v>
      </c>
      <c r="I5" s="34" t="s">
        <v>10</v>
      </c>
      <c r="J5" s="108" t="s">
        <v>53</v>
      </c>
      <c r="K5" s="34" t="s">
        <v>11</v>
      </c>
      <c r="L5" s="108" t="s">
        <v>47</v>
      </c>
      <c r="M5" s="34" t="s">
        <v>12</v>
      </c>
      <c r="N5" s="108" t="s">
        <v>47</v>
      </c>
      <c r="O5" s="34" t="s">
        <v>13</v>
      </c>
      <c r="P5" s="108" t="s">
        <v>47</v>
      </c>
      <c r="Q5" s="34" t="s">
        <v>15</v>
      </c>
      <c r="R5" s="108" t="s">
        <v>47</v>
      </c>
    </row>
    <row r="6" spans="1:18">
      <c r="A6" s="108"/>
      <c r="B6" s="108"/>
      <c r="C6" s="62">
        <v>50</v>
      </c>
      <c r="D6" s="108"/>
      <c r="E6" s="62">
        <v>100</v>
      </c>
      <c r="F6" s="108"/>
      <c r="G6" s="62">
        <v>250</v>
      </c>
      <c r="H6" s="108"/>
      <c r="I6" s="62">
        <v>1000</v>
      </c>
      <c r="J6" s="108"/>
      <c r="K6" s="62">
        <v>2500</v>
      </c>
      <c r="L6" s="108"/>
      <c r="M6" s="62">
        <v>12500</v>
      </c>
      <c r="N6" s="108"/>
      <c r="O6" s="62">
        <v>20000</v>
      </c>
      <c r="P6" s="108"/>
      <c r="Q6" s="62">
        <v>25000</v>
      </c>
      <c r="R6" s="108"/>
    </row>
    <row r="7" spans="1:18">
      <c r="A7" s="108"/>
      <c r="B7" s="108"/>
      <c r="C7" s="51" t="s">
        <v>118</v>
      </c>
      <c r="D7" s="108"/>
      <c r="E7" s="51" t="s">
        <v>118</v>
      </c>
      <c r="F7" s="108"/>
      <c r="G7" s="51" t="s">
        <v>118</v>
      </c>
      <c r="H7" s="108"/>
      <c r="I7" s="51" t="s">
        <v>118</v>
      </c>
      <c r="J7" s="108"/>
      <c r="K7" s="51" t="s">
        <v>118</v>
      </c>
      <c r="L7" s="108"/>
      <c r="M7" s="51" t="s">
        <v>118</v>
      </c>
      <c r="N7" s="108"/>
      <c r="O7" s="51" t="s">
        <v>118</v>
      </c>
      <c r="P7" s="108"/>
      <c r="Q7" s="51" t="s">
        <v>118</v>
      </c>
      <c r="R7" s="108"/>
    </row>
    <row r="8" spans="1:18">
      <c r="A8" s="127">
        <v>45367</v>
      </c>
      <c r="B8" s="108">
        <v>1</v>
      </c>
      <c r="C8" s="52">
        <v>50.356999999999999</v>
      </c>
      <c r="D8" s="42">
        <v>0.7</v>
      </c>
      <c r="E8" s="52">
        <v>95.747</v>
      </c>
      <c r="F8" s="42">
        <v>-4.3</v>
      </c>
      <c r="G8" s="52">
        <v>242.988</v>
      </c>
      <c r="H8" s="42">
        <v>-2.8</v>
      </c>
      <c r="I8" s="52">
        <v>1041.105</v>
      </c>
      <c r="J8" s="42">
        <v>4.0999999999999996</v>
      </c>
      <c r="K8" s="52">
        <v>2439.8449999999998</v>
      </c>
      <c r="L8" s="42">
        <v>-2.4</v>
      </c>
      <c r="M8" s="52">
        <v>13091.87</v>
      </c>
      <c r="N8" s="42">
        <v>4.7</v>
      </c>
      <c r="O8" s="52">
        <v>20041.620999999999</v>
      </c>
      <c r="P8" s="42">
        <v>0.2</v>
      </c>
      <c r="Q8" s="52">
        <v>26384.865000000002</v>
      </c>
      <c r="R8" s="42">
        <v>5.5</v>
      </c>
    </row>
    <row r="9" spans="1:18">
      <c r="A9" s="127"/>
      <c r="B9" s="108"/>
      <c r="C9" s="52" t="s">
        <v>142</v>
      </c>
      <c r="D9" s="63"/>
      <c r="E9" s="52">
        <v>109.40600000000001</v>
      </c>
      <c r="F9" s="42">
        <v>9.4</v>
      </c>
      <c r="G9" s="52">
        <v>214.06</v>
      </c>
      <c r="H9" s="42">
        <v>-14.4</v>
      </c>
      <c r="I9" s="52">
        <v>1004.225</v>
      </c>
      <c r="J9" s="42">
        <v>0.4</v>
      </c>
      <c r="K9" s="52">
        <v>2409.335</v>
      </c>
      <c r="L9" s="42">
        <v>-3.6</v>
      </c>
      <c r="M9" s="52">
        <v>12808.082</v>
      </c>
      <c r="N9" s="42">
        <v>2.5</v>
      </c>
      <c r="O9" s="52">
        <v>19841.649000000001</v>
      </c>
      <c r="P9" s="42">
        <v>-0.8</v>
      </c>
      <c r="Q9" s="52">
        <v>25164.48</v>
      </c>
      <c r="R9" s="42">
        <v>0.7</v>
      </c>
    </row>
    <row r="10" spans="1:18">
      <c r="A10" s="127">
        <v>45370</v>
      </c>
      <c r="B10" s="108">
        <v>4</v>
      </c>
      <c r="C10" s="52" t="s">
        <v>143</v>
      </c>
      <c r="D10" s="63"/>
      <c r="E10" s="52">
        <v>102.76900000000001</v>
      </c>
      <c r="F10" s="42">
        <v>2.8</v>
      </c>
      <c r="G10" s="52">
        <v>263.56700000000001</v>
      </c>
      <c r="H10" s="42">
        <v>5.4</v>
      </c>
      <c r="I10" s="52">
        <v>916.59</v>
      </c>
      <c r="J10" s="42">
        <v>-8.3000000000000007</v>
      </c>
      <c r="K10" s="52">
        <v>2451.6819999999998</v>
      </c>
      <c r="L10" s="42">
        <v>-1.9</v>
      </c>
      <c r="M10" s="52">
        <v>11871.7</v>
      </c>
      <c r="N10" s="42">
        <v>-5</v>
      </c>
      <c r="O10" s="52">
        <v>19173.392</v>
      </c>
      <c r="P10" s="42">
        <v>-4.0999999999999996</v>
      </c>
      <c r="Q10" s="52">
        <v>22839.645</v>
      </c>
      <c r="R10" s="42">
        <v>-8.6</v>
      </c>
    </row>
    <row r="11" spans="1:18">
      <c r="A11" s="127"/>
      <c r="B11" s="108"/>
      <c r="C11" s="52">
        <v>48.954000000000001</v>
      </c>
      <c r="D11" s="42">
        <v>-2.1</v>
      </c>
      <c r="E11" s="52">
        <v>98.677000000000007</v>
      </c>
      <c r="F11" s="42">
        <v>-1.3</v>
      </c>
      <c r="G11" s="52">
        <v>251.988</v>
      </c>
      <c r="H11" s="42">
        <v>0.8</v>
      </c>
      <c r="I11" s="52">
        <v>1105.78</v>
      </c>
      <c r="J11" s="42">
        <v>10.6</v>
      </c>
      <c r="K11" s="52">
        <v>2602.1950000000002</v>
      </c>
      <c r="L11" s="42">
        <v>4.0999999999999996</v>
      </c>
      <c r="M11" s="52">
        <v>12375.098</v>
      </c>
      <c r="N11" s="42">
        <v>-1</v>
      </c>
      <c r="O11" s="52">
        <v>21364.795999999998</v>
      </c>
      <c r="P11" s="42">
        <v>6.8</v>
      </c>
      <c r="Q11" s="52">
        <v>25501.901000000002</v>
      </c>
      <c r="R11" s="42">
        <v>2</v>
      </c>
    </row>
    <row r="12" spans="1:18">
      <c r="A12" s="127">
        <v>45372</v>
      </c>
      <c r="B12" s="108">
        <v>6</v>
      </c>
      <c r="C12" s="52">
        <v>52.055</v>
      </c>
      <c r="D12" s="42">
        <v>4.0999999999999996</v>
      </c>
      <c r="E12" s="52">
        <v>106.64100000000001</v>
      </c>
      <c r="F12" s="42">
        <v>6.6</v>
      </c>
      <c r="G12" s="52">
        <v>257.84300000000002</v>
      </c>
      <c r="H12" s="42">
        <v>3.1</v>
      </c>
      <c r="I12" s="52">
        <v>1095.693</v>
      </c>
      <c r="J12" s="42">
        <v>9.6</v>
      </c>
      <c r="K12" s="52">
        <v>2573.5569999999998</v>
      </c>
      <c r="L12" s="42">
        <v>2.9</v>
      </c>
      <c r="M12" s="52">
        <v>13508.115</v>
      </c>
      <c r="N12" s="42">
        <v>8.1</v>
      </c>
      <c r="O12" s="52">
        <v>20600.264999999999</v>
      </c>
      <c r="P12" s="42">
        <v>3</v>
      </c>
      <c r="Q12" s="52" t="s">
        <v>144</v>
      </c>
      <c r="R12" s="63"/>
    </row>
    <row r="13" spans="1:18">
      <c r="A13" s="127"/>
      <c r="B13" s="108"/>
      <c r="C13" s="52">
        <v>48.683</v>
      </c>
      <c r="D13" s="42">
        <v>-2.6</v>
      </c>
      <c r="E13" s="52">
        <v>89.543999999999997</v>
      </c>
      <c r="F13" s="42">
        <v>-10.5</v>
      </c>
      <c r="G13" s="52">
        <v>245.58699999999999</v>
      </c>
      <c r="H13" s="42">
        <v>-1.8</v>
      </c>
      <c r="I13" s="52">
        <v>967.99599999999998</v>
      </c>
      <c r="J13" s="42">
        <v>-3.2</v>
      </c>
      <c r="K13" s="52">
        <v>2218.672</v>
      </c>
      <c r="L13" s="42">
        <v>-11.3</v>
      </c>
      <c r="M13" s="52">
        <v>11278.692999999999</v>
      </c>
      <c r="N13" s="42">
        <v>-9.8000000000000007</v>
      </c>
      <c r="O13" s="52">
        <v>20044.842000000001</v>
      </c>
      <c r="P13" s="42">
        <v>0.2</v>
      </c>
      <c r="Q13" s="52">
        <v>25347.003000000001</v>
      </c>
      <c r="R13" s="42">
        <v>1.4</v>
      </c>
    </row>
    <row r="14" spans="1:18">
      <c r="A14" s="127">
        <v>45394</v>
      </c>
      <c r="B14" s="108">
        <v>7</v>
      </c>
      <c r="C14" s="52">
        <v>50.661000000000001</v>
      </c>
      <c r="D14" s="42">
        <v>1.3</v>
      </c>
      <c r="E14" s="52">
        <v>101.366</v>
      </c>
      <c r="F14" s="42">
        <v>1.4</v>
      </c>
      <c r="G14" s="52">
        <v>248.345</v>
      </c>
      <c r="H14" s="42">
        <v>-0.7</v>
      </c>
      <c r="I14" s="52">
        <v>1024.164</v>
      </c>
      <c r="J14" s="42">
        <v>2.4</v>
      </c>
      <c r="K14" s="52">
        <v>2594.9920000000002</v>
      </c>
      <c r="L14" s="42">
        <v>3.8</v>
      </c>
      <c r="M14" s="52">
        <v>12413.423000000001</v>
      </c>
      <c r="N14" s="42">
        <v>-0.7</v>
      </c>
      <c r="O14" s="52">
        <v>21726.451000000001</v>
      </c>
      <c r="P14" s="42">
        <v>8.6</v>
      </c>
      <c r="Q14" s="52">
        <v>26791.501</v>
      </c>
      <c r="R14" s="42">
        <v>7.2</v>
      </c>
    </row>
    <row r="15" spans="1:18">
      <c r="A15" s="127"/>
      <c r="B15" s="108"/>
      <c r="C15" s="52" t="s">
        <v>145</v>
      </c>
      <c r="D15" s="63"/>
      <c r="E15" s="52">
        <v>100.727</v>
      </c>
      <c r="F15" s="42">
        <v>0.7</v>
      </c>
      <c r="G15" s="52">
        <v>225.58799999999999</v>
      </c>
      <c r="H15" s="42">
        <v>-9.8000000000000007</v>
      </c>
      <c r="I15" s="52">
        <v>891.66700000000003</v>
      </c>
      <c r="J15" s="42">
        <v>-10.8</v>
      </c>
      <c r="K15" s="52">
        <v>2554.8739999999998</v>
      </c>
      <c r="L15" s="42">
        <v>2.2000000000000002</v>
      </c>
      <c r="M15" s="52">
        <v>12458.565000000001</v>
      </c>
      <c r="N15" s="42">
        <v>-0.3</v>
      </c>
      <c r="O15" s="52">
        <v>18927.14</v>
      </c>
      <c r="P15" s="42">
        <v>-5.4</v>
      </c>
      <c r="Q15" s="52">
        <v>25006.356</v>
      </c>
      <c r="R15" s="42">
        <v>0</v>
      </c>
    </row>
    <row r="16" spans="1:18">
      <c r="A16" s="127">
        <v>45438</v>
      </c>
      <c r="B16" s="108">
        <v>9</v>
      </c>
      <c r="C16" s="52">
        <v>54.197000000000003</v>
      </c>
      <c r="D16" s="42">
        <v>8.4</v>
      </c>
      <c r="E16" s="52">
        <v>102.044</v>
      </c>
      <c r="F16" s="42">
        <v>2</v>
      </c>
      <c r="G16" s="52">
        <v>257.38200000000001</v>
      </c>
      <c r="H16" s="42">
        <v>3</v>
      </c>
      <c r="I16" s="52">
        <v>1055.3810000000001</v>
      </c>
      <c r="J16" s="42">
        <v>5.5</v>
      </c>
      <c r="K16" s="52">
        <v>2491.2330000000002</v>
      </c>
      <c r="L16" s="42">
        <v>-0.4</v>
      </c>
      <c r="M16" s="52">
        <v>12288.828</v>
      </c>
      <c r="N16" s="42">
        <v>-1.7</v>
      </c>
      <c r="O16" s="52">
        <v>19544.735000000001</v>
      </c>
      <c r="P16" s="42">
        <v>-2.2999999999999998</v>
      </c>
      <c r="Q16" s="52">
        <v>25087.651000000002</v>
      </c>
      <c r="R16" s="42">
        <v>0.4</v>
      </c>
    </row>
    <row r="17" spans="1:18">
      <c r="A17" s="127"/>
      <c r="B17" s="108"/>
      <c r="C17" s="52">
        <v>46.46</v>
      </c>
      <c r="D17" s="42">
        <v>-7.1</v>
      </c>
      <c r="E17" s="52">
        <v>93.953999999999994</v>
      </c>
      <c r="F17" s="42">
        <v>-6</v>
      </c>
      <c r="G17" s="52">
        <v>245.86500000000001</v>
      </c>
      <c r="H17" s="42">
        <v>-1.7</v>
      </c>
      <c r="I17" s="52">
        <v>1028.259</v>
      </c>
      <c r="J17" s="42">
        <v>2.8</v>
      </c>
      <c r="K17" s="52">
        <v>2547.817</v>
      </c>
      <c r="L17" s="42">
        <v>1.9</v>
      </c>
      <c r="M17" s="52">
        <v>12515.442999999999</v>
      </c>
      <c r="N17" s="42">
        <v>0.1</v>
      </c>
      <c r="O17" s="52">
        <v>19096.697</v>
      </c>
      <c r="P17" s="42">
        <v>-4.5</v>
      </c>
      <c r="Q17" s="52">
        <v>24867.449000000001</v>
      </c>
      <c r="R17" s="42">
        <v>-0.5</v>
      </c>
    </row>
    <row r="18" spans="1:18">
      <c r="A18" s="127">
        <v>45443</v>
      </c>
      <c r="B18" s="108">
        <v>10</v>
      </c>
      <c r="C18" s="52" t="s">
        <v>146</v>
      </c>
      <c r="D18" s="63"/>
      <c r="E18" s="52">
        <v>113.294</v>
      </c>
      <c r="F18" s="42">
        <v>13.3</v>
      </c>
      <c r="G18" s="52">
        <v>256.61700000000002</v>
      </c>
      <c r="H18" s="42">
        <v>2.6</v>
      </c>
      <c r="I18" s="52">
        <v>1040.6089999999999</v>
      </c>
      <c r="J18" s="42">
        <v>4.0999999999999996</v>
      </c>
      <c r="K18" s="52">
        <v>2635.9670000000001</v>
      </c>
      <c r="L18" s="42">
        <v>5.4</v>
      </c>
      <c r="M18" s="52">
        <v>13460.518</v>
      </c>
      <c r="N18" s="42">
        <v>7.7</v>
      </c>
      <c r="O18" s="52">
        <v>20588.745999999999</v>
      </c>
      <c r="P18" s="42">
        <v>2.9</v>
      </c>
      <c r="Q18" s="52">
        <v>26449.572</v>
      </c>
      <c r="R18" s="42">
        <v>5.8</v>
      </c>
    </row>
    <row r="19" spans="1:18">
      <c r="A19" s="127"/>
      <c r="B19" s="108"/>
      <c r="C19" s="52">
        <v>50.69</v>
      </c>
      <c r="D19" s="42">
        <v>1.4</v>
      </c>
      <c r="E19" s="52">
        <v>85.534000000000006</v>
      </c>
      <c r="F19" s="42">
        <v>-14.5</v>
      </c>
      <c r="G19" s="52">
        <v>233.583</v>
      </c>
      <c r="H19" s="42">
        <v>-6.6</v>
      </c>
      <c r="I19" s="52">
        <v>972.19200000000001</v>
      </c>
      <c r="J19" s="42">
        <v>-2.8</v>
      </c>
      <c r="K19" s="52">
        <v>2226.2060000000001</v>
      </c>
      <c r="L19" s="42">
        <v>-11</v>
      </c>
      <c r="M19" s="52">
        <v>12797.459000000001</v>
      </c>
      <c r="N19" s="42">
        <v>2.4</v>
      </c>
      <c r="O19" s="52">
        <v>19671.044000000002</v>
      </c>
      <c r="P19" s="42">
        <v>-1.6</v>
      </c>
      <c r="Q19" s="52">
        <v>22696.095000000001</v>
      </c>
      <c r="R19" s="42">
        <v>-9.1999999999999993</v>
      </c>
    </row>
    <row r="20" spans="1:18">
      <c r="A20" s="127">
        <v>45449</v>
      </c>
      <c r="B20" s="108">
        <v>11</v>
      </c>
      <c r="C20" s="52">
        <v>54.631</v>
      </c>
      <c r="D20" s="42">
        <v>9.3000000000000007</v>
      </c>
      <c r="E20" s="52">
        <v>100.218</v>
      </c>
      <c r="F20" s="42">
        <v>0.2</v>
      </c>
      <c r="G20" s="52">
        <v>247.41200000000001</v>
      </c>
      <c r="H20" s="42">
        <v>-1</v>
      </c>
      <c r="I20" s="52">
        <v>1039.7919999999999</v>
      </c>
      <c r="J20" s="42">
        <v>4</v>
      </c>
      <c r="K20" s="52">
        <v>2343.4029999999998</v>
      </c>
      <c r="L20" s="42">
        <v>-6.3</v>
      </c>
      <c r="M20" s="52">
        <v>12954.849</v>
      </c>
      <c r="N20" s="42">
        <v>3.6</v>
      </c>
      <c r="O20" s="52">
        <v>19576.819</v>
      </c>
      <c r="P20" s="42">
        <v>-2.1</v>
      </c>
      <c r="Q20" s="52">
        <v>24813.352999999999</v>
      </c>
      <c r="R20" s="42">
        <v>-0.7</v>
      </c>
    </row>
    <row r="21" spans="1:18">
      <c r="A21" s="127"/>
      <c r="B21" s="108"/>
      <c r="C21" s="52">
        <v>46.636000000000003</v>
      </c>
      <c r="D21" s="42">
        <v>-6.7</v>
      </c>
      <c r="E21" s="52">
        <v>95.372</v>
      </c>
      <c r="F21" s="42">
        <v>-4.5999999999999996</v>
      </c>
      <c r="G21" s="52">
        <v>245.25</v>
      </c>
      <c r="H21" s="42">
        <v>-1.9</v>
      </c>
      <c r="I21" s="52">
        <v>1046.1790000000001</v>
      </c>
      <c r="J21" s="42">
        <v>4.5999999999999996</v>
      </c>
      <c r="K21" s="52">
        <v>2398.0039999999999</v>
      </c>
      <c r="L21" s="42">
        <v>-4.0999999999999996</v>
      </c>
      <c r="M21" s="52">
        <v>13370.084000000001</v>
      </c>
      <c r="N21" s="42">
        <v>7</v>
      </c>
      <c r="O21" s="52">
        <v>20275.553</v>
      </c>
      <c r="P21" s="42">
        <v>1.4</v>
      </c>
      <c r="Q21" s="52">
        <v>24360.571</v>
      </c>
      <c r="R21" s="42">
        <v>-2.6</v>
      </c>
    </row>
    <row r="22" spans="1:18" ht="14.15" customHeight="1">
      <c r="A22" s="34" t="s">
        <v>27</v>
      </c>
      <c r="B22" s="119"/>
      <c r="C22" s="52">
        <v>50.332000000000001</v>
      </c>
      <c r="D22" s="119"/>
      <c r="E22" s="52">
        <v>99.664000000000001</v>
      </c>
      <c r="F22" s="119"/>
      <c r="G22" s="52">
        <v>245.434</v>
      </c>
      <c r="H22" s="119"/>
      <c r="I22" s="52">
        <v>1016.402</v>
      </c>
      <c r="J22" s="119"/>
      <c r="K22" s="52">
        <v>2463.413</v>
      </c>
      <c r="L22" s="119"/>
      <c r="M22" s="52">
        <v>12656.623</v>
      </c>
      <c r="N22" s="119"/>
      <c r="O22" s="52">
        <v>20033.839</v>
      </c>
      <c r="P22" s="119"/>
      <c r="Q22" s="52">
        <v>25023.88</v>
      </c>
      <c r="R22" s="119"/>
    </row>
    <row r="23" spans="1:18" ht="14.15" customHeight="1">
      <c r="A23" s="34" t="s">
        <v>3</v>
      </c>
      <c r="B23" s="120"/>
      <c r="C23" s="52">
        <v>2.7869999999999999</v>
      </c>
      <c r="D23" s="120"/>
      <c r="E23" s="52">
        <v>7.4340000000000002</v>
      </c>
      <c r="F23" s="120"/>
      <c r="G23" s="52">
        <v>13.39</v>
      </c>
      <c r="H23" s="120"/>
      <c r="I23" s="52">
        <v>61.137999999999998</v>
      </c>
      <c r="J23" s="120"/>
      <c r="K23" s="52">
        <v>133.93600000000001</v>
      </c>
      <c r="L23" s="120"/>
      <c r="M23" s="52">
        <v>623.21100000000001</v>
      </c>
      <c r="N23" s="120"/>
      <c r="O23" s="52">
        <v>821.995</v>
      </c>
      <c r="P23" s="120"/>
      <c r="Q23" s="52">
        <v>1226.942</v>
      </c>
      <c r="R23" s="120"/>
    </row>
    <row r="24" spans="1:18" ht="14.15" customHeight="1">
      <c r="A24" s="34" t="s">
        <v>50</v>
      </c>
      <c r="B24" s="120"/>
      <c r="C24" s="42">
        <v>5.5</v>
      </c>
      <c r="D24" s="120"/>
      <c r="E24" s="42">
        <v>7.5</v>
      </c>
      <c r="F24" s="120"/>
      <c r="G24" s="42">
        <v>5.5</v>
      </c>
      <c r="H24" s="120"/>
      <c r="I24" s="42">
        <v>6</v>
      </c>
      <c r="J24" s="120"/>
      <c r="K24" s="42">
        <v>5.4</v>
      </c>
      <c r="L24" s="120"/>
      <c r="M24" s="42">
        <v>4.9000000000000004</v>
      </c>
      <c r="N24" s="120"/>
      <c r="O24" s="42">
        <v>4.0999999999999996</v>
      </c>
      <c r="P24" s="120"/>
      <c r="Q24" s="42">
        <v>4.9000000000000004</v>
      </c>
      <c r="R24" s="120"/>
    </row>
    <row r="25" spans="1:18" ht="14.15" customHeight="1">
      <c r="A25" s="34" t="s">
        <v>53</v>
      </c>
      <c r="B25" s="120"/>
      <c r="C25" s="42">
        <v>0.7</v>
      </c>
      <c r="D25" s="120"/>
      <c r="E25" s="42">
        <v>-0.3</v>
      </c>
      <c r="F25" s="120"/>
      <c r="G25" s="42">
        <v>-1.8</v>
      </c>
      <c r="H25" s="120"/>
      <c r="I25" s="42">
        <v>1.6</v>
      </c>
      <c r="J25" s="120"/>
      <c r="K25" s="42">
        <v>-1.5</v>
      </c>
      <c r="L25" s="120"/>
      <c r="M25" s="42">
        <v>1.3</v>
      </c>
      <c r="N25" s="120"/>
      <c r="O25" s="42">
        <v>0.2</v>
      </c>
      <c r="P25" s="120"/>
      <c r="Q25" s="42">
        <v>0.1</v>
      </c>
      <c r="R25" s="120"/>
    </row>
    <row r="26" spans="1:18" ht="14.15" customHeight="1">
      <c r="A26" s="34" t="s">
        <v>5</v>
      </c>
      <c r="B26" s="121"/>
      <c r="C26" s="34">
        <v>10</v>
      </c>
      <c r="D26" s="121"/>
      <c r="E26" s="34">
        <v>14</v>
      </c>
      <c r="F26" s="121"/>
      <c r="G26" s="34">
        <v>14</v>
      </c>
      <c r="H26" s="121"/>
      <c r="I26" s="34">
        <v>14</v>
      </c>
      <c r="J26" s="121"/>
      <c r="K26" s="34">
        <v>14</v>
      </c>
      <c r="L26" s="121"/>
      <c r="M26" s="34">
        <v>14</v>
      </c>
      <c r="N26" s="121"/>
      <c r="O26" s="34">
        <v>14</v>
      </c>
      <c r="P26" s="121"/>
      <c r="Q26" s="34">
        <v>13</v>
      </c>
      <c r="R26" s="121"/>
    </row>
    <row r="27" spans="1:18">
      <c r="A27" s="22" t="s">
        <v>264</v>
      </c>
    </row>
    <row r="28" spans="1:18">
      <c r="A28" s="131"/>
      <c r="B28" s="131"/>
      <c r="C28" s="131"/>
      <c r="D28" s="131"/>
    </row>
    <row r="29" spans="1:18">
      <c r="A29" s="130" t="s">
        <v>96</v>
      </c>
      <c r="B29" s="117"/>
      <c r="C29" s="117"/>
      <c r="D29" s="117"/>
      <c r="E29" s="117"/>
    </row>
    <row r="30" spans="1:18" ht="14.15" customHeight="1">
      <c r="A30" s="108" t="s">
        <v>25</v>
      </c>
      <c r="B30" s="108" t="s">
        <v>23</v>
      </c>
      <c r="C30" s="34" t="s">
        <v>6</v>
      </c>
      <c r="D30" s="108" t="s">
        <v>53</v>
      </c>
      <c r="E30" s="34" t="s">
        <v>8</v>
      </c>
      <c r="F30" s="108" t="s">
        <v>53</v>
      </c>
      <c r="G30" s="34" t="s">
        <v>9</v>
      </c>
      <c r="H30" s="108" t="s">
        <v>53</v>
      </c>
      <c r="I30" s="34" t="s">
        <v>10</v>
      </c>
      <c r="J30" s="108" t="s">
        <v>53</v>
      </c>
      <c r="K30" s="34" t="s">
        <v>11</v>
      </c>
      <c r="L30" s="108" t="s">
        <v>47</v>
      </c>
      <c r="M30" s="34" t="s">
        <v>12</v>
      </c>
      <c r="N30" s="108" t="s">
        <v>47</v>
      </c>
      <c r="O30" s="34" t="s">
        <v>13</v>
      </c>
      <c r="P30" s="108" t="s">
        <v>47</v>
      </c>
      <c r="Q30" s="34" t="s">
        <v>15</v>
      </c>
      <c r="R30" s="108" t="s">
        <v>47</v>
      </c>
    </row>
    <row r="31" spans="1:18">
      <c r="A31" s="108"/>
      <c r="B31" s="108"/>
      <c r="C31" s="62">
        <v>50</v>
      </c>
      <c r="D31" s="108"/>
      <c r="E31" s="62">
        <v>100</v>
      </c>
      <c r="F31" s="108"/>
      <c r="G31" s="62">
        <v>250</v>
      </c>
      <c r="H31" s="108"/>
      <c r="I31" s="62">
        <v>1000</v>
      </c>
      <c r="J31" s="108"/>
      <c r="K31" s="62">
        <v>2500</v>
      </c>
      <c r="L31" s="108"/>
      <c r="M31" s="62">
        <v>12500</v>
      </c>
      <c r="N31" s="108"/>
      <c r="O31" s="62">
        <v>20000</v>
      </c>
      <c r="P31" s="108"/>
      <c r="Q31" s="62">
        <v>25000</v>
      </c>
      <c r="R31" s="108"/>
    </row>
    <row r="32" spans="1:18">
      <c r="A32" s="108"/>
      <c r="B32" s="108"/>
      <c r="C32" s="51" t="s">
        <v>118</v>
      </c>
      <c r="D32" s="108"/>
      <c r="E32" s="51" t="s">
        <v>118</v>
      </c>
      <c r="F32" s="108"/>
      <c r="G32" s="51" t="s">
        <v>118</v>
      </c>
      <c r="H32" s="108"/>
      <c r="I32" s="51" t="s">
        <v>118</v>
      </c>
      <c r="J32" s="108"/>
      <c r="K32" s="51" t="s">
        <v>118</v>
      </c>
      <c r="L32" s="108"/>
      <c r="M32" s="51" t="s">
        <v>118</v>
      </c>
      <c r="N32" s="108"/>
      <c r="O32" s="51" t="s">
        <v>118</v>
      </c>
      <c r="P32" s="108"/>
      <c r="Q32" s="51" t="s">
        <v>118</v>
      </c>
      <c r="R32" s="108"/>
    </row>
    <row r="33" spans="1:18">
      <c r="A33" s="132">
        <v>45368</v>
      </c>
      <c r="B33" s="114">
        <v>2</v>
      </c>
      <c r="C33" s="52" t="s">
        <v>147</v>
      </c>
      <c r="D33" s="63"/>
      <c r="E33" s="52">
        <v>103.08499999999999</v>
      </c>
      <c r="F33" s="42">
        <v>3.1</v>
      </c>
      <c r="G33" s="52">
        <v>239.702</v>
      </c>
      <c r="H33" s="42">
        <v>-4.0999999999999996</v>
      </c>
      <c r="I33" s="52">
        <v>1005.355</v>
      </c>
      <c r="J33" s="42">
        <v>0.5</v>
      </c>
      <c r="K33" s="52">
        <v>2433.9810000000002</v>
      </c>
      <c r="L33" s="42">
        <v>-2.6</v>
      </c>
      <c r="M33" s="52">
        <v>12766.628000000001</v>
      </c>
      <c r="N33" s="42">
        <v>2.1</v>
      </c>
      <c r="O33" s="52">
        <v>20482.834999999999</v>
      </c>
      <c r="P33" s="42">
        <v>2.4</v>
      </c>
      <c r="Q33" s="52">
        <v>24824.578000000001</v>
      </c>
      <c r="R33" s="42">
        <v>-0.7</v>
      </c>
    </row>
    <row r="34" spans="1:18">
      <c r="A34" s="133"/>
      <c r="B34" s="115"/>
      <c r="C34" s="52">
        <v>49.646999999999998</v>
      </c>
      <c r="D34" s="42">
        <v>-0.7</v>
      </c>
      <c r="E34" s="52" t="s">
        <v>148</v>
      </c>
      <c r="F34" s="63"/>
      <c r="G34" s="52" t="s">
        <v>149</v>
      </c>
      <c r="H34" s="63"/>
      <c r="I34" s="52" t="s">
        <v>150</v>
      </c>
      <c r="J34" s="63"/>
      <c r="K34" s="52" t="s">
        <v>151</v>
      </c>
      <c r="L34" s="63"/>
      <c r="M34" s="52" t="s">
        <v>152</v>
      </c>
      <c r="N34" s="63"/>
      <c r="O34" s="52" t="s">
        <v>153</v>
      </c>
      <c r="P34" s="63"/>
      <c r="Q34" s="52" t="s">
        <v>154</v>
      </c>
      <c r="R34" s="63"/>
    </row>
    <row r="35" spans="1:18" ht="14.15" customHeight="1">
      <c r="A35" s="34" t="s">
        <v>27</v>
      </c>
      <c r="B35" s="119"/>
      <c r="C35" s="52">
        <v>49.646999999999998</v>
      </c>
      <c r="D35" s="119"/>
      <c r="E35" s="52">
        <v>103.08499999999999</v>
      </c>
      <c r="F35" s="119"/>
      <c r="G35" s="52">
        <v>239.702</v>
      </c>
      <c r="H35" s="119"/>
      <c r="I35" s="52">
        <v>1005.355</v>
      </c>
      <c r="J35" s="119"/>
      <c r="K35" s="52">
        <v>2433.9810000000002</v>
      </c>
      <c r="L35" s="119"/>
      <c r="M35" s="52">
        <v>12766.628000000001</v>
      </c>
      <c r="N35" s="119"/>
      <c r="O35" s="52">
        <v>20482.834999999999</v>
      </c>
      <c r="P35" s="119"/>
      <c r="Q35" s="52">
        <v>24824.578000000001</v>
      </c>
      <c r="R35" s="119"/>
    </row>
    <row r="36" spans="1:18" ht="14.15" customHeight="1">
      <c r="A36" s="34" t="s">
        <v>53</v>
      </c>
      <c r="B36" s="120"/>
      <c r="C36" s="42">
        <v>-0.7</v>
      </c>
      <c r="D36" s="120"/>
      <c r="E36" s="42">
        <v>3.1</v>
      </c>
      <c r="F36" s="120"/>
      <c r="G36" s="42">
        <v>-4.0999999999999996</v>
      </c>
      <c r="H36" s="120"/>
      <c r="I36" s="42">
        <v>0.5</v>
      </c>
      <c r="J36" s="120"/>
      <c r="K36" s="42">
        <v>-2.6</v>
      </c>
      <c r="L36" s="120"/>
      <c r="M36" s="42">
        <v>2.1</v>
      </c>
      <c r="N36" s="120"/>
      <c r="O36" s="42">
        <v>2.4</v>
      </c>
      <c r="P36" s="120"/>
      <c r="Q36" s="42">
        <v>-0.7</v>
      </c>
      <c r="R36" s="120"/>
    </row>
    <row r="37" spans="1:18" ht="14.15" customHeight="1">
      <c r="A37" s="34" t="s">
        <v>5</v>
      </c>
      <c r="B37" s="121"/>
      <c r="C37" s="34">
        <v>1</v>
      </c>
      <c r="D37" s="121"/>
      <c r="E37" s="34">
        <v>1</v>
      </c>
      <c r="F37" s="121"/>
      <c r="G37" s="34">
        <v>1</v>
      </c>
      <c r="H37" s="121"/>
      <c r="I37" s="34">
        <v>1</v>
      </c>
      <c r="J37" s="121"/>
      <c r="K37" s="34">
        <v>1</v>
      </c>
      <c r="L37" s="121"/>
      <c r="M37" s="34">
        <v>1</v>
      </c>
      <c r="N37" s="121"/>
      <c r="O37" s="34">
        <v>1</v>
      </c>
      <c r="P37" s="121"/>
      <c r="Q37" s="34">
        <v>1</v>
      </c>
      <c r="R37" s="121"/>
    </row>
    <row r="38" spans="1:18" s="3" customFormat="1" ht="14">
      <c r="A38" s="3" t="s">
        <v>265</v>
      </c>
    </row>
    <row r="39" spans="1:18">
      <c r="A39" s="22" t="s">
        <v>266</v>
      </c>
    </row>
  </sheetData>
  <mergeCells count="58">
    <mergeCell ref="R30:R32"/>
    <mergeCell ref="A33:A34"/>
    <mergeCell ref="B33:B34"/>
    <mergeCell ref="H30:H32"/>
    <mergeCell ref="J30:J32"/>
    <mergeCell ref="L30:L32"/>
    <mergeCell ref="N30:N32"/>
    <mergeCell ref="P30:P32"/>
    <mergeCell ref="A29:E29"/>
    <mergeCell ref="A30:A32"/>
    <mergeCell ref="B30:B32"/>
    <mergeCell ref="D30:D32"/>
    <mergeCell ref="F30:F32"/>
    <mergeCell ref="P5:P7"/>
    <mergeCell ref="N22:N26"/>
    <mergeCell ref="J5:J7"/>
    <mergeCell ref="R22:R26"/>
    <mergeCell ref="L22:L26"/>
    <mergeCell ref="R5:R7"/>
    <mergeCell ref="P22:P26"/>
    <mergeCell ref="L5:L7"/>
    <mergeCell ref="N5:N7"/>
    <mergeCell ref="A28:D28"/>
    <mergeCell ref="D5:D7"/>
    <mergeCell ref="F5:F7"/>
    <mergeCell ref="H22:H26"/>
    <mergeCell ref="J22:J26"/>
    <mergeCell ref="H5:H7"/>
    <mergeCell ref="F22:F26"/>
    <mergeCell ref="D22:D26"/>
    <mergeCell ref="B12:B13"/>
    <mergeCell ref="A14:A15"/>
    <mergeCell ref="B14:B15"/>
    <mergeCell ref="A2:E2"/>
    <mergeCell ref="A4:E4"/>
    <mergeCell ref="A5:A7"/>
    <mergeCell ref="B5:B7"/>
    <mergeCell ref="B22:B26"/>
    <mergeCell ref="A8:A9"/>
    <mergeCell ref="A16:A17"/>
    <mergeCell ref="B8:B9"/>
    <mergeCell ref="B16:B17"/>
    <mergeCell ref="B18:B19"/>
    <mergeCell ref="A18:A19"/>
    <mergeCell ref="B20:B21"/>
    <mergeCell ref="A20:A21"/>
    <mergeCell ref="A10:A11"/>
    <mergeCell ref="B10:B11"/>
    <mergeCell ref="A12:A13"/>
    <mergeCell ref="L35:L37"/>
    <mergeCell ref="N35:N37"/>
    <mergeCell ref="P35:P37"/>
    <mergeCell ref="R35:R37"/>
    <mergeCell ref="B35:B37"/>
    <mergeCell ref="D35:D37"/>
    <mergeCell ref="F35:F37"/>
    <mergeCell ref="H35:H37"/>
    <mergeCell ref="J35:J3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56"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905A-91B9-439B-920D-43328C37DD97}">
  <sheetPr>
    <tabColor rgb="FF00B050"/>
    <pageSetUpPr fitToPage="1"/>
  </sheetPr>
  <dimension ref="A2:P111"/>
  <sheetViews>
    <sheetView view="pageBreakPreview" topLeftCell="A85" zoomScaleNormal="100" zoomScaleSheetLayoutView="100" workbookViewId="0">
      <selection activeCell="E104" sqref="E104"/>
    </sheetView>
  </sheetViews>
  <sheetFormatPr defaultColWidth="8.83203125" defaultRowHeight="13.5"/>
  <cols>
    <col min="1" max="1" width="18.08203125" style="61" customWidth="1"/>
    <col min="2" max="2" width="9.83203125" style="61" customWidth="1"/>
    <col min="3" max="10" width="10.83203125" style="61" customWidth="1"/>
    <col min="11" max="11" width="12.33203125" style="61" customWidth="1"/>
    <col min="12" max="12" width="12" style="61" customWidth="1"/>
    <col min="13" max="16384" width="8.83203125" style="61"/>
  </cols>
  <sheetData>
    <row r="2" spans="1:16">
      <c r="A2" s="116" t="s">
        <v>419</v>
      </c>
      <c r="B2" s="116"/>
      <c r="C2" s="116"/>
      <c r="D2" s="116"/>
      <c r="E2" s="116"/>
    </row>
    <row r="3" spans="1:16">
      <c r="A3" s="22"/>
      <c r="B3" s="22"/>
      <c r="C3" s="22"/>
      <c r="D3" s="22"/>
      <c r="E3" s="22"/>
    </row>
    <row r="4" spans="1:16">
      <c r="A4" s="187" t="s">
        <v>420</v>
      </c>
      <c r="B4" s="187"/>
      <c r="C4" s="187"/>
      <c r="D4" s="187"/>
      <c r="E4" s="187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6" ht="14.15" customHeight="1">
      <c r="A5" s="134" t="s">
        <v>25</v>
      </c>
      <c r="B5" s="134" t="s">
        <v>23</v>
      </c>
      <c r="C5" s="97" t="s">
        <v>0</v>
      </c>
      <c r="D5" s="134" t="s">
        <v>53</v>
      </c>
      <c r="E5" s="64" t="s">
        <v>2</v>
      </c>
      <c r="F5" s="134" t="s">
        <v>53</v>
      </c>
      <c r="G5" s="64" t="s">
        <v>76</v>
      </c>
      <c r="H5" s="134" t="s">
        <v>53</v>
      </c>
      <c r="I5" s="64" t="s">
        <v>77</v>
      </c>
      <c r="J5" s="134" t="s">
        <v>53</v>
      </c>
      <c r="K5" s="64" t="s">
        <v>1</v>
      </c>
      <c r="L5" s="134" t="s">
        <v>53</v>
      </c>
      <c r="M5" s="188"/>
      <c r="N5" s="188"/>
      <c r="O5" s="188"/>
      <c r="P5" s="188"/>
    </row>
    <row r="6" spans="1:16" ht="14.15" customHeight="1">
      <c r="A6" s="135"/>
      <c r="B6" s="135"/>
      <c r="C6" s="65">
        <v>50</v>
      </c>
      <c r="D6" s="135"/>
      <c r="E6" s="65">
        <v>150</v>
      </c>
      <c r="F6" s="135"/>
      <c r="G6" s="65">
        <v>1125</v>
      </c>
      <c r="H6" s="135"/>
      <c r="I6" s="65">
        <v>7500</v>
      </c>
      <c r="J6" s="135"/>
      <c r="K6" s="65">
        <v>18750</v>
      </c>
      <c r="L6" s="135"/>
      <c r="M6" s="188"/>
      <c r="N6" s="188"/>
      <c r="O6" s="188"/>
      <c r="P6" s="188"/>
    </row>
    <row r="7" spans="1:16" ht="14.15" customHeight="1">
      <c r="A7" s="136"/>
      <c r="B7" s="136"/>
      <c r="C7" s="66" t="s">
        <v>118</v>
      </c>
      <c r="D7" s="136"/>
      <c r="E7" s="66" t="s">
        <v>118</v>
      </c>
      <c r="F7" s="136"/>
      <c r="G7" s="66" t="s">
        <v>118</v>
      </c>
      <c r="H7" s="136"/>
      <c r="I7" s="66" t="s">
        <v>118</v>
      </c>
      <c r="J7" s="136"/>
      <c r="K7" s="66" t="s">
        <v>118</v>
      </c>
      <c r="L7" s="136"/>
      <c r="M7" s="188"/>
      <c r="N7" s="188"/>
      <c r="O7" s="188"/>
      <c r="P7" s="188"/>
    </row>
    <row r="8" spans="1:16">
      <c r="A8" s="189">
        <v>45367</v>
      </c>
      <c r="B8" s="190">
        <v>1</v>
      </c>
      <c r="C8" s="191">
        <v>56.534999999999997</v>
      </c>
      <c r="D8" s="192">
        <v>13.1</v>
      </c>
      <c r="E8" s="191">
        <v>150.744</v>
      </c>
      <c r="F8" s="192">
        <v>0.5</v>
      </c>
      <c r="G8" s="191">
        <v>1179.7260000000001</v>
      </c>
      <c r="H8" s="192">
        <v>4.9000000000000004</v>
      </c>
      <c r="I8" s="191">
        <v>8143.7910000000002</v>
      </c>
      <c r="J8" s="192">
        <v>8.6</v>
      </c>
      <c r="K8" s="191">
        <v>19558.737000000001</v>
      </c>
      <c r="L8" s="192">
        <v>4.3</v>
      </c>
      <c r="M8" s="188"/>
      <c r="N8" s="188"/>
      <c r="O8" s="188"/>
      <c r="P8" s="188"/>
    </row>
    <row r="9" spans="1:16">
      <c r="A9" s="193"/>
      <c r="B9" s="194"/>
      <c r="C9" s="191">
        <v>47.334000000000003</v>
      </c>
      <c r="D9" s="192">
        <v>-5.3</v>
      </c>
      <c r="E9" s="191" t="s">
        <v>421</v>
      </c>
      <c r="F9" s="192">
        <v>24.2</v>
      </c>
      <c r="G9" s="191">
        <v>1221.681</v>
      </c>
      <c r="H9" s="192">
        <v>8.6</v>
      </c>
      <c r="I9" s="191">
        <v>7803.3590000000004</v>
      </c>
      <c r="J9" s="192">
        <v>4</v>
      </c>
      <c r="K9" s="191">
        <v>19843.627</v>
      </c>
      <c r="L9" s="192">
        <v>5.8</v>
      </c>
      <c r="M9" s="188"/>
      <c r="N9" s="188"/>
      <c r="O9" s="188"/>
      <c r="P9" s="188"/>
    </row>
    <row r="10" spans="1:16">
      <c r="A10" s="193"/>
      <c r="B10" s="194"/>
      <c r="C10" s="191">
        <v>55.637999999999998</v>
      </c>
      <c r="D10" s="192">
        <v>11.3</v>
      </c>
      <c r="E10" s="191">
        <v>162.11500000000001</v>
      </c>
      <c r="F10" s="192">
        <v>8.1</v>
      </c>
      <c r="G10" s="191">
        <v>1078.066</v>
      </c>
      <c r="H10" s="192">
        <v>-4.2</v>
      </c>
      <c r="I10" s="191">
        <v>7963.23</v>
      </c>
      <c r="J10" s="192">
        <v>6.2</v>
      </c>
      <c r="K10" s="191">
        <v>20115.851999999999</v>
      </c>
      <c r="L10" s="192">
        <v>7.3</v>
      </c>
      <c r="M10" s="188"/>
      <c r="N10" s="188"/>
      <c r="O10" s="188"/>
      <c r="P10" s="188"/>
    </row>
    <row r="11" spans="1:16">
      <c r="A11" s="193"/>
      <c r="B11" s="194"/>
      <c r="C11" s="191">
        <v>47.311999999999998</v>
      </c>
      <c r="D11" s="192">
        <v>-5.4</v>
      </c>
      <c r="E11" s="191">
        <v>167.72</v>
      </c>
      <c r="F11" s="192">
        <v>11.8</v>
      </c>
      <c r="G11" s="191">
        <v>1131.5329999999999</v>
      </c>
      <c r="H11" s="192">
        <v>0.6</v>
      </c>
      <c r="I11" s="191">
        <v>7645.2030000000004</v>
      </c>
      <c r="J11" s="192">
        <v>1.9</v>
      </c>
      <c r="K11" s="191">
        <v>18380.16</v>
      </c>
      <c r="L11" s="192">
        <v>-2</v>
      </c>
      <c r="M11" s="188"/>
      <c r="N11" s="188"/>
      <c r="O11" s="188"/>
      <c r="P11" s="188"/>
    </row>
    <row r="12" spans="1:16" ht="14">
      <c r="A12" s="193"/>
      <c r="B12" s="194"/>
      <c r="C12" s="191" t="s">
        <v>422</v>
      </c>
      <c r="D12" s="192">
        <v>31.8</v>
      </c>
      <c r="E12" s="191">
        <v>163.30000000000001</v>
      </c>
      <c r="F12" s="192">
        <v>8.9</v>
      </c>
      <c r="G12" s="191">
        <v>1087.4079999999999</v>
      </c>
      <c r="H12" s="192">
        <v>-3.3</v>
      </c>
      <c r="I12" s="191">
        <v>7355.42</v>
      </c>
      <c r="J12" s="192">
        <v>-1.9</v>
      </c>
      <c r="K12" s="191">
        <v>18741.863000000001</v>
      </c>
      <c r="L12" s="192">
        <v>0</v>
      </c>
      <c r="M12" s="25"/>
      <c r="N12" s="188"/>
      <c r="O12" s="188"/>
      <c r="P12" s="188"/>
    </row>
    <row r="13" spans="1:16" ht="14">
      <c r="A13" s="195"/>
      <c r="B13" s="196"/>
      <c r="C13" s="191">
        <v>53.814</v>
      </c>
      <c r="D13" s="192">
        <v>7.6</v>
      </c>
      <c r="E13" s="191" t="s">
        <v>423</v>
      </c>
      <c r="F13" s="192">
        <v>18.100000000000001</v>
      </c>
      <c r="G13" s="191">
        <v>1143.471</v>
      </c>
      <c r="H13" s="192">
        <v>1.6</v>
      </c>
      <c r="I13" s="191">
        <v>7248.9939999999997</v>
      </c>
      <c r="J13" s="192">
        <v>-3.3</v>
      </c>
      <c r="K13" s="191">
        <v>19496.201000000001</v>
      </c>
      <c r="L13" s="192">
        <v>4</v>
      </c>
      <c r="M13" s="25"/>
      <c r="N13" s="188"/>
      <c r="O13" s="188"/>
      <c r="P13" s="188"/>
    </row>
    <row r="14" spans="1:16" ht="13.5" customHeight="1">
      <c r="A14" s="64" t="s">
        <v>424</v>
      </c>
      <c r="B14" s="197"/>
      <c r="C14" s="191">
        <v>54.421999999999997</v>
      </c>
      <c r="D14" s="197"/>
      <c r="E14" s="191">
        <v>167.89099999999999</v>
      </c>
      <c r="F14" s="197"/>
      <c r="G14" s="191">
        <v>1140.3140000000001</v>
      </c>
      <c r="H14" s="197"/>
      <c r="I14" s="191">
        <v>7693.3329999999996</v>
      </c>
      <c r="J14" s="197"/>
      <c r="K14" s="191">
        <v>19356.073</v>
      </c>
      <c r="L14" s="197"/>
      <c r="M14" s="25"/>
      <c r="N14" s="188"/>
      <c r="O14" s="188"/>
      <c r="P14" s="188"/>
    </row>
    <row r="15" spans="1:16" ht="13.5" customHeight="1">
      <c r="A15" s="64" t="s">
        <v>425</v>
      </c>
      <c r="B15" s="198"/>
      <c r="C15" s="191">
        <v>6.9109999999999996</v>
      </c>
      <c r="D15" s="198"/>
      <c r="E15" s="191">
        <v>12.446999999999999</v>
      </c>
      <c r="F15" s="198"/>
      <c r="G15" s="191">
        <v>54.652999999999999</v>
      </c>
      <c r="H15" s="198"/>
      <c r="I15" s="191">
        <v>346.93</v>
      </c>
      <c r="J15" s="198"/>
      <c r="K15" s="191">
        <v>664.13</v>
      </c>
      <c r="L15" s="198"/>
      <c r="M15" s="25"/>
      <c r="N15" s="188"/>
      <c r="O15" s="188"/>
      <c r="P15" s="188"/>
    </row>
    <row r="16" spans="1:16" ht="13.5" customHeight="1">
      <c r="A16" s="64" t="s">
        <v>426</v>
      </c>
      <c r="B16" s="198"/>
      <c r="C16" s="192">
        <v>12.7</v>
      </c>
      <c r="D16" s="198"/>
      <c r="E16" s="192">
        <v>7.4</v>
      </c>
      <c r="F16" s="198"/>
      <c r="G16" s="192">
        <v>4.8</v>
      </c>
      <c r="H16" s="198"/>
      <c r="I16" s="192">
        <v>4.5</v>
      </c>
      <c r="J16" s="198"/>
      <c r="K16" s="192">
        <v>3.4</v>
      </c>
      <c r="L16" s="198"/>
      <c r="M16" s="25"/>
      <c r="N16" s="188"/>
      <c r="O16" s="188"/>
      <c r="P16" s="188"/>
    </row>
    <row r="17" spans="1:16" ht="13.5" customHeight="1">
      <c r="A17" s="64" t="s">
        <v>427</v>
      </c>
      <c r="B17" s="198"/>
      <c r="C17" s="192">
        <v>8.8000000000000007</v>
      </c>
      <c r="D17" s="198"/>
      <c r="E17" s="192">
        <v>11.9</v>
      </c>
      <c r="F17" s="198"/>
      <c r="G17" s="192">
        <v>1.4</v>
      </c>
      <c r="H17" s="198"/>
      <c r="I17" s="192">
        <v>2.6</v>
      </c>
      <c r="J17" s="198"/>
      <c r="K17" s="192">
        <v>3.2</v>
      </c>
      <c r="L17" s="198"/>
      <c r="M17" s="25"/>
      <c r="N17" s="188"/>
      <c r="O17" s="188"/>
      <c r="P17" s="188"/>
    </row>
    <row r="18" spans="1:16" ht="13.5" customHeight="1">
      <c r="A18" s="64" t="s">
        <v>5</v>
      </c>
      <c r="B18" s="199"/>
      <c r="C18" s="47">
        <v>6</v>
      </c>
      <c r="D18" s="199"/>
      <c r="E18" s="47">
        <v>6</v>
      </c>
      <c r="F18" s="199"/>
      <c r="G18" s="47">
        <v>6</v>
      </c>
      <c r="H18" s="199"/>
      <c r="I18" s="47">
        <v>6</v>
      </c>
      <c r="J18" s="199"/>
      <c r="K18" s="47">
        <v>6</v>
      </c>
      <c r="L18" s="199"/>
      <c r="M18" s="25"/>
      <c r="N18" s="188"/>
      <c r="O18" s="188"/>
      <c r="P18" s="188"/>
    </row>
    <row r="19" spans="1:16" ht="14">
      <c r="A19" s="189">
        <v>45370</v>
      </c>
      <c r="B19" s="134">
        <v>4</v>
      </c>
      <c r="C19" s="191" t="s">
        <v>428</v>
      </c>
      <c r="D19" s="192">
        <v>24.4</v>
      </c>
      <c r="E19" s="191">
        <v>153.58600000000001</v>
      </c>
      <c r="F19" s="192">
        <v>2.4</v>
      </c>
      <c r="G19" s="191">
        <v>1067.8409999999999</v>
      </c>
      <c r="H19" s="192">
        <v>-5.0999999999999996</v>
      </c>
      <c r="I19" s="191">
        <v>7612.83</v>
      </c>
      <c r="J19" s="192">
        <v>1.5</v>
      </c>
      <c r="K19" s="191">
        <v>17180.362000000001</v>
      </c>
      <c r="L19" s="192">
        <v>-8.4</v>
      </c>
      <c r="M19" s="25"/>
      <c r="N19" s="61" t="s">
        <v>429</v>
      </c>
    </row>
    <row r="20" spans="1:16" ht="14">
      <c r="A20" s="193"/>
      <c r="B20" s="135"/>
      <c r="C20" s="191">
        <v>49.359000000000002</v>
      </c>
      <c r="D20" s="192">
        <v>-1.3</v>
      </c>
      <c r="E20" s="191">
        <v>148.315</v>
      </c>
      <c r="F20" s="192">
        <v>-1.1000000000000001</v>
      </c>
      <c r="G20" s="191">
        <v>1159.104</v>
      </c>
      <c r="H20" s="192">
        <v>3</v>
      </c>
      <c r="I20" s="191">
        <v>7560.1869999999999</v>
      </c>
      <c r="J20" s="192">
        <v>0.8</v>
      </c>
      <c r="K20" s="191">
        <v>19448.234</v>
      </c>
      <c r="L20" s="192">
        <v>3.7</v>
      </c>
      <c r="M20" s="25"/>
      <c r="N20" s="61" t="s">
        <v>430</v>
      </c>
      <c r="O20" s="61" t="s">
        <v>431</v>
      </c>
      <c r="P20" s="61" t="s">
        <v>432</v>
      </c>
    </row>
    <row r="21" spans="1:16" ht="14">
      <c r="A21" s="193"/>
      <c r="B21" s="135"/>
      <c r="C21" s="191">
        <v>46.212000000000003</v>
      </c>
      <c r="D21" s="192">
        <v>-7.6</v>
      </c>
      <c r="E21" s="191">
        <v>158.01900000000001</v>
      </c>
      <c r="F21" s="192">
        <v>5.3</v>
      </c>
      <c r="G21" s="191">
        <v>1105.0409999999999</v>
      </c>
      <c r="H21" s="192">
        <v>-1.8</v>
      </c>
      <c r="I21" s="191">
        <v>7525.2039999999997</v>
      </c>
      <c r="J21" s="192">
        <v>0.3</v>
      </c>
      <c r="K21" s="191">
        <v>20354.759999999998</v>
      </c>
      <c r="L21" s="192">
        <v>8.6</v>
      </c>
      <c r="M21" s="25"/>
      <c r="N21" s="61" t="s">
        <v>433</v>
      </c>
      <c r="O21" s="200">
        <f>MAX(E17,G17,I17,K17,E28,G28,I28,K28,E39,G39,I39,K39)</f>
        <v>11.9</v>
      </c>
      <c r="P21" s="200">
        <f>MIN(E17,G17,I17,K17,E28,G28,I28,K28,E39,G39,I39,K39)</f>
        <v>0.4</v>
      </c>
    </row>
    <row r="22" spans="1:16" ht="14">
      <c r="A22" s="193"/>
      <c r="B22" s="135"/>
      <c r="C22" s="191">
        <v>44.393999999999998</v>
      </c>
      <c r="D22" s="192">
        <v>-11.2</v>
      </c>
      <c r="E22" s="191">
        <v>152.66999999999999</v>
      </c>
      <c r="F22" s="192">
        <v>1.8</v>
      </c>
      <c r="G22" s="191">
        <v>1149.799</v>
      </c>
      <c r="H22" s="192">
        <v>2.2000000000000002</v>
      </c>
      <c r="I22" s="191">
        <v>8262.9410000000007</v>
      </c>
      <c r="J22" s="192">
        <v>10.199999999999999</v>
      </c>
      <c r="K22" s="191">
        <v>19888.668000000001</v>
      </c>
      <c r="L22" s="192">
        <v>6.1</v>
      </c>
      <c r="M22" s="25"/>
      <c r="N22" s="61" t="s">
        <v>434</v>
      </c>
      <c r="O22" s="200">
        <f>MAX(E16,G16,I16,K16,E27,G27,I27,K27,E38,G38,I38,K38)</f>
        <v>7.4</v>
      </c>
      <c r="P22" s="200">
        <f>MIN(E16,G16,I16,K16,E27,G27,I27,K27,E38,G38,I38,K38)</f>
        <v>3.4</v>
      </c>
    </row>
    <row r="23" spans="1:16" ht="14">
      <c r="A23" s="193"/>
      <c r="B23" s="135"/>
      <c r="C23" s="191" t="s">
        <v>435</v>
      </c>
      <c r="D23" s="192">
        <v>24.6</v>
      </c>
      <c r="E23" s="191">
        <v>140.97800000000001</v>
      </c>
      <c r="F23" s="192">
        <v>-6</v>
      </c>
      <c r="G23" s="191">
        <v>1248.201</v>
      </c>
      <c r="H23" s="192">
        <v>11</v>
      </c>
      <c r="I23" s="191">
        <v>7744.9089999999997</v>
      </c>
      <c r="J23" s="192">
        <v>3.3</v>
      </c>
      <c r="K23" s="191">
        <v>19108.311000000002</v>
      </c>
      <c r="L23" s="192">
        <v>1.9</v>
      </c>
      <c r="M23" s="25"/>
    </row>
    <row r="24" spans="1:16" ht="14">
      <c r="A24" s="195"/>
      <c r="B24" s="136"/>
      <c r="C24" s="191" t="s">
        <v>436</v>
      </c>
      <c r="D24" s="192">
        <v>26.5</v>
      </c>
      <c r="E24" s="191">
        <v>149.65100000000001</v>
      </c>
      <c r="F24" s="192">
        <v>-0.2</v>
      </c>
      <c r="G24" s="191">
        <v>1152.96</v>
      </c>
      <c r="H24" s="192">
        <v>2.5</v>
      </c>
      <c r="I24" s="191">
        <v>7510.9260000000004</v>
      </c>
      <c r="J24" s="192">
        <v>0.1</v>
      </c>
      <c r="K24" s="191">
        <v>18781.878000000001</v>
      </c>
      <c r="L24" s="192">
        <v>0.2</v>
      </c>
      <c r="M24" s="25"/>
      <c r="N24" s="61" t="s">
        <v>437</v>
      </c>
      <c r="O24" s="61" t="s">
        <v>431</v>
      </c>
      <c r="P24" s="61" t="s">
        <v>432</v>
      </c>
    </row>
    <row r="25" spans="1:16" ht="13.5" customHeight="1">
      <c r="A25" s="64" t="s">
        <v>424</v>
      </c>
      <c r="B25" s="197"/>
      <c r="C25" s="191">
        <v>54.616999999999997</v>
      </c>
      <c r="D25" s="197"/>
      <c r="E25" s="191">
        <v>150.53700000000001</v>
      </c>
      <c r="F25" s="197"/>
      <c r="G25" s="191">
        <v>1147.1579999999999</v>
      </c>
      <c r="H25" s="201"/>
      <c r="I25" s="191">
        <v>7702.8329999999996</v>
      </c>
      <c r="J25" s="197"/>
      <c r="K25" s="191">
        <v>19127.036</v>
      </c>
      <c r="L25" s="197"/>
      <c r="M25" s="25"/>
      <c r="N25" s="61" t="s">
        <v>433</v>
      </c>
      <c r="O25" s="200">
        <f>MAX(E44,G44,I44,K44)</f>
        <v>4.9279607843137496</v>
      </c>
      <c r="P25" s="200">
        <f>MIN(E44,G44,I44,K44)</f>
        <v>2.5</v>
      </c>
    </row>
    <row r="26" spans="1:16" ht="13.5" customHeight="1">
      <c r="A26" s="64" t="s">
        <v>425</v>
      </c>
      <c r="B26" s="198"/>
      <c r="C26" s="191">
        <v>8.8729999999999993</v>
      </c>
      <c r="D26" s="198"/>
      <c r="E26" s="191">
        <v>5.7779999999999996</v>
      </c>
      <c r="F26" s="198"/>
      <c r="G26" s="191">
        <v>60.759</v>
      </c>
      <c r="H26" s="202"/>
      <c r="I26" s="191">
        <v>287.166</v>
      </c>
      <c r="J26" s="198"/>
      <c r="K26" s="191">
        <v>1104.498</v>
      </c>
      <c r="L26" s="198"/>
      <c r="M26" s="25"/>
      <c r="N26" s="61" t="s">
        <v>434</v>
      </c>
      <c r="O26" s="200">
        <f>MAX(E43,G43,I43,K43)</f>
        <v>7.6332419094630373</v>
      </c>
      <c r="P26" s="200">
        <f>MIN(E43,G43,I43,K43)</f>
        <v>4.7</v>
      </c>
    </row>
    <row r="27" spans="1:16" ht="13.5" customHeight="1">
      <c r="A27" s="64" t="s">
        <v>438</v>
      </c>
      <c r="B27" s="198"/>
      <c r="C27" s="192">
        <v>16.2</v>
      </c>
      <c r="D27" s="198"/>
      <c r="E27" s="192">
        <v>3.8</v>
      </c>
      <c r="F27" s="198"/>
      <c r="G27" s="192">
        <v>5.3</v>
      </c>
      <c r="H27" s="202"/>
      <c r="I27" s="192">
        <v>3.7</v>
      </c>
      <c r="J27" s="198"/>
      <c r="K27" s="192">
        <v>5.8</v>
      </c>
      <c r="L27" s="198"/>
      <c r="M27" s="25"/>
    </row>
    <row r="28" spans="1:16" ht="13.5" customHeight="1">
      <c r="A28" s="64" t="s">
        <v>439</v>
      </c>
      <c r="B28" s="198"/>
      <c r="C28" s="192">
        <v>9.1999999999999993</v>
      </c>
      <c r="D28" s="198"/>
      <c r="E28" s="192">
        <v>0.4</v>
      </c>
      <c r="F28" s="198"/>
      <c r="G28" s="192">
        <v>2</v>
      </c>
      <c r="H28" s="202"/>
      <c r="I28" s="192">
        <v>2.7</v>
      </c>
      <c r="J28" s="198"/>
      <c r="K28" s="192">
        <v>2</v>
      </c>
      <c r="L28" s="198"/>
      <c r="M28" s="25"/>
      <c r="N28" s="61" t="s">
        <v>440</v>
      </c>
    </row>
    <row r="29" spans="1:16" ht="13.5" customHeight="1">
      <c r="A29" s="64" t="s">
        <v>5</v>
      </c>
      <c r="B29" s="199"/>
      <c r="C29" s="47">
        <v>6</v>
      </c>
      <c r="D29" s="199"/>
      <c r="E29" s="47">
        <v>6</v>
      </c>
      <c r="F29" s="199"/>
      <c r="G29" s="47">
        <v>6</v>
      </c>
      <c r="H29" s="203"/>
      <c r="I29" s="47">
        <v>6</v>
      </c>
      <c r="J29" s="199"/>
      <c r="K29" s="47">
        <v>6</v>
      </c>
      <c r="L29" s="199"/>
      <c r="M29" s="25"/>
      <c r="N29" s="61" t="s">
        <v>430</v>
      </c>
      <c r="O29" s="61" t="s">
        <v>431</v>
      </c>
      <c r="P29" s="61" t="s">
        <v>432</v>
      </c>
    </row>
    <row r="30" spans="1:16" ht="14">
      <c r="A30" s="204">
        <v>45372</v>
      </c>
      <c r="B30" s="134">
        <v>6</v>
      </c>
      <c r="C30" s="191">
        <v>55.212000000000003</v>
      </c>
      <c r="D30" s="192">
        <v>10.4</v>
      </c>
      <c r="E30" s="191" t="s">
        <v>441</v>
      </c>
      <c r="F30" s="192">
        <v>138.69999999999999</v>
      </c>
      <c r="G30" s="191">
        <v>1175.9929999999999</v>
      </c>
      <c r="H30" s="192">
        <v>4.5</v>
      </c>
      <c r="I30" s="191">
        <v>8071.55</v>
      </c>
      <c r="J30" s="192">
        <v>7.6</v>
      </c>
      <c r="K30" s="191">
        <v>19261.738000000001</v>
      </c>
      <c r="L30" s="192">
        <v>2.7</v>
      </c>
      <c r="M30" s="25"/>
      <c r="N30" s="61" t="s">
        <v>433</v>
      </c>
      <c r="O30" s="200">
        <f>MAX(C17,C28,C39)</f>
        <v>9.1999999999999993</v>
      </c>
      <c r="P30" s="200">
        <f>MIN(C17,C28,C39)</f>
        <v>5.7</v>
      </c>
    </row>
    <row r="31" spans="1:16" ht="14">
      <c r="A31" s="204"/>
      <c r="B31" s="135"/>
      <c r="C31" s="191" t="s">
        <v>442</v>
      </c>
      <c r="D31" s="192">
        <v>28.3</v>
      </c>
      <c r="E31" s="191">
        <v>156.88800000000001</v>
      </c>
      <c r="F31" s="192">
        <v>4.5999999999999996</v>
      </c>
      <c r="G31" s="191">
        <v>1258.8050000000001</v>
      </c>
      <c r="H31" s="192">
        <v>11.9</v>
      </c>
      <c r="I31" s="191" t="s">
        <v>443</v>
      </c>
      <c r="J31" s="192">
        <v>15.1</v>
      </c>
      <c r="K31" s="191">
        <v>20366.620999999999</v>
      </c>
      <c r="L31" s="192">
        <v>8.6</v>
      </c>
      <c r="M31" s="25"/>
      <c r="N31" s="61" t="s">
        <v>434</v>
      </c>
      <c r="O31" s="200">
        <f>MAX(C16,C27,C38)</f>
        <v>16.2</v>
      </c>
      <c r="P31" s="200">
        <f>MIN(C16,C27,C38)</f>
        <v>12.7</v>
      </c>
    </row>
    <row r="32" spans="1:16" ht="14">
      <c r="A32" s="204"/>
      <c r="B32" s="135"/>
      <c r="C32" s="191">
        <v>48.125999999999998</v>
      </c>
      <c r="D32" s="192">
        <v>-3.7</v>
      </c>
      <c r="E32" s="191">
        <v>166.20599999999999</v>
      </c>
      <c r="F32" s="192">
        <v>10.8</v>
      </c>
      <c r="G32" s="191">
        <v>1205.231</v>
      </c>
      <c r="H32" s="192">
        <v>7.1</v>
      </c>
      <c r="I32" s="191">
        <v>8304.0290000000005</v>
      </c>
      <c r="J32" s="192">
        <v>10.7</v>
      </c>
      <c r="K32" s="191">
        <v>20414.686000000002</v>
      </c>
      <c r="L32" s="192">
        <v>8.9</v>
      </c>
      <c r="M32" s="25"/>
    </row>
    <row r="33" spans="1:16" ht="14">
      <c r="A33" s="204"/>
      <c r="B33" s="135"/>
      <c r="C33" s="191">
        <v>50.009</v>
      </c>
      <c r="D33" s="192">
        <v>0</v>
      </c>
      <c r="E33" s="191">
        <v>150.54300000000001</v>
      </c>
      <c r="F33" s="192">
        <v>0.4</v>
      </c>
      <c r="G33" s="191">
        <v>1086.9159999999999</v>
      </c>
      <c r="H33" s="192">
        <v>-3.4</v>
      </c>
      <c r="I33" s="191">
        <v>7076.9849999999997</v>
      </c>
      <c r="J33" s="192">
        <v>-5.6</v>
      </c>
      <c r="K33" s="191">
        <v>17991.763999999999</v>
      </c>
      <c r="L33" s="192">
        <v>-4</v>
      </c>
      <c r="M33" s="25"/>
      <c r="N33" s="61" t="s">
        <v>437</v>
      </c>
      <c r="O33" s="61" t="s">
        <v>431</v>
      </c>
      <c r="P33" s="61" t="s">
        <v>432</v>
      </c>
    </row>
    <row r="34" spans="1:16" ht="14">
      <c r="A34" s="204"/>
      <c r="B34" s="135"/>
      <c r="C34" s="191">
        <v>57.097999999999999</v>
      </c>
      <c r="D34" s="192">
        <v>14.2</v>
      </c>
      <c r="E34" s="191">
        <v>142</v>
      </c>
      <c r="F34" s="192">
        <v>-5.3</v>
      </c>
      <c r="G34" s="191">
        <v>1138.3610000000001</v>
      </c>
      <c r="H34" s="192">
        <v>1.2</v>
      </c>
      <c r="I34" s="191">
        <v>7357.5730000000003</v>
      </c>
      <c r="J34" s="192">
        <v>-1.9</v>
      </c>
      <c r="K34" s="191">
        <v>18500.001</v>
      </c>
      <c r="L34" s="192">
        <v>-1.3</v>
      </c>
      <c r="M34" s="25"/>
      <c r="N34" s="61" t="s">
        <v>433</v>
      </c>
      <c r="O34" s="200">
        <f>MAX(C44)</f>
        <v>7.9</v>
      </c>
      <c r="P34" s="200">
        <f>MIN(C44)</f>
        <v>7.9</v>
      </c>
    </row>
    <row r="35" spans="1:16" ht="14">
      <c r="A35" s="204"/>
      <c r="B35" s="136"/>
      <c r="C35" s="191">
        <v>42.494</v>
      </c>
      <c r="D35" s="192">
        <v>-15</v>
      </c>
      <c r="E35" s="191">
        <v>149.464</v>
      </c>
      <c r="F35" s="192">
        <v>-0.4</v>
      </c>
      <c r="G35" s="191">
        <v>1163.1880000000001</v>
      </c>
      <c r="H35" s="192">
        <v>3.4</v>
      </c>
      <c r="I35" s="191">
        <v>8030.5219999999999</v>
      </c>
      <c r="J35" s="192">
        <v>7.1</v>
      </c>
      <c r="K35" s="191">
        <v>18418.482</v>
      </c>
      <c r="L35" s="192">
        <v>-1.8</v>
      </c>
      <c r="M35" s="25"/>
      <c r="N35" s="61" t="s">
        <v>434</v>
      </c>
      <c r="O35" s="200">
        <f>MAX(C43)</f>
        <v>13.7</v>
      </c>
      <c r="P35" s="200">
        <f>MIN(C43)</f>
        <v>13.7</v>
      </c>
    </row>
    <row r="36" spans="1:16" ht="14.15" customHeight="1">
      <c r="A36" s="64" t="s">
        <v>424</v>
      </c>
      <c r="B36" s="197"/>
      <c r="C36" s="191">
        <v>52.851999999999997</v>
      </c>
      <c r="D36" s="197"/>
      <c r="E36" s="191">
        <f>AVERAGEA(E31:E35)</f>
        <v>153.02019999999999</v>
      </c>
      <c r="F36" s="197"/>
      <c r="G36" s="191">
        <v>1171.4159999999999</v>
      </c>
      <c r="H36" s="197"/>
      <c r="I36" s="191">
        <v>7912.4539999999997</v>
      </c>
      <c r="J36" s="197"/>
      <c r="K36" s="191">
        <v>19158.882000000001</v>
      </c>
      <c r="L36" s="197"/>
      <c r="M36" s="25"/>
      <c r="N36" s="188"/>
      <c r="O36" s="188"/>
      <c r="P36" s="188"/>
    </row>
    <row r="37" spans="1:16" ht="14.15" customHeight="1">
      <c r="A37" s="64" t="s">
        <v>425</v>
      </c>
      <c r="B37" s="198"/>
      <c r="C37" s="191">
        <v>7.609</v>
      </c>
      <c r="D37" s="198"/>
      <c r="E37" s="191">
        <f>STDEVA(E31:E35)</f>
        <v>9.0699102090373493</v>
      </c>
      <c r="F37" s="198"/>
      <c r="G37" s="191">
        <v>58.484000000000002</v>
      </c>
      <c r="H37" s="198"/>
      <c r="I37" s="191">
        <v>586.37900000000002</v>
      </c>
      <c r="J37" s="198"/>
      <c r="K37" s="191">
        <v>1038.3389999999999</v>
      </c>
      <c r="L37" s="198"/>
      <c r="M37" s="25"/>
      <c r="N37" s="188"/>
      <c r="O37" s="188"/>
      <c r="P37" s="188"/>
    </row>
    <row r="38" spans="1:16" ht="14.15" customHeight="1">
      <c r="A38" s="64" t="s">
        <v>438</v>
      </c>
      <c r="B38" s="198"/>
      <c r="C38" s="192">
        <v>14.4</v>
      </c>
      <c r="D38" s="198"/>
      <c r="E38" s="192">
        <f>E37/E36*100</f>
        <v>5.9272633345384138</v>
      </c>
      <c r="F38" s="198"/>
      <c r="G38" s="192">
        <v>5</v>
      </c>
      <c r="H38" s="198"/>
      <c r="I38" s="192">
        <v>7.4</v>
      </c>
      <c r="J38" s="198"/>
      <c r="K38" s="192">
        <v>5.4</v>
      </c>
      <c r="L38" s="198"/>
      <c r="M38" s="25"/>
      <c r="N38" s="188"/>
      <c r="O38" s="188"/>
      <c r="P38" s="188"/>
    </row>
    <row r="39" spans="1:16" ht="14.15" customHeight="1">
      <c r="A39" s="64" t="s">
        <v>439</v>
      </c>
      <c r="B39" s="198"/>
      <c r="C39" s="192">
        <v>5.7</v>
      </c>
      <c r="D39" s="198"/>
      <c r="E39" s="192">
        <f>((E36-E6)/E6)*100</f>
        <v>2.013466666666659</v>
      </c>
      <c r="F39" s="198"/>
      <c r="G39" s="192">
        <v>4.0999999999999996</v>
      </c>
      <c r="H39" s="198"/>
      <c r="I39" s="192">
        <v>5.5</v>
      </c>
      <c r="J39" s="198"/>
      <c r="K39" s="192">
        <v>2.2000000000000002</v>
      </c>
      <c r="L39" s="198"/>
      <c r="M39" s="25"/>
      <c r="N39" s="188"/>
      <c r="O39" s="188"/>
      <c r="P39" s="188"/>
    </row>
    <row r="40" spans="1:16" ht="14.15" customHeight="1">
      <c r="A40" s="64" t="s">
        <v>5</v>
      </c>
      <c r="B40" s="199"/>
      <c r="C40" s="47">
        <v>6</v>
      </c>
      <c r="D40" s="199"/>
      <c r="E40" s="47">
        <v>5</v>
      </c>
      <c r="F40" s="199"/>
      <c r="G40" s="47">
        <v>6</v>
      </c>
      <c r="H40" s="199"/>
      <c r="I40" s="47">
        <v>6</v>
      </c>
      <c r="J40" s="199"/>
      <c r="K40" s="47">
        <v>6</v>
      </c>
      <c r="L40" s="199"/>
      <c r="M40" s="25"/>
      <c r="N40" s="188"/>
      <c r="O40" s="188"/>
      <c r="P40" s="188"/>
    </row>
    <row r="41" spans="1:16" ht="15" customHeight="1">
      <c r="A41" s="64" t="s">
        <v>444</v>
      </c>
      <c r="B41" s="197"/>
      <c r="C41" s="191">
        <v>53.963999999999999</v>
      </c>
      <c r="D41" s="197"/>
      <c r="E41" s="191">
        <f>AVERAGEA(E8,186.366,E10:E12,177.098,E19:E24,E31:E35)</f>
        <v>157.39194117647062</v>
      </c>
      <c r="F41" s="197"/>
      <c r="G41" s="191">
        <v>1152.963</v>
      </c>
      <c r="H41" s="197"/>
      <c r="I41" s="191">
        <v>7769.54</v>
      </c>
      <c r="J41" s="197"/>
      <c r="K41" s="191">
        <v>19213.996999999999</v>
      </c>
      <c r="L41" s="197"/>
      <c r="M41" s="25"/>
      <c r="N41" s="188"/>
      <c r="O41" s="188"/>
      <c r="P41" s="188"/>
    </row>
    <row r="42" spans="1:16" ht="15" customHeight="1">
      <c r="A42" s="64" t="s">
        <v>445</v>
      </c>
      <c r="B42" s="198"/>
      <c r="C42" s="191">
        <v>7.4089999999999998</v>
      </c>
      <c r="D42" s="198"/>
      <c r="E42" s="191">
        <f>STDEVA(E31:E35,E19:E24,E10:E12,E8,186.366,177.098)</f>
        <v>12.014107615999766</v>
      </c>
      <c r="F42" s="198"/>
      <c r="G42" s="191">
        <v>56.203000000000003</v>
      </c>
      <c r="H42" s="198"/>
      <c r="I42" s="191">
        <v>414.262</v>
      </c>
      <c r="J42" s="198"/>
      <c r="K42" s="191">
        <v>903.6</v>
      </c>
      <c r="L42" s="198"/>
      <c r="M42" s="25"/>
      <c r="N42" s="188"/>
      <c r="O42" s="188"/>
      <c r="P42" s="188"/>
    </row>
    <row r="43" spans="1:16" ht="15" customHeight="1">
      <c r="A43" s="64" t="s">
        <v>446</v>
      </c>
      <c r="B43" s="198"/>
      <c r="C43" s="192">
        <v>13.7</v>
      </c>
      <c r="D43" s="198"/>
      <c r="E43" s="192">
        <f>E42/E41*100</f>
        <v>7.6332419094630373</v>
      </c>
      <c r="F43" s="198"/>
      <c r="G43" s="192">
        <v>4.9000000000000004</v>
      </c>
      <c r="H43" s="198"/>
      <c r="I43" s="192">
        <v>5.3</v>
      </c>
      <c r="J43" s="198"/>
      <c r="K43" s="192">
        <v>4.7</v>
      </c>
      <c r="L43" s="198"/>
      <c r="M43" s="25"/>
      <c r="N43" s="188"/>
      <c r="O43" s="188"/>
      <c r="P43" s="188"/>
    </row>
    <row r="44" spans="1:16" ht="15" customHeight="1">
      <c r="A44" s="64" t="s">
        <v>447</v>
      </c>
      <c r="B44" s="198"/>
      <c r="C44" s="192">
        <v>7.9</v>
      </c>
      <c r="D44" s="198"/>
      <c r="E44" s="192">
        <f>(E41-E6)/E6*100</f>
        <v>4.9279607843137496</v>
      </c>
      <c r="F44" s="198"/>
      <c r="G44" s="192">
        <v>2.5</v>
      </c>
      <c r="H44" s="198"/>
      <c r="I44" s="192">
        <v>3.6</v>
      </c>
      <c r="J44" s="198"/>
      <c r="K44" s="192">
        <v>2.5</v>
      </c>
      <c r="L44" s="198"/>
      <c r="M44" s="25"/>
      <c r="N44" s="188"/>
      <c r="O44" s="188"/>
      <c r="P44" s="188"/>
    </row>
    <row r="45" spans="1:16" ht="15" customHeight="1">
      <c r="A45" s="97" t="s">
        <v>5</v>
      </c>
      <c r="B45" s="198"/>
      <c r="C45" s="205">
        <v>18</v>
      </c>
      <c r="D45" s="198"/>
      <c r="E45" s="205">
        <v>17</v>
      </c>
      <c r="F45" s="198"/>
      <c r="G45" s="205">
        <v>18</v>
      </c>
      <c r="H45" s="199"/>
      <c r="I45" s="47">
        <v>18</v>
      </c>
      <c r="J45" s="199"/>
      <c r="K45" s="47">
        <v>18</v>
      </c>
      <c r="L45" s="199"/>
      <c r="M45" s="25"/>
      <c r="N45" s="188"/>
      <c r="O45" s="188"/>
      <c r="P45" s="188"/>
    </row>
    <row r="46" spans="1:16" ht="13.5" customHeight="1">
      <c r="A46" s="138" t="s">
        <v>267</v>
      </c>
      <c r="B46" s="138"/>
      <c r="C46" s="138"/>
      <c r="D46" s="138"/>
      <c r="E46" s="138"/>
      <c r="F46" s="138"/>
      <c r="G46" s="138"/>
      <c r="H46" s="188"/>
      <c r="I46" s="188"/>
      <c r="J46" s="188"/>
      <c r="K46" s="188"/>
      <c r="L46" s="188"/>
      <c r="M46" s="188"/>
      <c r="N46" s="188"/>
      <c r="O46" s="188"/>
      <c r="P46" s="188"/>
    </row>
    <row r="47" spans="1:16">
      <c r="A47" s="206" t="s">
        <v>448</v>
      </c>
      <c r="B47" s="207"/>
      <c r="C47" s="207"/>
      <c r="D47" s="207"/>
      <c r="E47" s="207"/>
      <c r="F47" s="207"/>
      <c r="G47" s="207"/>
    </row>
    <row r="50" spans="1:16">
      <c r="A50" s="187" t="s">
        <v>449</v>
      </c>
      <c r="B50" s="187"/>
      <c r="C50" s="187"/>
      <c r="D50" s="187"/>
      <c r="E50" s="187"/>
      <c r="F50" s="188"/>
      <c r="G50" s="188"/>
      <c r="H50" s="188"/>
      <c r="I50" s="188"/>
      <c r="J50" s="188"/>
      <c r="K50" s="188"/>
      <c r="L50" s="188"/>
    </row>
    <row r="51" spans="1:16" ht="14.15" customHeight="1">
      <c r="A51" s="134" t="s">
        <v>25</v>
      </c>
      <c r="B51" s="134" t="s">
        <v>23</v>
      </c>
      <c r="C51" s="97" t="s">
        <v>0</v>
      </c>
      <c r="D51" s="134" t="s">
        <v>53</v>
      </c>
      <c r="E51" s="64" t="s">
        <v>2</v>
      </c>
      <c r="F51" s="134" t="s">
        <v>53</v>
      </c>
      <c r="G51" s="64" t="s">
        <v>76</v>
      </c>
      <c r="H51" s="134" t="s">
        <v>53</v>
      </c>
      <c r="I51" s="64" t="s">
        <v>77</v>
      </c>
      <c r="J51" s="134" t="s">
        <v>53</v>
      </c>
      <c r="K51" s="64" t="s">
        <v>1</v>
      </c>
      <c r="L51" s="134" t="s">
        <v>53</v>
      </c>
      <c r="M51" s="188"/>
      <c r="N51" s="188"/>
      <c r="O51" s="188"/>
      <c r="P51" s="188"/>
    </row>
    <row r="52" spans="1:16" ht="14.15" customHeight="1">
      <c r="A52" s="135"/>
      <c r="B52" s="135"/>
      <c r="C52" s="65">
        <v>50</v>
      </c>
      <c r="D52" s="135"/>
      <c r="E52" s="65">
        <v>150</v>
      </c>
      <c r="F52" s="135"/>
      <c r="G52" s="65">
        <v>1125</v>
      </c>
      <c r="H52" s="135"/>
      <c r="I52" s="65">
        <v>7500</v>
      </c>
      <c r="J52" s="135"/>
      <c r="K52" s="65">
        <v>18750</v>
      </c>
      <c r="L52" s="135"/>
      <c r="M52" s="188"/>
      <c r="N52" s="188"/>
      <c r="O52" s="188"/>
      <c r="P52" s="188"/>
    </row>
    <row r="53" spans="1:16" ht="14.15" customHeight="1">
      <c r="A53" s="136"/>
      <c r="B53" s="136"/>
      <c r="C53" s="66" t="s">
        <v>118</v>
      </c>
      <c r="D53" s="136"/>
      <c r="E53" s="66" t="s">
        <v>118</v>
      </c>
      <c r="F53" s="136"/>
      <c r="G53" s="66" t="s">
        <v>118</v>
      </c>
      <c r="H53" s="136"/>
      <c r="I53" s="66" t="s">
        <v>118</v>
      </c>
      <c r="J53" s="136"/>
      <c r="K53" s="66" t="s">
        <v>118</v>
      </c>
      <c r="L53" s="136"/>
      <c r="M53" s="188"/>
      <c r="N53" s="188"/>
      <c r="O53" s="188"/>
      <c r="P53" s="188"/>
    </row>
    <row r="54" spans="1:16">
      <c r="A54" s="189">
        <v>45367</v>
      </c>
      <c r="B54" s="190">
        <v>1</v>
      </c>
      <c r="C54" s="191">
        <v>56.534999999999997</v>
      </c>
      <c r="D54" s="192">
        <v>13.1</v>
      </c>
      <c r="E54" s="191">
        <v>150.744</v>
      </c>
      <c r="F54" s="192">
        <v>0.5</v>
      </c>
      <c r="G54" s="191">
        <v>1179.7260000000001</v>
      </c>
      <c r="H54" s="192">
        <v>4.9000000000000004</v>
      </c>
      <c r="I54" s="191">
        <v>8143.7910000000002</v>
      </c>
      <c r="J54" s="192">
        <v>8.6</v>
      </c>
      <c r="K54" s="191">
        <v>19558.737000000001</v>
      </c>
      <c r="L54" s="192">
        <v>4.3</v>
      </c>
      <c r="M54" s="188"/>
      <c r="N54" s="188"/>
      <c r="O54" s="188"/>
      <c r="P54" s="188"/>
    </row>
    <row r="55" spans="1:16">
      <c r="A55" s="193"/>
      <c r="B55" s="194"/>
      <c r="C55" s="191">
        <v>47.334000000000003</v>
      </c>
      <c r="D55" s="192">
        <v>-5.3</v>
      </c>
      <c r="E55" s="191" t="s">
        <v>450</v>
      </c>
      <c r="F55" s="192">
        <v>24.2</v>
      </c>
      <c r="G55" s="191">
        <v>1221.681</v>
      </c>
      <c r="H55" s="192">
        <v>8.6</v>
      </c>
      <c r="I55" s="191">
        <v>7803.3590000000004</v>
      </c>
      <c r="J55" s="192">
        <v>4</v>
      </c>
      <c r="K55" s="191">
        <v>19843.627</v>
      </c>
      <c r="L55" s="192">
        <v>5.8</v>
      </c>
      <c r="M55" s="188"/>
      <c r="N55" s="188"/>
      <c r="O55" s="188"/>
      <c r="P55" s="188"/>
    </row>
    <row r="56" spans="1:16">
      <c r="A56" s="193"/>
      <c r="B56" s="194"/>
      <c r="C56" s="191">
        <v>55.637999999999998</v>
      </c>
      <c r="D56" s="192">
        <v>11.3</v>
      </c>
      <c r="E56" s="191">
        <v>162.11500000000001</v>
      </c>
      <c r="F56" s="192">
        <v>8.1</v>
      </c>
      <c r="G56" s="191">
        <v>1078.066</v>
      </c>
      <c r="H56" s="192">
        <v>-4.2</v>
      </c>
      <c r="I56" s="191">
        <v>7963.23</v>
      </c>
      <c r="J56" s="192">
        <v>6.2</v>
      </c>
      <c r="K56" s="191">
        <v>20115.851999999999</v>
      </c>
      <c r="L56" s="192">
        <v>7.3</v>
      </c>
      <c r="M56" s="188"/>
      <c r="N56" s="188"/>
      <c r="O56" s="188"/>
      <c r="P56" s="188"/>
    </row>
    <row r="57" spans="1:16">
      <c r="A57" s="193"/>
      <c r="B57" s="194"/>
      <c r="C57" s="191">
        <v>47.311999999999998</v>
      </c>
      <c r="D57" s="192">
        <v>-5.4</v>
      </c>
      <c r="E57" s="191">
        <v>167.72</v>
      </c>
      <c r="F57" s="192">
        <v>11.8</v>
      </c>
      <c r="G57" s="191">
        <v>1131.5329999999999</v>
      </c>
      <c r="H57" s="192">
        <v>0.6</v>
      </c>
      <c r="I57" s="191">
        <v>7645.2030000000004</v>
      </c>
      <c r="J57" s="192">
        <v>1.9</v>
      </c>
      <c r="K57" s="191">
        <v>18380.16</v>
      </c>
      <c r="L57" s="192">
        <v>-2</v>
      </c>
      <c r="M57" s="188"/>
      <c r="N57" s="188"/>
      <c r="O57" s="188"/>
      <c r="P57" s="188"/>
    </row>
    <row r="58" spans="1:16">
      <c r="A58" s="193"/>
      <c r="B58" s="194"/>
      <c r="C58" s="191" t="s">
        <v>422</v>
      </c>
      <c r="D58" s="192">
        <v>31.8</v>
      </c>
      <c r="E58" s="191">
        <v>163.30000000000001</v>
      </c>
      <c r="F58" s="192">
        <v>8.9</v>
      </c>
      <c r="G58" s="191">
        <v>1087.4079999999999</v>
      </c>
      <c r="H58" s="192">
        <v>-3.3</v>
      </c>
      <c r="I58" s="191">
        <v>7355.42</v>
      </c>
      <c r="J58" s="192">
        <v>-1.9</v>
      </c>
      <c r="K58" s="191">
        <v>18741.863000000001</v>
      </c>
      <c r="L58" s="192">
        <v>0</v>
      </c>
      <c r="M58" s="188"/>
      <c r="N58" s="188"/>
      <c r="O58" s="188"/>
      <c r="P58" s="188"/>
    </row>
    <row r="59" spans="1:16">
      <c r="A59" s="195"/>
      <c r="B59" s="196"/>
      <c r="C59" s="191">
        <v>53.814</v>
      </c>
      <c r="D59" s="192">
        <v>7.6</v>
      </c>
      <c r="E59" s="191" t="s">
        <v>451</v>
      </c>
      <c r="F59" s="192">
        <v>18.100000000000001</v>
      </c>
      <c r="G59" s="191">
        <v>1143.471</v>
      </c>
      <c r="H59" s="192">
        <v>1.6</v>
      </c>
      <c r="I59" s="191">
        <v>7248.9939999999997</v>
      </c>
      <c r="J59" s="192">
        <v>-3.3</v>
      </c>
      <c r="K59" s="191">
        <v>19496.201000000001</v>
      </c>
      <c r="L59" s="192">
        <v>4</v>
      </c>
      <c r="M59" s="188"/>
      <c r="N59" s="188"/>
      <c r="O59" s="188"/>
      <c r="P59" s="188"/>
    </row>
    <row r="60" spans="1:16" ht="13.5" customHeight="1">
      <c r="A60" s="64" t="s">
        <v>424</v>
      </c>
      <c r="B60" s="197"/>
      <c r="C60" s="191">
        <v>54.421999999999997</v>
      </c>
      <c r="D60" s="197"/>
      <c r="E60" s="191">
        <v>167.89099999999999</v>
      </c>
      <c r="F60" s="197"/>
      <c r="G60" s="191">
        <v>1140.3140000000001</v>
      </c>
      <c r="H60" s="197"/>
      <c r="I60" s="191">
        <v>7693.3329999999996</v>
      </c>
      <c r="J60" s="197"/>
      <c r="K60" s="191">
        <v>19356.073</v>
      </c>
      <c r="L60" s="197"/>
      <c r="M60" s="188"/>
      <c r="N60" s="188"/>
      <c r="O60" s="188"/>
      <c r="P60" s="188"/>
    </row>
    <row r="61" spans="1:16" ht="13.5" customHeight="1">
      <c r="A61" s="64" t="s">
        <v>425</v>
      </c>
      <c r="B61" s="198"/>
      <c r="C61" s="191">
        <v>6.9109999999999996</v>
      </c>
      <c r="D61" s="198"/>
      <c r="E61" s="191">
        <v>12.446999999999999</v>
      </c>
      <c r="F61" s="198"/>
      <c r="G61" s="191">
        <v>54.652999999999999</v>
      </c>
      <c r="H61" s="198"/>
      <c r="I61" s="191">
        <v>346.93</v>
      </c>
      <c r="J61" s="198"/>
      <c r="K61" s="191">
        <v>664.13</v>
      </c>
      <c r="L61" s="198"/>
      <c r="M61" s="188"/>
      <c r="N61" s="188"/>
      <c r="O61" s="188"/>
      <c r="P61" s="188"/>
    </row>
    <row r="62" spans="1:16" ht="13.5" customHeight="1">
      <c r="A62" s="64" t="s">
        <v>426</v>
      </c>
      <c r="B62" s="198"/>
      <c r="C62" s="192">
        <v>12.7</v>
      </c>
      <c r="D62" s="198"/>
      <c r="E62" s="192">
        <v>7.4</v>
      </c>
      <c r="F62" s="198"/>
      <c r="G62" s="192">
        <v>4.8</v>
      </c>
      <c r="H62" s="198"/>
      <c r="I62" s="192">
        <v>4.5</v>
      </c>
      <c r="J62" s="198"/>
      <c r="K62" s="192">
        <v>3.4</v>
      </c>
      <c r="L62" s="198"/>
      <c r="M62" s="188"/>
      <c r="N62" s="188"/>
      <c r="O62" s="188"/>
      <c r="P62" s="188"/>
    </row>
    <row r="63" spans="1:16" ht="13.5" customHeight="1">
      <c r="A63" s="64" t="s">
        <v>427</v>
      </c>
      <c r="B63" s="198"/>
      <c r="C63" s="192">
        <v>8.8000000000000007</v>
      </c>
      <c r="D63" s="198"/>
      <c r="E63" s="192">
        <v>11.9</v>
      </c>
      <c r="F63" s="198"/>
      <c r="G63" s="192">
        <v>1.4</v>
      </c>
      <c r="H63" s="198"/>
      <c r="I63" s="192">
        <v>2.6</v>
      </c>
      <c r="J63" s="198"/>
      <c r="K63" s="192">
        <v>3.2</v>
      </c>
      <c r="L63" s="198"/>
      <c r="M63" s="188"/>
      <c r="N63" s="188"/>
      <c r="O63" s="188"/>
      <c r="P63" s="188"/>
    </row>
    <row r="64" spans="1:16" ht="13.5" customHeight="1">
      <c r="A64" s="64" t="s">
        <v>5</v>
      </c>
      <c r="B64" s="199"/>
      <c r="C64" s="47">
        <v>6</v>
      </c>
      <c r="D64" s="199"/>
      <c r="E64" s="47">
        <v>6</v>
      </c>
      <c r="F64" s="199"/>
      <c r="G64" s="47">
        <v>6</v>
      </c>
      <c r="H64" s="199"/>
      <c r="I64" s="47">
        <v>6</v>
      </c>
      <c r="J64" s="199"/>
      <c r="K64" s="47">
        <v>6</v>
      </c>
      <c r="L64" s="199"/>
      <c r="M64" s="188"/>
      <c r="N64" s="188"/>
      <c r="O64" s="188"/>
      <c r="P64" s="188"/>
    </row>
    <row r="65" spans="1:16">
      <c r="A65" s="189">
        <v>45370</v>
      </c>
      <c r="B65" s="134">
        <v>4</v>
      </c>
      <c r="C65" s="191" t="s">
        <v>428</v>
      </c>
      <c r="D65" s="192">
        <v>24.4</v>
      </c>
      <c r="E65" s="191">
        <v>153.58600000000001</v>
      </c>
      <c r="F65" s="192">
        <v>2.4</v>
      </c>
      <c r="G65" s="191">
        <v>1067.8409999999999</v>
      </c>
      <c r="H65" s="192">
        <v>-5.0999999999999996</v>
      </c>
      <c r="I65" s="191">
        <v>7612.83</v>
      </c>
      <c r="J65" s="192">
        <v>1.5</v>
      </c>
      <c r="K65" s="191">
        <v>17180.362000000001</v>
      </c>
      <c r="L65" s="192">
        <v>-8.4</v>
      </c>
      <c r="M65" s="188"/>
      <c r="N65" s="61" t="s">
        <v>429</v>
      </c>
    </row>
    <row r="66" spans="1:16">
      <c r="A66" s="193"/>
      <c r="B66" s="135"/>
      <c r="C66" s="191">
        <v>49.359000000000002</v>
      </c>
      <c r="D66" s="192">
        <v>-1.3</v>
      </c>
      <c r="E66" s="191">
        <v>148.315</v>
      </c>
      <c r="F66" s="192">
        <v>-1.1000000000000001</v>
      </c>
      <c r="G66" s="191">
        <v>1159.104</v>
      </c>
      <c r="H66" s="192">
        <v>3</v>
      </c>
      <c r="I66" s="191">
        <v>7560.1869999999999</v>
      </c>
      <c r="J66" s="192">
        <v>0.8</v>
      </c>
      <c r="K66" s="191">
        <v>19448.234</v>
      </c>
      <c r="L66" s="192">
        <v>3.7</v>
      </c>
      <c r="M66" s="188"/>
      <c r="N66" s="61" t="s">
        <v>430</v>
      </c>
      <c r="O66" s="61" t="s">
        <v>431</v>
      </c>
      <c r="P66" s="61" t="s">
        <v>432</v>
      </c>
    </row>
    <row r="67" spans="1:16">
      <c r="A67" s="193"/>
      <c r="B67" s="135"/>
      <c r="C67" s="191">
        <v>46.212000000000003</v>
      </c>
      <c r="D67" s="192">
        <v>-7.6</v>
      </c>
      <c r="E67" s="191">
        <v>158.01900000000001</v>
      </c>
      <c r="F67" s="192">
        <v>5.3</v>
      </c>
      <c r="G67" s="191">
        <v>1105.0409999999999</v>
      </c>
      <c r="H67" s="192">
        <v>-1.8</v>
      </c>
      <c r="I67" s="191">
        <v>7525.2039999999997</v>
      </c>
      <c r="J67" s="192">
        <v>0.3</v>
      </c>
      <c r="K67" s="191">
        <v>20354.759999999998</v>
      </c>
      <c r="L67" s="192">
        <v>8.6</v>
      </c>
      <c r="M67" s="188"/>
      <c r="N67" s="61" t="s">
        <v>433</v>
      </c>
      <c r="O67" s="200">
        <f>MAX(E63,G63,I63,K63,E74,G74,I74,K74,E85,G85,I85,K85)</f>
        <v>24.8</v>
      </c>
      <c r="P67" s="200">
        <f>MIN(E63,G63,I63,K63,E74,G74,I74,K74,E85,G85,I85,K85)</f>
        <v>0.4</v>
      </c>
    </row>
    <row r="68" spans="1:16">
      <c r="A68" s="193"/>
      <c r="B68" s="135"/>
      <c r="C68" s="191">
        <v>44.393999999999998</v>
      </c>
      <c r="D68" s="192">
        <v>-11.2</v>
      </c>
      <c r="E68" s="191">
        <v>152.66999999999999</v>
      </c>
      <c r="F68" s="192">
        <v>1.8</v>
      </c>
      <c r="G68" s="191">
        <v>1149.799</v>
      </c>
      <c r="H68" s="192">
        <v>2.2000000000000002</v>
      </c>
      <c r="I68" s="191">
        <v>8262.9410000000007</v>
      </c>
      <c r="J68" s="192">
        <v>10.199999999999999</v>
      </c>
      <c r="K68" s="191">
        <v>19888.668000000001</v>
      </c>
      <c r="L68" s="192">
        <v>6.1</v>
      </c>
      <c r="M68" s="188"/>
      <c r="N68" s="61" t="s">
        <v>434</v>
      </c>
      <c r="O68" s="200">
        <f>MAX(E62,G62,I62,K62,E73,G73,I73,K73,E84,G84,I84,K84)</f>
        <v>44.9</v>
      </c>
      <c r="P68" s="200">
        <f>MIN(E62,G62,I62,K62,E73,G73,I73,K73,E84,G84,I84,K84)</f>
        <v>3.4</v>
      </c>
    </row>
    <row r="69" spans="1:16">
      <c r="A69" s="193"/>
      <c r="B69" s="135"/>
      <c r="C69" s="191" t="s">
        <v>435</v>
      </c>
      <c r="D69" s="192">
        <v>24.6</v>
      </c>
      <c r="E69" s="191">
        <v>140.97800000000001</v>
      </c>
      <c r="F69" s="192">
        <v>-6</v>
      </c>
      <c r="G69" s="191">
        <v>1248.201</v>
      </c>
      <c r="H69" s="192">
        <v>11</v>
      </c>
      <c r="I69" s="191">
        <v>7744.9089999999997</v>
      </c>
      <c r="J69" s="192">
        <v>3.3</v>
      </c>
      <c r="K69" s="191">
        <v>19108.311000000002</v>
      </c>
      <c r="L69" s="192">
        <v>1.9</v>
      </c>
      <c r="M69" s="188"/>
    </row>
    <row r="70" spans="1:16">
      <c r="A70" s="195"/>
      <c r="B70" s="136"/>
      <c r="C70" s="191" t="s">
        <v>436</v>
      </c>
      <c r="D70" s="192">
        <v>26.5</v>
      </c>
      <c r="E70" s="191">
        <v>149.65100000000001</v>
      </c>
      <c r="F70" s="192">
        <v>-0.2</v>
      </c>
      <c r="G70" s="191">
        <v>1152.96</v>
      </c>
      <c r="H70" s="192">
        <v>2.5</v>
      </c>
      <c r="I70" s="191">
        <v>7510.9260000000004</v>
      </c>
      <c r="J70" s="192">
        <v>0.1</v>
      </c>
      <c r="K70" s="191">
        <v>18781.878000000001</v>
      </c>
      <c r="L70" s="192">
        <v>0.2</v>
      </c>
      <c r="M70" s="188"/>
      <c r="N70" s="61" t="s">
        <v>437</v>
      </c>
      <c r="O70" s="61" t="s">
        <v>431</v>
      </c>
      <c r="P70" s="61" t="s">
        <v>432</v>
      </c>
    </row>
    <row r="71" spans="1:16" ht="13.5" customHeight="1">
      <c r="A71" s="64" t="s">
        <v>424</v>
      </c>
      <c r="B71" s="197"/>
      <c r="C71" s="191">
        <v>54.616999999999997</v>
      </c>
      <c r="D71" s="197"/>
      <c r="E71" s="191">
        <v>150.53700000000001</v>
      </c>
      <c r="F71" s="197"/>
      <c r="G71" s="191">
        <v>1147.1579999999999</v>
      </c>
      <c r="H71" s="201"/>
      <c r="I71" s="191">
        <v>7702.8329999999996</v>
      </c>
      <c r="J71" s="197"/>
      <c r="K71" s="191">
        <v>19127.036</v>
      </c>
      <c r="L71" s="197"/>
      <c r="M71" s="188"/>
      <c r="N71" s="61" t="s">
        <v>433</v>
      </c>
      <c r="O71" s="200">
        <f>MAX(E90,G90,I90,K90)</f>
        <v>12.4</v>
      </c>
      <c r="P71" s="200">
        <f>MIN(E90,G90,I90,K90)</f>
        <v>2.5</v>
      </c>
    </row>
    <row r="72" spans="1:16" ht="13.5" customHeight="1">
      <c r="A72" s="64" t="s">
        <v>425</v>
      </c>
      <c r="B72" s="198"/>
      <c r="C72" s="191">
        <v>8.8729999999999993</v>
      </c>
      <c r="D72" s="198"/>
      <c r="E72" s="191">
        <v>5.7779999999999996</v>
      </c>
      <c r="F72" s="198"/>
      <c r="G72" s="191">
        <v>60.759</v>
      </c>
      <c r="H72" s="202"/>
      <c r="I72" s="191">
        <v>287.166</v>
      </c>
      <c r="J72" s="198"/>
      <c r="K72" s="191">
        <v>1104.498</v>
      </c>
      <c r="L72" s="198"/>
      <c r="M72" s="188"/>
      <c r="N72" s="61" t="s">
        <v>434</v>
      </c>
      <c r="O72" s="200">
        <f>MAX(E89,G89,I89,K89)</f>
        <v>28.9</v>
      </c>
      <c r="P72" s="200">
        <f>MIN(E89,G89,I89,K89)</f>
        <v>4.7</v>
      </c>
    </row>
    <row r="73" spans="1:16" ht="13.5" customHeight="1">
      <c r="A73" s="64" t="s">
        <v>438</v>
      </c>
      <c r="B73" s="198"/>
      <c r="C73" s="192">
        <v>16.2</v>
      </c>
      <c r="D73" s="198"/>
      <c r="E73" s="192">
        <v>3.8</v>
      </c>
      <c r="F73" s="198"/>
      <c r="G73" s="192">
        <v>5.3</v>
      </c>
      <c r="H73" s="202"/>
      <c r="I73" s="192">
        <v>3.7</v>
      </c>
      <c r="J73" s="198"/>
      <c r="K73" s="192">
        <v>5.8</v>
      </c>
      <c r="L73" s="198"/>
      <c r="M73" s="188"/>
    </row>
    <row r="74" spans="1:16" ht="13.5" customHeight="1">
      <c r="A74" s="64" t="s">
        <v>439</v>
      </c>
      <c r="B74" s="198"/>
      <c r="C74" s="192">
        <v>9.1999999999999993</v>
      </c>
      <c r="D74" s="198"/>
      <c r="E74" s="192">
        <v>0.4</v>
      </c>
      <c r="F74" s="198"/>
      <c r="G74" s="192">
        <v>2</v>
      </c>
      <c r="H74" s="202"/>
      <c r="I74" s="192">
        <v>2.7</v>
      </c>
      <c r="J74" s="198"/>
      <c r="K74" s="192">
        <v>2</v>
      </c>
      <c r="L74" s="198"/>
      <c r="M74" s="188"/>
      <c r="N74" s="61" t="s">
        <v>440</v>
      </c>
    </row>
    <row r="75" spans="1:16" ht="13.5" customHeight="1">
      <c r="A75" s="64" t="s">
        <v>5</v>
      </c>
      <c r="B75" s="199"/>
      <c r="C75" s="47">
        <v>6</v>
      </c>
      <c r="D75" s="199"/>
      <c r="E75" s="47">
        <v>6</v>
      </c>
      <c r="F75" s="199"/>
      <c r="G75" s="47">
        <v>6</v>
      </c>
      <c r="H75" s="203"/>
      <c r="I75" s="47">
        <v>6</v>
      </c>
      <c r="J75" s="199"/>
      <c r="K75" s="47">
        <v>6</v>
      </c>
      <c r="L75" s="199"/>
      <c r="M75" s="188"/>
      <c r="N75" s="61" t="s">
        <v>430</v>
      </c>
      <c r="O75" s="61" t="s">
        <v>431</v>
      </c>
      <c r="P75" s="61" t="s">
        <v>432</v>
      </c>
    </row>
    <row r="76" spans="1:16">
      <c r="A76" s="204">
        <v>45372</v>
      </c>
      <c r="B76" s="134">
        <v>6</v>
      </c>
      <c r="C76" s="191">
        <v>55.212000000000003</v>
      </c>
      <c r="D76" s="192">
        <v>10.4</v>
      </c>
      <c r="E76" s="191" t="s">
        <v>452</v>
      </c>
      <c r="F76" s="192">
        <v>138.69999999999999</v>
      </c>
      <c r="G76" s="191">
        <v>1175.9929999999999</v>
      </c>
      <c r="H76" s="192">
        <v>4.5</v>
      </c>
      <c r="I76" s="191">
        <v>8071.55</v>
      </c>
      <c r="J76" s="192">
        <v>7.6</v>
      </c>
      <c r="K76" s="191">
        <v>19261.738000000001</v>
      </c>
      <c r="L76" s="192">
        <v>2.7</v>
      </c>
      <c r="M76" s="188"/>
      <c r="N76" s="61" t="s">
        <v>433</v>
      </c>
      <c r="O76" s="200">
        <f>MAX(C63,C74,C85)</f>
        <v>9.1999999999999993</v>
      </c>
      <c r="P76" s="200">
        <f>MIN(C63,C74,C85)</f>
        <v>5.7</v>
      </c>
    </row>
    <row r="77" spans="1:16">
      <c r="A77" s="204"/>
      <c r="B77" s="135"/>
      <c r="C77" s="191" t="s">
        <v>442</v>
      </c>
      <c r="D77" s="192">
        <v>28.3</v>
      </c>
      <c r="E77" s="191">
        <v>156.88800000000001</v>
      </c>
      <c r="F77" s="192">
        <v>4.5999999999999996</v>
      </c>
      <c r="G77" s="191">
        <v>1258.8050000000001</v>
      </c>
      <c r="H77" s="192">
        <v>11.9</v>
      </c>
      <c r="I77" s="191" t="s">
        <v>453</v>
      </c>
      <c r="J77" s="192">
        <v>15.1</v>
      </c>
      <c r="K77" s="191">
        <v>20366.620999999999</v>
      </c>
      <c r="L77" s="192">
        <v>8.6</v>
      </c>
      <c r="M77" s="188"/>
      <c r="N77" s="61" t="s">
        <v>434</v>
      </c>
      <c r="O77" s="200">
        <f>MAX(C62,C73,C84)</f>
        <v>16.2</v>
      </c>
      <c r="P77" s="200">
        <f>MIN(C62,C73,C84)</f>
        <v>12.7</v>
      </c>
    </row>
    <row r="78" spans="1:16">
      <c r="A78" s="204"/>
      <c r="B78" s="135"/>
      <c r="C78" s="191">
        <v>48.125999999999998</v>
      </c>
      <c r="D78" s="192">
        <v>-3.7</v>
      </c>
      <c r="E78" s="191">
        <v>166.20599999999999</v>
      </c>
      <c r="F78" s="192">
        <v>10.8</v>
      </c>
      <c r="G78" s="191">
        <v>1205.231</v>
      </c>
      <c r="H78" s="192">
        <v>7.1</v>
      </c>
      <c r="I78" s="191">
        <v>8304.0290000000005</v>
      </c>
      <c r="J78" s="192">
        <v>10.7</v>
      </c>
      <c r="K78" s="191">
        <v>20414.686000000002</v>
      </c>
      <c r="L78" s="192">
        <v>8.9</v>
      </c>
      <c r="M78" s="188"/>
    </row>
    <row r="79" spans="1:16">
      <c r="A79" s="204"/>
      <c r="B79" s="135"/>
      <c r="C79" s="191">
        <v>50.009</v>
      </c>
      <c r="D79" s="192">
        <v>0</v>
      </c>
      <c r="E79" s="191">
        <v>150.54300000000001</v>
      </c>
      <c r="F79" s="192">
        <v>0.4</v>
      </c>
      <c r="G79" s="191">
        <v>1086.9159999999999</v>
      </c>
      <c r="H79" s="192">
        <v>-3.4</v>
      </c>
      <c r="I79" s="191">
        <v>7076.9849999999997</v>
      </c>
      <c r="J79" s="192">
        <v>-5.6</v>
      </c>
      <c r="K79" s="191">
        <v>17991.763999999999</v>
      </c>
      <c r="L79" s="192">
        <v>-4</v>
      </c>
      <c r="M79" s="188"/>
      <c r="N79" s="61" t="s">
        <v>437</v>
      </c>
      <c r="O79" s="61" t="s">
        <v>431</v>
      </c>
      <c r="P79" s="61" t="s">
        <v>432</v>
      </c>
    </row>
    <row r="80" spans="1:16">
      <c r="A80" s="204"/>
      <c r="B80" s="135"/>
      <c r="C80" s="191">
        <v>57.097999999999999</v>
      </c>
      <c r="D80" s="192">
        <v>14.2</v>
      </c>
      <c r="E80" s="191">
        <v>142</v>
      </c>
      <c r="F80" s="192">
        <v>-5.3</v>
      </c>
      <c r="G80" s="191">
        <v>1138.3610000000001</v>
      </c>
      <c r="H80" s="192">
        <v>1.2</v>
      </c>
      <c r="I80" s="191">
        <v>7357.5730000000003</v>
      </c>
      <c r="J80" s="192">
        <v>-1.9</v>
      </c>
      <c r="K80" s="191">
        <v>18500.001</v>
      </c>
      <c r="L80" s="192">
        <v>-1.3</v>
      </c>
      <c r="M80" s="188"/>
      <c r="N80" s="61" t="s">
        <v>433</v>
      </c>
      <c r="O80" s="200">
        <f>MAX(C90)</f>
        <v>7.9</v>
      </c>
      <c r="P80" s="200">
        <f>MIN(C90)</f>
        <v>7.9</v>
      </c>
    </row>
    <row r="81" spans="1:16">
      <c r="A81" s="204"/>
      <c r="B81" s="136"/>
      <c r="C81" s="191">
        <v>42.494</v>
      </c>
      <c r="D81" s="192">
        <v>-15</v>
      </c>
      <c r="E81" s="191">
        <v>149.464</v>
      </c>
      <c r="F81" s="192">
        <v>-0.4</v>
      </c>
      <c r="G81" s="191">
        <v>1163.1880000000001</v>
      </c>
      <c r="H81" s="192">
        <v>3.4</v>
      </c>
      <c r="I81" s="191">
        <v>8030.5219999999999</v>
      </c>
      <c r="J81" s="192">
        <v>7.1</v>
      </c>
      <c r="K81" s="191">
        <v>18418.482</v>
      </c>
      <c r="L81" s="192">
        <v>-1.8</v>
      </c>
      <c r="M81" s="188"/>
      <c r="N81" s="61" t="s">
        <v>434</v>
      </c>
      <c r="O81" s="200">
        <f>MAX(C89)</f>
        <v>13.7</v>
      </c>
      <c r="P81" s="200">
        <f>MIN(C89)</f>
        <v>13.7</v>
      </c>
    </row>
    <row r="82" spans="1:16" ht="14.15" customHeight="1">
      <c r="A82" s="64" t="s">
        <v>424</v>
      </c>
      <c r="B82" s="197"/>
      <c r="C82" s="191">
        <v>52.851999999999997</v>
      </c>
      <c r="D82" s="197"/>
      <c r="E82" s="191">
        <v>187.20099999999999</v>
      </c>
      <c r="F82" s="197"/>
      <c r="G82" s="191">
        <v>1171.4159999999999</v>
      </c>
      <c r="H82" s="197"/>
      <c r="I82" s="191">
        <v>7912.4539999999997</v>
      </c>
      <c r="J82" s="197"/>
      <c r="K82" s="191">
        <v>19158.882000000001</v>
      </c>
      <c r="L82" s="197"/>
      <c r="M82" s="188"/>
      <c r="N82" s="188"/>
      <c r="O82" s="188"/>
      <c r="P82" s="188"/>
    </row>
    <row r="83" spans="1:16" ht="14.15" customHeight="1">
      <c r="A83" s="64" t="s">
        <v>425</v>
      </c>
      <c r="B83" s="198"/>
      <c r="C83" s="191">
        <v>7.609</v>
      </c>
      <c r="D83" s="198"/>
      <c r="E83" s="191">
        <v>84.117999999999995</v>
      </c>
      <c r="F83" s="198"/>
      <c r="G83" s="191">
        <v>58.484000000000002</v>
      </c>
      <c r="H83" s="198"/>
      <c r="I83" s="191">
        <v>586.37900000000002</v>
      </c>
      <c r="J83" s="198"/>
      <c r="K83" s="191">
        <v>1038.3389999999999</v>
      </c>
      <c r="L83" s="198"/>
      <c r="M83" s="188"/>
      <c r="N83" s="188"/>
      <c r="O83" s="188"/>
      <c r="P83" s="188"/>
    </row>
    <row r="84" spans="1:16" ht="14.15" customHeight="1">
      <c r="A84" s="64" t="s">
        <v>438</v>
      </c>
      <c r="B84" s="198"/>
      <c r="C84" s="192">
        <v>14.4</v>
      </c>
      <c r="D84" s="198"/>
      <c r="E84" s="192">
        <v>44.9</v>
      </c>
      <c r="F84" s="198"/>
      <c r="G84" s="192">
        <v>5</v>
      </c>
      <c r="H84" s="198"/>
      <c r="I84" s="192">
        <v>7.4</v>
      </c>
      <c r="J84" s="198"/>
      <c r="K84" s="192">
        <v>5.4</v>
      </c>
      <c r="L84" s="198"/>
      <c r="M84" s="188"/>
      <c r="N84" s="188"/>
      <c r="O84" s="188"/>
      <c r="P84" s="188"/>
    </row>
    <row r="85" spans="1:16" ht="14.15" customHeight="1">
      <c r="A85" s="64" t="s">
        <v>439</v>
      </c>
      <c r="B85" s="198"/>
      <c r="C85" s="192">
        <v>5.7</v>
      </c>
      <c r="D85" s="198"/>
      <c r="E85" s="192">
        <v>24.8</v>
      </c>
      <c r="F85" s="198"/>
      <c r="G85" s="192">
        <v>4.0999999999999996</v>
      </c>
      <c r="H85" s="198"/>
      <c r="I85" s="192">
        <v>5.5</v>
      </c>
      <c r="J85" s="198"/>
      <c r="K85" s="192">
        <v>2.2000000000000002</v>
      </c>
      <c r="L85" s="198"/>
      <c r="M85" s="188"/>
      <c r="N85" s="188"/>
      <c r="O85" s="188"/>
      <c r="P85" s="188"/>
    </row>
    <row r="86" spans="1:16" ht="14.15" customHeight="1">
      <c r="A86" s="64" t="s">
        <v>5</v>
      </c>
      <c r="B86" s="199"/>
      <c r="C86" s="47">
        <v>6</v>
      </c>
      <c r="D86" s="199"/>
      <c r="E86" s="47">
        <v>6</v>
      </c>
      <c r="F86" s="199"/>
      <c r="G86" s="47">
        <v>6</v>
      </c>
      <c r="H86" s="199"/>
      <c r="I86" s="47">
        <v>6</v>
      </c>
      <c r="J86" s="199"/>
      <c r="K86" s="47">
        <v>6</v>
      </c>
      <c r="L86" s="199"/>
      <c r="M86" s="188"/>
      <c r="N86" s="188"/>
      <c r="O86" s="188"/>
      <c r="P86" s="188"/>
    </row>
    <row r="87" spans="1:16" ht="15" customHeight="1">
      <c r="A87" s="64" t="s">
        <v>444</v>
      </c>
      <c r="B87" s="197"/>
      <c r="C87" s="191">
        <v>53.963999999999999</v>
      </c>
      <c r="D87" s="197"/>
      <c r="E87" s="191">
        <v>168.54300000000001</v>
      </c>
      <c r="F87" s="197"/>
      <c r="G87" s="191">
        <v>1152.963</v>
      </c>
      <c r="H87" s="197"/>
      <c r="I87" s="191">
        <v>7769.54</v>
      </c>
      <c r="J87" s="197"/>
      <c r="K87" s="191">
        <v>19213.996999999999</v>
      </c>
      <c r="L87" s="197"/>
      <c r="M87" s="188"/>
      <c r="N87" s="188"/>
      <c r="O87" s="188"/>
      <c r="P87" s="188"/>
    </row>
    <row r="88" spans="1:16" ht="15" customHeight="1">
      <c r="A88" s="64" t="s">
        <v>445</v>
      </c>
      <c r="B88" s="198"/>
      <c r="C88" s="191">
        <v>7.4089999999999998</v>
      </c>
      <c r="D88" s="198"/>
      <c r="E88" s="191">
        <v>48.722999999999999</v>
      </c>
      <c r="F88" s="198"/>
      <c r="G88" s="191">
        <v>56.203000000000003</v>
      </c>
      <c r="H88" s="198"/>
      <c r="I88" s="191">
        <v>414.262</v>
      </c>
      <c r="J88" s="198"/>
      <c r="K88" s="191">
        <v>903.6</v>
      </c>
      <c r="L88" s="198"/>
      <c r="M88" s="188"/>
      <c r="N88" s="188"/>
      <c r="O88" s="188"/>
      <c r="P88" s="188"/>
    </row>
    <row r="89" spans="1:16" ht="15" customHeight="1">
      <c r="A89" s="64" t="s">
        <v>446</v>
      </c>
      <c r="B89" s="198"/>
      <c r="C89" s="192">
        <v>13.7</v>
      </c>
      <c r="D89" s="198"/>
      <c r="E89" s="192">
        <v>28.9</v>
      </c>
      <c r="F89" s="198"/>
      <c r="G89" s="192">
        <v>4.9000000000000004</v>
      </c>
      <c r="H89" s="198"/>
      <c r="I89" s="192">
        <v>5.3</v>
      </c>
      <c r="J89" s="198"/>
      <c r="K89" s="192">
        <v>4.7</v>
      </c>
      <c r="L89" s="198"/>
      <c r="M89" s="188"/>
      <c r="N89" s="188"/>
      <c r="O89" s="188"/>
      <c r="P89" s="188"/>
    </row>
    <row r="90" spans="1:16" ht="15" customHeight="1">
      <c r="A90" s="64" t="s">
        <v>447</v>
      </c>
      <c r="B90" s="198"/>
      <c r="C90" s="192">
        <v>7.9</v>
      </c>
      <c r="D90" s="198"/>
      <c r="E90" s="192">
        <v>12.4</v>
      </c>
      <c r="F90" s="198"/>
      <c r="G90" s="192">
        <v>2.5</v>
      </c>
      <c r="H90" s="198"/>
      <c r="I90" s="192">
        <v>3.6</v>
      </c>
      <c r="J90" s="198"/>
      <c r="K90" s="192">
        <v>2.5</v>
      </c>
      <c r="L90" s="198"/>
      <c r="M90" s="188"/>
      <c r="N90" s="188"/>
      <c r="O90" s="188"/>
      <c r="P90" s="188"/>
    </row>
    <row r="91" spans="1:16" ht="15" customHeight="1">
      <c r="A91" s="64" t="s">
        <v>5</v>
      </c>
      <c r="B91" s="199"/>
      <c r="C91" s="47">
        <v>18</v>
      </c>
      <c r="D91" s="199"/>
      <c r="E91" s="47">
        <v>18</v>
      </c>
      <c r="F91" s="199"/>
      <c r="G91" s="47">
        <v>18</v>
      </c>
      <c r="H91" s="199"/>
      <c r="I91" s="47">
        <v>18</v>
      </c>
      <c r="J91" s="199"/>
      <c r="K91" s="47">
        <v>18</v>
      </c>
      <c r="L91" s="199"/>
      <c r="M91" s="188"/>
      <c r="N91" s="188"/>
      <c r="O91" s="188"/>
      <c r="P91" s="188"/>
    </row>
    <row r="92" spans="1:16" ht="13.5" customHeight="1">
      <c r="A92" s="137" t="s">
        <v>267</v>
      </c>
      <c r="B92" s="138"/>
      <c r="C92" s="138"/>
      <c r="D92" s="138"/>
      <c r="E92" s="138"/>
      <c r="F92" s="138"/>
      <c r="G92" s="138"/>
      <c r="H92" s="188"/>
      <c r="I92" s="188"/>
      <c r="J92" s="188"/>
      <c r="K92" s="188"/>
      <c r="L92" s="188"/>
      <c r="M92" s="188"/>
      <c r="N92" s="188"/>
      <c r="O92" s="188"/>
      <c r="P92" s="188"/>
    </row>
    <row r="94" spans="1:16">
      <c r="A94" s="208" t="s">
        <v>96</v>
      </c>
    </row>
    <row r="96" spans="1:16">
      <c r="A96" s="134" t="s">
        <v>25</v>
      </c>
      <c r="B96" s="134" t="s">
        <v>23</v>
      </c>
      <c r="C96" s="97" t="s">
        <v>0</v>
      </c>
      <c r="D96" s="134" t="s">
        <v>53</v>
      </c>
      <c r="E96" s="64" t="s">
        <v>2</v>
      </c>
      <c r="F96" s="134" t="s">
        <v>53</v>
      </c>
      <c r="G96" s="64" t="s">
        <v>76</v>
      </c>
      <c r="H96" s="134" t="s">
        <v>53</v>
      </c>
      <c r="I96" s="64" t="s">
        <v>77</v>
      </c>
      <c r="J96" s="134" t="s">
        <v>53</v>
      </c>
      <c r="K96" s="64" t="s">
        <v>1</v>
      </c>
      <c r="L96" s="134" t="s">
        <v>53</v>
      </c>
    </row>
    <row r="97" spans="1:12">
      <c r="A97" s="135"/>
      <c r="B97" s="135"/>
      <c r="C97" s="65">
        <v>50</v>
      </c>
      <c r="D97" s="135"/>
      <c r="E97" s="65">
        <v>150</v>
      </c>
      <c r="F97" s="135"/>
      <c r="G97" s="65">
        <v>1125</v>
      </c>
      <c r="H97" s="135"/>
      <c r="I97" s="65">
        <v>7500</v>
      </c>
      <c r="J97" s="135"/>
      <c r="K97" s="65">
        <v>18750</v>
      </c>
      <c r="L97" s="135"/>
    </row>
    <row r="98" spans="1:12">
      <c r="A98" s="136"/>
      <c r="B98" s="136"/>
      <c r="C98" s="66" t="s">
        <v>118</v>
      </c>
      <c r="D98" s="136"/>
      <c r="E98" s="66" t="s">
        <v>118</v>
      </c>
      <c r="F98" s="136"/>
      <c r="G98" s="66" t="s">
        <v>118</v>
      </c>
      <c r="H98" s="136"/>
      <c r="I98" s="66" t="s">
        <v>118</v>
      </c>
      <c r="J98" s="136"/>
      <c r="K98" s="66" t="s">
        <v>118</v>
      </c>
      <c r="L98" s="136"/>
    </row>
    <row r="99" spans="1:12">
      <c r="A99" s="204">
        <v>45368</v>
      </c>
      <c r="B99" s="134">
        <v>2</v>
      </c>
      <c r="C99" s="191" t="s">
        <v>454</v>
      </c>
      <c r="D99" s="192">
        <v>-73.400000000000006</v>
      </c>
      <c r="E99" s="191" t="s">
        <v>455</v>
      </c>
      <c r="F99" s="192">
        <v>-23.9</v>
      </c>
      <c r="G99" s="191">
        <v>1057.3140000000001</v>
      </c>
      <c r="H99" s="192">
        <v>-6</v>
      </c>
      <c r="I99" s="191">
        <v>8255.7479999999996</v>
      </c>
      <c r="J99" s="192">
        <v>10.1</v>
      </c>
      <c r="K99" s="191">
        <v>18098.030999999999</v>
      </c>
      <c r="L99" s="192">
        <v>-3.5</v>
      </c>
    </row>
    <row r="100" spans="1:12">
      <c r="A100" s="204"/>
      <c r="B100" s="135"/>
      <c r="C100" s="191" t="s">
        <v>456</v>
      </c>
      <c r="D100" s="192">
        <v>-20.3</v>
      </c>
      <c r="E100" s="191" t="s">
        <v>457</v>
      </c>
      <c r="F100" s="192">
        <v>-20.7</v>
      </c>
      <c r="G100" s="191">
        <v>1101.6600000000001</v>
      </c>
      <c r="H100" s="192">
        <v>-2.1</v>
      </c>
      <c r="I100" s="191">
        <v>7919.5709999999999</v>
      </c>
      <c r="J100" s="192">
        <v>5.6</v>
      </c>
      <c r="K100" s="191">
        <v>19265.208999999999</v>
      </c>
      <c r="L100" s="192">
        <v>2.7</v>
      </c>
    </row>
    <row r="101" spans="1:12">
      <c r="A101" s="204"/>
      <c r="B101" s="135"/>
      <c r="C101" s="191" t="s">
        <v>458</v>
      </c>
      <c r="D101" s="192">
        <v>-48</v>
      </c>
      <c r="E101" s="191">
        <v>128.46100000000001</v>
      </c>
      <c r="F101" s="192">
        <v>-14.4</v>
      </c>
      <c r="G101" s="191">
        <v>1126.3499999999999</v>
      </c>
      <c r="H101" s="192">
        <v>0.1</v>
      </c>
      <c r="I101" s="191" t="s">
        <v>459</v>
      </c>
      <c r="J101" s="192">
        <v>17.7</v>
      </c>
      <c r="K101" s="191">
        <v>18684.636999999999</v>
      </c>
      <c r="L101" s="192">
        <v>-0.3</v>
      </c>
    </row>
    <row r="102" spans="1:12">
      <c r="A102" s="204"/>
      <c r="B102" s="135"/>
      <c r="C102" s="191">
        <v>47.293999999999997</v>
      </c>
      <c r="D102" s="192">
        <v>-5.4</v>
      </c>
      <c r="E102" s="191">
        <v>155.43100000000001</v>
      </c>
      <c r="F102" s="192">
        <v>3.6</v>
      </c>
      <c r="G102" s="191" t="s">
        <v>460</v>
      </c>
      <c r="H102" s="192">
        <v>25.9</v>
      </c>
      <c r="I102" s="191" t="s">
        <v>461</v>
      </c>
      <c r="J102" s="192">
        <v>29.6</v>
      </c>
      <c r="K102" s="191" t="s">
        <v>462</v>
      </c>
      <c r="L102" s="192">
        <v>22.2</v>
      </c>
    </row>
    <row r="103" spans="1:12">
      <c r="A103" s="204"/>
      <c r="B103" s="135"/>
      <c r="C103" s="191" t="s">
        <v>463</v>
      </c>
      <c r="D103" s="192">
        <v>-22.2</v>
      </c>
      <c r="E103" s="191" t="s">
        <v>464</v>
      </c>
      <c r="F103" s="192">
        <v>18.600000000000001</v>
      </c>
      <c r="G103" s="191" t="s">
        <v>465</v>
      </c>
      <c r="H103" s="192">
        <v>35.4</v>
      </c>
      <c r="I103" s="191" t="s">
        <v>466</v>
      </c>
      <c r="J103" s="192">
        <v>34.1</v>
      </c>
      <c r="K103" s="191" t="s">
        <v>467</v>
      </c>
      <c r="L103" s="192">
        <v>22.4</v>
      </c>
    </row>
    <row r="104" spans="1:12">
      <c r="A104" s="204"/>
      <c r="B104" s="136"/>
      <c r="C104" s="191" t="s">
        <v>468</v>
      </c>
      <c r="D104" s="192">
        <v>87.5</v>
      </c>
      <c r="E104" s="191" t="s">
        <v>469</v>
      </c>
      <c r="F104" s="192">
        <v>20.399999999999999</v>
      </c>
      <c r="G104" s="191" t="s">
        <v>470</v>
      </c>
      <c r="H104" s="192">
        <v>24.8</v>
      </c>
      <c r="I104" s="191" t="s">
        <v>471</v>
      </c>
      <c r="J104" s="192">
        <v>20.5</v>
      </c>
      <c r="K104" s="191" t="s">
        <v>472</v>
      </c>
      <c r="L104" s="192">
        <v>20.6</v>
      </c>
    </row>
    <row r="105" spans="1:12">
      <c r="A105" s="64" t="s">
        <v>424</v>
      </c>
      <c r="B105" s="197"/>
      <c r="C105" s="191">
        <v>43.177999999999997</v>
      </c>
      <c r="D105" s="197"/>
      <c r="E105" s="191">
        <v>145.91399999999999</v>
      </c>
      <c r="F105" s="197"/>
      <c r="G105" s="191">
        <v>1271.5609999999999</v>
      </c>
      <c r="H105" s="197"/>
      <c r="I105" s="191">
        <v>8968.8790000000008</v>
      </c>
      <c r="J105" s="197"/>
      <c r="K105" s="191">
        <v>20755.27</v>
      </c>
      <c r="L105" s="197"/>
    </row>
    <row r="106" spans="1:12" ht="14">
      <c r="A106" s="64" t="s">
        <v>425</v>
      </c>
      <c r="B106" s="198"/>
      <c r="C106" s="191">
        <v>27.53</v>
      </c>
      <c r="D106" s="198"/>
      <c r="E106" s="191">
        <v>29.509</v>
      </c>
      <c r="F106" s="198"/>
      <c r="G106" s="191">
        <v>198.869</v>
      </c>
      <c r="H106" s="198"/>
      <c r="I106" s="191">
        <v>821.80399999999997</v>
      </c>
      <c r="J106" s="198"/>
      <c r="K106" s="191">
        <v>2303.1579999999999</v>
      </c>
      <c r="L106" s="198"/>
    </row>
    <row r="107" spans="1:12">
      <c r="A107" s="64" t="s">
        <v>438</v>
      </c>
      <c r="B107" s="198"/>
      <c r="C107" s="192">
        <v>63.8</v>
      </c>
      <c r="D107" s="198"/>
      <c r="E107" s="192">
        <v>20.2</v>
      </c>
      <c r="F107" s="198"/>
      <c r="G107" s="192">
        <v>15.6</v>
      </c>
      <c r="H107" s="198"/>
      <c r="I107" s="192">
        <v>9.1999999999999993</v>
      </c>
      <c r="J107" s="198"/>
      <c r="K107" s="192">
        <v>11.1</v>
      </c>
      <c r="L107" s="198"/>
    </row>
    <row r="108" spans="1:12">
      <c r="A108" s="64" t="s">
        <v>439</v>
      </c>
      <c r="B108" s="198"/>
      <c r="C108" s="192">
        <v>-13.6</v>
      </c>
      <c r="D108" s="198"/>
      <c r="E108" s="192">
        <v>-2.7</v>
      </c>
      <c r="F108" s="198"/>
      <c r="G108" s="192">
        <v>13</v>
      </c>
      <c r="H108" s="198"/>
      <c r="I108" s="192">
        <v>19.600000000000001</v>
      </c>
      <c r="J108" s="198"/>
      <c r="K108" s="192">
        <v>10.7</v>
      </c>
      <c r="L108" s="198"/>
    </row>
    <row r="109" spans="1:12">
      <c r="A109" s="64" t="s">
        <v>5</v>
      </c>
      <c r="B109" s="199"/>
      <c r="C109" s="47">
        <v>6</v>
      </c>
      <c r="D109" s="199"/>
      <c r="E109" s="47">
        <v>6</v>
      </c>
      <c r="F109" s="199"/>
      <c r="G109" s="47">
        <v>6</v>
      </c>
      <c r="H109" s="199"/>
      <c r="I109" s="47">
        <v>6</v>
      </c>
      <c r="J109" s="199"/>
      <c r="K109" s="47">
        <v>6</v>
      </c>
      <c r="L109" s="199"/>
    </row>
    <row r="110" spans="1:12" ht="14">
      <c r="A110" s="209" t="s">
        <v>473</v>
      </c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</row>
    <row r="111" spans="1:12">
      <c r="A111" s="206" t="s">
        <v>267</v>
      </c>
      <c r="B111" s="207"/>
      <c r="C111" s="207"/>
      <c r="D111" s="207"/>
      <c r="E111" s="207"/>
      <c r="F111" s="207"/>
      <c r="G111" s="207"/>
    </row>
  </sheetData>
  <mergeCells count="96">
    <mergeCell ref="A111:G111"/>
    <mergeCell ref="J96:J98"/>
    <mergeCell ref="L96:L98"/>
    <mergeCell ref="A99:A104"/>
    <mergeCell ref="B99:B104"/>
    <mergeCell ref="B105:B109"/>
    <mergeCell ref="D105:D109"/>
    <mergeCell ref="F105:F109"/>
    <mergeCell ref="H105:H109"/>
    <mergeCell ref="J105:J109"/>
    <mergeCell ref="L105:L109"/>
    <mergeCell ref="A92:G92"/>
    <mergeCell ref="A96:A98"/>
    <mergeCell ref="B96:B98"/>
    <mergeCell ref="D96:D98"/>
    <mergeCell ref="F96:F98"/>
    <mergeCell ref="H96:H98"/>
    <mergeCell ref="J82:J86"/>
    <mergeCell ref="L82:L86"/>
    <mergeCell ref="B87:B91"/>
    <mergeCell ref="D87:D91"/>
    <mergeCell ref="F87:F91"/>
    <mergeCell ref="H87:H91"/>
    <mergeCell ref="J87:J91"/>
    <mergeCell ref="L87:L91"/>
    <mergeCell ref="A76:A81"/>
    <mergeCell ref="B76:B81"/>
    <mergeCell ref="B82:B86"/>
    <mergeCell ref="D82:D86"/>
    <mergeCell ref="F82:F86"/>
    <mergeCell ref="H82:H86"/>
    <mergeCell ref="L60:L64"/>
    <mergeCell ref="A65:A70"/>
    <mergeCell ref="B65:B70"/>
    <mergeCell ref="B71:B75"/>
    <mergeCell ref="D71:D75"/>
    <mergeCell ref="F71:F75"/>
    <mergeCell ref="H71:H75"/>
    <mergeCell ref="J71:J75"/>
    <mergeCell ref="L71:L75"/>
    <mergeCell ref="H51:H53"/>
    <mergeCell ref="J51:J53"/>
    <mergeCell ref="L51:L53"/>
    <mergeCell ref="A54:A59"/>
    <mergeCell ref="B54:B59"/>
    <mergeCell ref="B60:B64"/>
    <mergeCell ref="D60:D64"/>
    <mergeCell ref="F60:F64"/>
    <mergeCell ref="H60:H64"/>
    <mergeCell ref="J60:J64"/>
    <mergeCell ref="A46:G46"/>
    <mergeCell ref="A47:G47"/>
    <mergeCell ref="A50:E50"/>
    <mergeCell ref="A51:A53"/>
    <mergeCell ref="B51:B53"/>
    <mergeCell ref="D51:D53"/>
    <mergeCell ref="F51:F53"/>
    <mergeCell ref="J36:J40"/>
    <mergeCell ref="L36:L40"/>
    <mergeCell ref="B41:B45"/>
    <mergeCell ref="D41:D45"/>
    <mergeCell ref="F41:F45"/>
    <mergeCell ref="H41:H45"/>
    <mergeCell ref="J41:J45"/>
    <mergeCell ref="L41:L45"/>
    <mergeCell ref="A30:A35"/>
    <mergeCell ref="B30:B35"/>
    <mergeCell ref="B36:B40"/>
    <mergeCell ref="D36:D40"/>
    <mergeCell ref="F36:F40"/>
    <mergeCell ref="H36:H40"/>
    <mergeCell ref="L14:L18"/>
    <mergeCell ref="A19:A24"/>
    <mergeCell ref="B19:B24"/>
    <mergeCell ref="B25:B29"/>
    <mergeCell ref="D25:D29"/>
    <mergeCell ref="F25:F29"/>
    <mergeCell ref="H25:H29"/>
    <mergeCell ref="J25:J29"/>
    <mergeCell ref="L25:L29"/>
    <mergeCell ref="H5:H7"/>
    <mergeCell ref="J5:J7"/>
    <mergeCell ref="L5:L7"/>
    <mergeCell ref="A8:A13"/>
    <mergeCell ref="B8:B13"/>
    <mergeCell ref="B14:B18"/>
    <mergeCell ref="D14:D18"/>
    <mergeCell ref="F14:F18"/>
    <mergeCell ref="H14:H18"/>
    <mergeCell ref="J14:J18"/>
    <mergeCell ref="A2:E2"/>
    <mergeCell ref="A4:E4"/>
    <mergeCell ref="A5:A7"/>
    <mergeCell ref="B5:B7"/>
    <mergeCell ref="D5:D7"/>
    <mergeCell ref="F5:F7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&amp;C 1632MV7生物分析方法学验证数据</oddHeader>
    <oddFooter>&amp;C第&amp;P页，共&amp;N页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M63"/>
  <sheetViews>
    <sheetView view="pageBreakPreview" zoomScaleNormal="100" zoomScaleSheetLayoutView="100" workbookViewId="0">
      <selection activeCell="K32" sqref="K32"/>
    </sheetView>
  </sheetViews>
  <sheetFormatPr defaultColWidth="8.83203125" defaultRowHeight="13.5"/>
  <cols>
    <col min="1" max="1" width="19.33203125" style="61" customWidth="1"/>
    <col min="2" max="10" width="10.83203125" style="61" customWidth="1"/>
    <col min="11" max="16384" width="8.83203125" style="61"/>
  </cols>
  <sheetData>
    <row r="2" spans="1:10" ht="14">
      <c r="A2" s="116" t="s">
        <v>39</v>
      </c>
      <c r="B2" s="116"/>
      <c r="C2" s="116"/>
      <c r="D2" s="116"/>
      <c r="E2" s="25"/>
      <c r="F2" s="25"/>
      <c r="G2" s="25"/>
      <c r="H2" s="25"/>
    </row>
    <row r="3" spans="1:10" ht="14">
      <c r="A3" s="22"/>
      <c r="B3" s="22"/>
      <c r="C3" s="22"/>
      <c r="D3" s="22"/>
      <c r="E3" s="25"/>
      <c r="F3" s="25"/>
      <c r="G3" s="25"/>
      <c r="H3" s="25"/>
    </row>
    <row r="4" spans="1:10" ht="14.5">
      <c r="A4" s="26"/>
      <c r="B4" s="25"/>
      <c r="C4" s="25"/>
      <c r="D4" s="25"/>
      <c r="E4" s="25"/>
      <c r="F4" s="25"/>
      <c r="G4" s="25"/>
      <c r="H4" s="25"/>
    </row>
    <row r="5" spans="1:10" ht="13.5" customHeight="1">
      <c r="A5" s="108" t="s">
        <v>25</v>
      </c>
      <c r="B5" s="108" t="s">
        <v>23</v>
      </c>
      <c r="C5" s="64" t="s">
        <v>2</v>
      </c>
      <c r="D5" s="134" t="s">
        <v>53</v>
      </c>
      <c r="E5" s="64" t="s">
        <v>76</v>
      </c>
      <c r="F5" s="134" t="s">
        <v>53</v>
      </c>
      <c r="G5" s="64" t="s">
        <v>77</v>
      </c>
      <c r="H5" s="134" t="s">
        <v>53</v>
      </c>
      <c r="I5" s="64" t="s">
        <v>1</v>
      </c>
      <c r="J5" s="134" t="s">
        <v>53</v>
      </c>
    </row>
    <row r="6" spans="1:10">
      <c r="A6" s="108"/>
      <c r="B6" s="108"/>
      <c r="C6" s="65">
        <v>150</v>
      </c>
      <c r="D6" s="135"/>
      <c r="E6" s="65">
        <v>1125</v>
      </c>
      <c r="F6" s="135"/>
      <c r="G6" s="65">
        <v>7500</v>
      </c>
      <c r="H6" s="135"/>
      <c r="I6" s="65">
        <v>18750</v>
      </c>
      <c r="J6" s="135"/>
    </row>
    <row r="7" spans="1:10">
      <c r="A7" s="108"/>
      <c r="B7" s="108"/>
      <c r="C7" s="66" t="s">
        <v>118</v>
      </c>
      <c r="D7" s="136"/>
      <c r="E7" s="66" t="s">
        <v>118</v>
      </c>
      <c r="F7" s="136"/>
      <c r="G7" s="66" t="s">
        <v>118</v>
      </c>
      <c r="H7" s="136"/>
      <c r="I7" s="66" t="s">
        <v>118</v>
      </c>
      <c r="J7" s="136"/>
    </row>
    <row r="8" spans="1:10">
      <c r="A8" s="139">
        <v>45394</v>
      </c>
      <c r="B8" s="142">
        <v>7</v>
      </c>
      <c r="C8" s="67" t="s">
        <v>155</v>
      </c>
      <c r="D8" s="59">
        <v>19.600000000000001</v>
      </c>
      <c r="E8" s="67">
        <v>1112.1579999999999</v>
      </c>
      <c r="F8" s="59">
        <v>-1.1000000000000001</v>
      </c>
      <c r="G8" s="67">
        <v>7956.518</v>
      </c>
      <c r="H8" s="59">
        <v>6.1</v>
      </c>
      <c r="I8" s="67">
        <v>20001.813999999998</v>
      </c>
      <c r="J8" s="59">
        <v>6.7</v>
      </c>
    </row>
    <row r="9" spans="1:10">
      <c r="A9" s="140"/>
      <c r="B9" s="143"/>
      <c r="C9" s="67">
        <v>161.11799999999999</v>
      </c>
      <c r="D9" s="59">
        <v>7.4</v>
      </c>
      <c r="E9" s="67">
        <v>1165.7139999999999</v>
      </c>
      <c r="F9" s="59">
        <v>3.6</v>
      </c>
      <c r="G9" s="67">
        <v>8016.9369999999999</v>
      </c>
      <c r="H9" s="59">
        <v>6.9</v>
      </c>
      <c r="I9" s="67">
        <v>20695.085999999999</v>
      </c>
      <c r="J9" s="59">
        <v>10.4</v>
      </c>
    </row>
    <row r="10" spans="1:10">
      <c r="A10" s="140"/>
      <c r="B10" s="143"/>
      <c r="C10" s="67">
        <v>168.26400000000001</v>
      </c>
      <c r="D10" s="68">
        <v>12.2</v>
      </c>
      <c r="E10" s="67">
        <v>1096.0250000000001</v>
      </c>
      <c r="F10" s="68">
        <v>-2.6</v>
      </c>
      <c r="G10" s="67">
        <v>7715.826</v>
      </c>
      <c r="H10" s="68">
        <v>2.9</v>
      </c>
      <c r="I10" s="67">
        <v>17334.888999999999</v>
      </c>
      <c r="J10" s="68">
        <v>-7.5</v>
      </c>
    </row>
    <row r="11" spans="1:10">
      <c r="A11" s="141"/>
      <c r="B11" s="144"/>
      <c r="C11" s="67">
        <v>155.255</v>
      </c>
      <c r="D11" s="68">
        <v>3.5</v>
      </c>
      <c r="E11" s="67">
        <v>1079.8699999999999</v>
      </c>
      <c r="F11" s="68">
        <v>-4</v>
      </c>
      <c r="G11" s="67">
        <v>7508.8950000000004</v>
      </c>
      <c r="H11" s="68">
        <v>0.1</v>
      </c>
      <c r="I11" s="67">
        <v>18801.79</v>
      </c>
      <c r="J11" s="68">
        <v>0.3</v>
      </c>
    </row>
    <row r="12" spans="1:10">
      <c r="A12" s="139">
        <v>45438</v>
      </c>
      <c r="B12" s="142">
        <v>9</v>
      </c>
      <c r="C12" s="67">
        <v>154.613</v>
      </c>
      <c r="D12" s="59">
        <v>3.1</v>
      </c>
      <c r="E12" s="67">
        <v>1077.4590000000001</v>
      </c>
      <c r="F12" s="59">
        <v>-4.2</v>
      </c>
      <c r="G12" s="67">
        <v>6859.183</v>
      </c>
      <c r="H12" s="59">
        <v>-8.5</v>
      </c>
      <c r="I12" s="67">
        <v>18304.153999999999</v>
      </c>
      <c r="J12" s="59">
        <v>-2.4</v>
      </c>
    </row>
    <row r="13" spans="1:10">
      <c r="A13" s="140"/>
      <c r="B13" s="143"/>
      <c r="C13" s="67">
        <v>146.273</v>
      </c>
      <c r="D13" s="59">
        <v>-2.5</v>
      </c>
      <c r="E13" s="67">
        <v>1039.4079999999999</v>
      </c>
      <c r="F13" s="59">
        <v>-7.6</v>
      </c>
      <c r="G13" s="67">
        <v>6744.6030000000001</v>
      </c>
      <c r="H13" s="59">
        <v>-10.1</v>
      </c>
      <c r="I13" s="67">
        <v>19149.206999999999</v>
      </c>
      <c r="J13" s="59">
        <v>2.1</v>
      </c>
    </row>
    <row r="14" spans="1:10">
      <c r="A14" s="140"/>
      <c r="B14" s="143"/>
      <c r="C14" s="67">
        <v>141.30099999999999</v>
      </c>
      <c r="D14" s="68">
        <v>-5.8</v>
      </c>
      <c r="E14" s="67">
        <v>1139.72</v>
      </c>
      <c r="F14" s="68">
        <v>1.3</v>
      </c>
      <c r="G14" s="67">
        <v>7249.8280000000004</v>
      </c>
      <c r="H14" s="68">
        <v>-3.3</v>
      </c>
      <c r="I14" s="67">
        <v>18473.215</v>
      </c>
      <c r="J14" s="68">
        <v>-1.5</v>
      </c>
    </row>
    <row r="15" spans="1:10">
      <c r="A15" s="141"/>
      <c r="B15" s="144"/>
      <c r="C15" s="67">
        <v>150.89099999999999</v>
      </c>
      <c r="D15" s="68">
        <v>0.6</v>
      </c>
      <c r="E15" s="67">
        <v>1078.9590000000001</v>
      </c>
      <c r="F15" s="68">
        <v>-4.0999999999999996</v>
      </c>
      <c r="G15" s="67">
        <v>6988.0159999999996</v>
      </c>
      <c r="H15" s="68">
        <v>-6.8</v>
      </c>
      <c r="I15" s="67">
        <v>18844.047999999999</v>
      </c>
      <c r="J15" s="68">
        <v>0.5</v>
      </c>
    </row>
    <row r="16" spans="1:10">
      <c r="A16" s="139">
        <v>45443</v>
      </c>
      <c r="B16" s="142">
        <v>10</v>
      </c>
      <c r="C16" s="67">
        <v>154.41</v>
      </c>
      <c r="D16" s="59">
        <v>2.9</v>
      </c>
      <c r="E16" s="67">
        <v>1184.02</v>
      </c>
      <c r="F16" s="59">
        <v>5.2</v>
      </c>
      <c r="G16" s="67">
        <v>8034.4830000000002</v>
      </c>
      <c r="H16" s="59">
        <v>7.1</v>
      </c>
      <c r="I16" s="67">
        <v>19038.062999999998</v>
      </c>
      <c r="J16" s="59">
        <v>1.5</v>
      </c>
    </row>
    <row r="17" spans="1:13">
      <c r="A17" s="140"/>
      <c r="B17" s="143"/>
      <c r="C17" s="67">
        <v>162.21100000000001</v>
      </c>
      <c r="D17" s="59">
        <v>8.1</v>
      </c>
      <c r="E17" s="67">
        <v>1167.5640000000001</v>
      </c>
      <c r="F17" s="59">
        <v>3.8</v>
      </c>
      <c r="G17" s="67">
        <v>7920.4340000000002</v>
      </c>
      <c r="H17" s="59">
        <v>5.6</v>
      </c>
      <c r="I17" s="67">
        <v>18536.134999999998</v>
      </c>
      <c r="J17" s="59">
        <v>-1.1000000000000001</v>
      </c>
    </row>
    <row r="18" spans="1:13">
      <c r="A18" s="140"/>
      <c r="B18" s="143"/>
      <c r="C18" s="67">
        <v>153.95099999999999</v>
      </c>
      <c r="D18" s="68">
        <v>2.6</v>
      </c>
      <c r="E18" s="67">
        <v>1045.56</v>
      </c>
      <c r="F18" s="68">
        <v>-7.1</v>
      </c>
      <c r="G18" s="67">
        <v>7357.6970000000001</v>
      </c>
      <c r="H18" s="68">
        <v>-1.9</v>
      </c>
      <c r="I18" s="67">
        <v>18477.774000000001</v>
      </c>
      <c r="J18" s="68">
        <v>-1.5</v>
      </c>
    </row>
    <row r="19" spans="1:13">
      <c r="A19" s="141"/>
      <c r="B19" s="144"/>
      <c r="C19" s="67">
        <v>149.483</v>
      </c>
      <c r="D19" s="68">
        <v>-0.3</v>
      </c>
      <c r="E19" s="67">
        <v>1088.1179999999999</v>
      </c>
      <c r="F19" s="68">
        <v>-3.3</v>
      </c>
      <c r="G19" s="67">
        <v>7421.9040000000005</v>
      </c>
      <c r="H19" s="68">
        <v>-1</v>
      </c>
      <c r="I19" s="67">
        <v>17940.759999999998</v>
      </c>
      <c r="J19" s="68">
        <v>-4.3</v>
      </c>
    </row>
    <row r="20" spans="1:13">
      <c r="A20" s="139">
        <v>45449</v>
      </c>
      <c r="B20" s="142">
        <v>11</v>
      </c>
      <c r="C20" s="67">
        <v>150.29499999999999</v>
      </c>
      <c r="D20" s="59">
        <v>0.2</v>
      </c>
      <c r="E20" s="67">
        <v>1194.3599999999999</v>
      </c>
      <c r="F20" s="59">
        <v>6.2</v>
      </c>
      <c r="G20" s="67">
        <v>7812.2380000000003</v>
      </c>
      <c r="H20" s="59">
        <v>4.2</v>
      </c>
      <c r="I20" s="67">
        <v>18313.361000000001</v>
      </c>
      <c r="J20" s="59">
        <v>-2.2999999999999998</v>
      </c>
    </row>
    <row r="21" spans="1:13">
      <c r="A21" s="140"/>
      <c r="B21" s="143"/>
      <c r="C21" s="67">
        <v>149.83000000000001</v>
      </c>
      <c r="D21" s="59">
        <v>-0.1</v>
      </c>
      <c r="E21" s="67" t="s">
        <v>156</v>
      </c>
      <c r="F21" s="59">
        <v>-16</v>
      </c>
      <c r="G21" s="67">
        <v>7531.1459999999997</v>
      </c>
      <c r="H21" s="59">
        <v>0.4</v>
      </c>
      <c r="I21" s="67">
        <v>17496.12</v>
      </c>
      <c r="J21" s="59">
        <v>-6.7</v>
      </c>
    </row>
    <row r="22" spans="1:13">
      <c r="A22" s="140"/>
      <c r="B22" s="143"/>
      <c r="C22" s="67">
        <v>156.46100000000001</v>
      </c>
      <c r="D22" s="68">
        <v>4.3</v>
      </c>
      <c r="E22" s="67">
        <v>972.81500000000005</v>
      </c>
      <c r="F22" s="68">
        <v>-13.5</v>
      </c>
      <c r="G22" s="67">
        <v>7445.1840000000002</v>
      </c>
      <c r="H22" s="68">
        <v>-0.7</v>
      </c>
      <c r="I22" s="67">
        <v>18443.011999999999</v>
      </c>
      <c r="J22" s="68">
        <v>-1.6</v>
      </c>
    </row>
    <row r="23" spans="1:13">
      <c r="A23" s="141"/>
      <c r="B23" s="144"/>
      <c r="C23" s="67">
        <v>139.096</v>
      </c>
      <c r="D23" s="68">
        <v>-7.3</v>
      </c>
      <c r="E23" s="67">
        <v>1214.7850000000001</v>
      </c>
      <c r="F23" s="68">
        <v>8</v>
      </c>
      <c r="G23" s="67">
        <v>7858.1570000000002</v>
      </c>
      <c r="H23" s="68">
        <v>4.8</v>
      </c>
      <c r="I23" s="67">
        <v>19180.312999999998</v>
      </c>
      <c r="J23" s="68">
        <v>2.2999999999999998</v>
      </c>
    </row>
    <row r="24" spans="1:13">
      <c r="A24" s="34" t="s">
        <v>261</v>
      </c>
      <c r="B24" s="129"/>
      <c r="C24" s="67">
        <v>154.55699999999999</v>
      </c>
      <c r="D24" s="119"/>
      <c r="E24" s="67">
        <v>1100.1089999999999</v>
      </c>
      <c r="F24" s="119"/>
      <c r="G24" s="67">
        <v>7526.3159999999998</v>
      </c>
      <c r="H24" s="119"/>
      <c r="I24" s="67">
        <v>18689.359</v>
      </c>
      <c r="J24" s="119"/>
    </row>
    <row r="25" spans="1:13">
      <c r="A25" s="34" t="s">
        <v>3</v>
      </c>
      <c r="B25" s="129"/>
      <c r="C25" s="67">
        <v>9.923</v>
      </c>
      <c r="D25" s="120"/>
      <c r="E25" s="67">
        <v>76.606999999999999</v>
      </c>
      <c r="F25" s="120"/>
      <c r="G25" s="67">
        <v>411.15499999999997</v>
      </c>
      <c r="H25" s="120"/>
      <c r="I25" s="67">
        <v>842.23299999999995</v>
      </c>
      <c r="J25" s="120"/>
    </row>
    <row r="26" spans="1:13">
      <c r="A26" s="34" t="s">
        <v>50</v>
      </c>
      <c r="B26" s="129"/>
      <c r="C26" s="59">
        <v>6.4</v>
      </c>
      <c r="D26" s="120"/>
      <c r="E26" s="59">
        <v>7</v>
      </c>
      <c r="F26" s="120"/>
      <c r="G26" s="59">
        <v>5.5</v>
      </c>
      <c r="H26" s="120"/>
      <c r="I26" s="59">
        <v>4.5</v>
      </c>
      <c r="J26" s="120"/>
    </row>
    <row r="27" spans="1:13">
      <c r="A27" s="34" t="s">
        <v>53</v>
      </c>
      <c r="B27" s="129"/>
      <c r="C27" s="59">
        <v>3</v>
      </c>
      <c r="D27" s="120"/>
      <c r="E27" s="59">
        <v>-2.2000000000000002</v>
      </c>
      <c r="F27" s="120"/>
      <c r="G27" s="59">
        <v>0.4</v>
      </c>
      <c r="H27" s="120"/>
      <c r="I27" s="59">
        <v>-0.3</v>
      </c>
      <c r="J27" s="120"/>
    </row>
    <row r="28" spans="1:13">
      <c r="A28" s="34" t="s">
        <v>5</v>
      </c>
      <c r="B28" s="129"/>
      <c r="C28" s="35">
        <v>16</v>
      </c>
      <c r="D28" s="121"/>
      <c r="E28" s="35">
        <v>16</v>
      </c>
      <c r="F28" s="121"/>
      <c r="G28" s="35">
        <v>16</v>
      </c>
      <c r="H28" s="121"/>
      <c r="I28" s="35">
        <v>16</v>
      </c>
      <c r="J28" s="121"/>
    </row>
    <row r="29" spans="1:13">
      <c r="A29" s="137" t="s">
        <v>267</v>
      </c>
      <c r="B29" s="138"/>
      <c r="C29" s="138"/>
      <c r="D29" s="138"/>
      <c r="E29" s="138"/>
      <c r="F29" s="138"/>
      <c r="G29" s="138"/>
      <c r="H29" s="69"/>
      <c r="I29" s="69"/>
      <c r="J29" s="69"/>
      <c r="K29" s="69"/>
      <c r="L29" s="69"/>
      <c r="M29" s="69"/>
    </row>
    <row r="30" spans="1:1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</row>
    <row r="31" spans="1:1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</row>
    <row r="32" spans="1:13" ht="13.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</row>
    <row r="33" spans="1:1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spans="1:1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</row>
    <row r="36" spans="1:1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 spans="1:1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</row>
    <row r="38" spans="1:1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</row>
    <row r="39" spans="1:1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</row>
    <row r="40" spans="1:1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</row>
    <row r="44" spans="1:13" s="3" customForma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spans="1:1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  <row r="46" spans="1:1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</row>
    <row r="47" spans="1:1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</row>
    <row r="51" spans="1:1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</row>
    <row r="52" spans="1:1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</row>
    <row r="53" spans="1:1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</row>
    <row r="54" spans="1:1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spans="1:1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 spans="1:1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spans="1:1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spans="1:1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spans="1:1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spans="1:1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spans="1:1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spans="1:1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spans="1:1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</sheetData>
  <mergeCells count="21">
    <mergeCell ref="A29:G29"/>
    <mergeCell ref="A8:A11"/>
    <mergeCell ref="A2:D2"/>
    <mergeCell ref="A5:A7"/>
    <mergeCell ref="B5:B7"/>
    <mergeCell ref="D5:D7"/>
    <mergeCell ref="A20:A23"/>
    <mergeCell ref="B20:B23"/>
    <mergeCell ref="A16:A19"/>
    <mergeCell ref="B16:B19"/>
    <mergeCell ref="A12:A15"/>
    <mergeCell ref="B12:B15"/>
    <mergeCell ref="B8:B11"/>
    <mergeCell ref="B24:B28"/>
    <mergeCell ref="J5:J7"/>
    <mergeCell ref="J24:J28"/>
    <mergeCell ref="H5:H7"/>
    <mergeCell ref="H24:H28"/>
    <mergeCell ref="D24:D28"/>
    <mergeCell ref="F24:F28"/>
    <mergeCell ref="F5:F7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73"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C0E7-D864-435E-83DC-5B3C5EB544EA}">
  <sheetPr>
    <tabColor rgb="FF00B050"/>
  </sheetPr>
  <dimension ref="A2:J45"/>
  <sheetViews>
    <sheetView view="pageBreakPreview" zoomScaleNormal="100" zoomScaleSheetLayoutView="100" workbookViewId="0">
      <selection activeCell="E33" sqref="E33"/>
    </sheetView>
  </sheetViews>
  <sheetFormatPr defaultColWidth="8.83203125" defaultRowHeight="15.75" customHeight="1"/>
  <cols>
    <col min="1" max="1" width="13.58203125" style="40" customWidth="1"/>
    <col min="2" max="2" width="13.5" style="40" customWidth="1"/>
    <col min="3" max="3" width="17.83203125" style="40" customWidth="1"/>
    <col min="4" max="4" width="13.5" style="211" customWidth="1"/>
    <col min="5" max="5" width="13.08203125" style="40" customWidth="1"/>
    <col min="6" max="6" width="13.5" style="40" customWidth="1"/>
    <col min="7" max="7" width="16.75" style="211" customWidth="1"/>
    <col min="8" max="8" width="13.5" style="40" customWidth="1"/>
    <col min="9" max="9" width="11" style="40" customWidth="1"/>
    <col min="10" max="10" width="12" style="211" customWidth="1"/>
    <col min="11" max="11" width="10" style="40" customWidth="1"/>
    <col min="12" max="12" width="9.58203125" style="40" customWidth="1"/>
    <col min="13" max="13" width="8.5" style="40" customWidth="1"/>
    <col min="14" max="14" width="10.08203125" style="40" customWidth="1"/>
    <col min="15" max="15" width="12" style="40" customWidth="1"/>
    <col min="16" max="16" width="13.33203125" style="40" customWidth="1"/>
    <col min="17" max="16384" width="8.83203125" style="40"/>
  </cols>
  <sheetData>
    <row r="2" spans="1:10" ht="15.75" customHeight="1">
      <c r="A2" s="233" t="s">
        <v>485</v>
      </c>
    </row>
    <row r="4" spans="1:10" ht="15.75" customHeight="1">
      <c r="A4" s="232" t="s">
        <v>484</v>
      </c>
      <c r="B4" s="231"/>
      <c r="C4" s="231"/>
      <c r="D4" s="231"/>
      <c r="E4" s="231"/>
      <c r="F4" s="231"/>
      <c r="G4" s="231"/>
      <c r="H4" s="231"/>
      <c r="I4" s="231"/>
      <c r="J4" s="230"/>
    </row>
    <row r="5" spans="1:10" ht="15.75" customHeight="1">
      <c r="A5" s="225"/>
      <c r="B5" s="229" t="s">
        <v>2</v>
      </c>
      <c r="C5" s="229"/>
      <c r="D5" s="229"/>
      <c r="E5" s="228" t="s">
        <v>483</v>
      </c>
      <c r="F5" s="227"/>
      <c r="G5" s="226"/>
      <c r="H5" s="228" t="s">
        <v>1</v>
      </c>
      <c r="I5" s="227"/>
      <c r="J5" s="226"/>
    </row>
    <row r="6" spans="1:10" ht="29.5" customHeight="1">
      <c r="A6" s="225"/>
      <c r="B6" s="224" t="s">
        <v>482</v>
      </c>
      <c r="C6" s="218" t="s">
        <v>480</v>
      </c>
      <c r="D6" s="215" t="s">
        <v>477</v>
      </c>
      <c r="E6" s="218" t="s">
        <v>481</v>
      </c>
      <c r="F6" s="218" t="s">
        <v>480</v>
      </c>
      <c r="G6" s="215" t="s">
        <v>477</v>
      </c>
      <c r="H6" s="218" t="s">
        <v>479</v>
      </c>
      <c r="I6" s="218" t="s">
        <v>478</v>
      </c>
      <c r="J6" s="215" t="s">
        <v>477</v>
      </c>
    </row>
    <row r="7" spans="1:10" ht="15.75" customHeight="1">
      <c r="A7" s="218">
        <v>1</v>
      </c>
      <c r="B7" s="223">
        <v>3.1879999999999999E-2</v>
      </c>
      <c r="C7" s="223">
        <v>3.0249999999999999E-2</v>
      </c>
      <c r="D7" s="222">
        <f>ROUND(B7/C$13*100,1)</f>
        <v>104.7</v>
      </c>
      <c r="E7" s="223">
        <v>1.3731199999999999</v>
      </c>
      <c r="F7" s="223">
        <v>1.793231</v>
      </c>
      <c r="G7" s="222">
        <f>ROUND(E7/F$13*100,1)</f>
        <v>84.1</v>
      </c>
      <c r="H7" s="223">
        <v>3.6987589999999999</v>
      </c>
      <c r="I7" s="223">
        <v>3.8811439999999999</v>
      </c>
      <c r="J7" s="222">
        <f>ROUND(H7/I$13*100,1)</f>
        <v>92.8</v>
      </c>
    </row>
    <row r="8" spans="1:10" ht="15.75" customHeight="1">
      <c r="A8" s="218">
        <v>2</v>
      </c>
      <c r="B8" s="223">
        <v>2.9241E-2</v>
      </c>
      <c r="C8" s="223">
        <v>2.9628999999999999E-2</v>
      </c>
      <c r="D8" s="222">
        <f>ROUND(B8/C$13*100,1)</f>
        <v>96.1</v>
      </c>
      <c r="E8" s="223">
        <v>1.357726</v>
      </c>
      <c r="F8" s="223">
        <v>1.652193</v>
      </c>
      <c r="G8" s="222">
        <f>ROUND(E8/F$13*100,1)</f>
        <v>83.2</v>
      </c>
      <c r="H8" s="223">
        <v>3.6571539999999998</v>
      </c>
      <c r="I8" s="223">
        <v>4.2502040000000001</v>
      </c>
      <c r="J8" s="222">
        <f>ROUND(H8/I$13*100,1)</f>
        <v>91.7</v>
      </c>
    </row>
    <row r="9" spans="1:10" ht="15.75" customHeight="1">
      <c r="A9" s="218">
        <v>3</v>
      </c>
      <c r="B9" s="223">
        <v>2.6238999999999998E-2</v>
      </c>
      <c r="C9" s="223">
        <v>2.9062999999999999E-2</v>
      </c>
      <c r="D9" s="222">
        <f>ROUND(B9/C$13*100,1)</f>
        <v>86.2</v>
      </c>
      <c r="E9" s="223">
        <v>1.5687770000000001</v>
      </c>
      <c r="F9" s="223">
        <v>1.6068279999999999</v>
      </c>
      <c r="G9" s="222">
        <f>ROUND(E9/F$13*100,1)</f>
        <v>96.1</v>
      </c>
      <c r="H9" s="223">
        <v>3.8683550000000002</v>
      </c>
      <c r="I9" s="223">
        <v>4.0439100000000003</v>
      </c>
      <c r="J9" s="222">
        <f>ROUND(H9/I$13*100,1)</f>
        <v>97</v>
      </c>
    </row>
    <row r="10" spans="1:10" ht="15.75" customHeight="1">
      <c r="A10" s="218">
        <v>4</v>
      </c>
      <c r="B10" s="223">
        <v>3.5358000000000001E-2</v>
      </c>
      <c r="C10" s="223">
        <v>3.4644000000000001E-2</v>
      </c>
      <c r="D10" s="222">
        <f>ROUND(B10/C$13*100,1)</f>
        <v>116.1</v>
      </c>
      <c r="E10" s="223">
        <v>1.5798129999999999</v>
      </c>
      <c r="F10" s="223">
        <v>1.7192730000000001</v>
      </c>
      <c r="G10" s="222">
        <f>ROUND(E10/F$13*100,1)</f>
        <v>96.8</v>
      </c>
      <c r="H10" s="223">
        <v>3.5314350000000001</v>
      </c>
      <c r="I10" s="223">
        <v>3.9389310000000002</v>
      </c>
      <c r="J10" s="222">
        <f>ROUND(H10/I$13*100,1)</f>
        <v>88.6</v>
      </c>
    </row>
    <row r="11" spans="1:10" ht="15.75" customHeight="1">
      <c r="A11" s="218">
        <v>5</v>
      </c>
      <c r="B11" s="223">
        <v>2.9302999999999999E-2</v>
      </c>
      <c r="C11" s="223">
        <v>2.8145E-2</v>
      </c>
      <c r="D11" s="222">
        <f>ROUND(B11/C$13*100,1)</f>
        <v>96.3</v>
      </c>
      <c r="E11" s="223">
        <v>1.4765999999999999</v>
      </c>
      <c r="F11" s="223">
        <v>1.5483039999999999</v>
      </c>
      <c r="G11" s="222">
        <f>ROUND(E11/F$13*100,1)</f>
        <v>90.4</v>
      </c>
      <c r="H11" s="223">
        <v>3.5648819999999999</v>
      </c>
      <c r="I11" s="223">
        <v>4.0943519999999998</v>
      </c>
      <c r="J11" s="222">
        <f>ROUND(H11/I$13*100,1)</f>
        <v>89.4</v>
      </c>
    </row>
    <row r="12" spans="1:10" ht="15.75" customHeight="1">
      <c r="A12" s="218">
        <v>6</v>
      </c>
      <c r="B12" s="223">
        <v>3.0345E-2</v>
      </c>
      <c r="C12" s="223">
        <v>3.0924E-2</v>
      </c>
      <c r="D12" s="222">
        <f>ROUND(B12/C$13*100,1)</f>
        <v>99.7</v>
      </c>
      <c r="E12" s="223">
        <v>1.582411</v>
      </c>
      <c r="F12" s="223">
        <v>1.475805</v>
      </c>
      <c r="G12" s="222">
        <f>ROUND(E12/F$13*100,1)</f>
        <v>96.9</v>
      </c>
      <c r="H12" s="223">
        <v>3.9139390000000001</v>
      </c>
      <c r="I12" s="223">
        <v>3.7076859999999998</v>
      </c>
      <c r="J12" s="222">
        <f>ROUND(H12/I$13*100,1)</f>
        <v>98.2</v>
      </c>
    </row>
    <row r="13" spans="1:10" ht="15.75" customHeight="1">
      <c r="A13" s="218" t="s">
        <v>476</v>
      </c>
      <c r="B13" s="221">
        <f>ROUND(AVERAGEA(B7:B12),6)</f>
        <v>3.0394000000000001E-2</v>
      </c>
      <c r="C13" s="221">
        <f>ROUND(AVERAGEA(C7:C12),6)</f>
        <v>3.0443000000000001E-2</v>
      </c>
      <c r="D13" s="215">
        <f>ROUND(AVERAGE(D7:D12),1)</f>
        <v>99.9</v>
      </c>
      <c r="E13" s="221">
        <f>ROUND(AVERAGEA(E7:E12),6)</f>
        <v>1.489741</v>
      </c>
      <c r="F13" s="221">
        <f>ROUND(AVERAGEA(F7:F12),6)</f>
        <v>1.632606</v>
      </c>
      <c r="G13" s="215">
        <f>ROUND(AVERAGE(G7:G12),1)</f>
        <v>91.3</v>
      </c>
      <c r="H13" s="221">
        <f>ROUND(AVERAGEA(H7:H12),6)</f>
        <v>3.7057540000000002</v>
      </c>
      <c r="I13" s="221">
        <f>ROUND(AVERAGEA(I7:I12),6)</f>
        <v>3.9860380000000002</v>
      </c>
      <c r="J13" s="215">
        <f>ROUND(AVERAGE(J7:J12),1)</f>
        <v>93</v>
      </c>
    </row>
    <row r="14" spans="1:10" ht="15.75" customHeight="1">
      <c r="A14" s="218" t="s">
        <v>3</v>
      </c>
      <c r="B14" s="220"/>
      <c r="C14" s="219"/>
      <c r="D14" s="215">
        <f>ROUND(STDEV(D7:D12),1)</f>
        <v>10</v>
      </c>
      <c r="E14" s="220"/>
      <c r="F14" s="219"/>
      <c r="G14" s="215">
        <f>ROUND(STDEV(G7:G12),1)</f>
        <v>6.4</v>
      </c>
      <c r="H14" s="220"/>
      <c r="I14" s="219"/>
      <c r="J14" s="215">
        <f>ROUND(STDEV(J7:J12),1)</f>
        <v>3.9</v>
      </c>
    </row>
    <row r="15" spans="1:10" ht="15.75" customHeight="1">
      <c r="A15" s="218" t="s">
        <v>50</v>
      </c>
      <c r="B15" s="217"/>
      <c r="C15" s="216"/>
      <c r="D15" s="215">
        <f>ROUND(D14/D13*100,1)</f>
        <v>10</v>
      </c>
      <c r="E15" s="217"/>
      <c r="F15" s="216"/>
      <c r="G15" s="215">
        <f>ROUND(G14/G13*100,1)</f>
        <v>7</v>
      </c>
      <c r="H15" s="217"/>
      <c r="I15" s="216"/>
      <c r="J15" s="215">
        <f>ROUND(J14/J13*100,1)</f>
        <v>4.2</v>
      </c>
    </row>
    <row r="16" spans="1:10" ht="15.75" customHeight="1">
      <c r="A16" s="49" t="s">
        <v>475</v>
      </c>
      <c r="B16" s="214">
        <f>ROUND(AVERAGE(D13,G13,J13),1)</f>
        <v>94.7</v>
      </c>
      <c r="C16" s="213"/>
      <c r="D16" s="213"/>
      <c r="E16" s="213"/>
      <c r="F16" s="213"/>
      <c r="G16" s="213"/>
      <c r="H16" s="213"/>
      <c r="I16" s="213"/>
      <c r="J16" s="213"/>
    </row>
    <row r="17" spans="1:10" ht="15.75" customHeight="1">
      <c r="A17" s="49" t="s">
        <v>474</v>
      </c>
      <c r="B17" s="118">
        <f>ROUND(STDEV(D13,G13,J13)/B16*100,1)</f>
        <v>4.8</v>
      </c>
      <c r="C17" s="213"/>
      <c r="D17" s="213"/>
      <c r="E17" s="213"/>
      <c r="F17" s="213"/>
      <c r="G17" s="213"/>
      <c r="H17" s="213"/>
      <c r="I17" s="213"/>
      <c r="J17" s="213"/>
    </row>
    <row r="18" spans="1:10" ht="15.75" customHeight="1">
      <c r="B18" s="22"/>
      <c r="C18" s="23"/>
      <c r="D18" s="212"/>
      <c r="E18" s="23"/>
      <c r="F18" s="23"/>
      <c r="G18" s="212"/>
    </row>
    <row r="19" spans="1:10" ht="15.75" customHeight="1">
      <c r="B19" s="22"/>
      <c r="C19" s="23"/>
      <c r="D19" s="212"/>
      <c r="E19" s="23"/>
      <c r="F19" s="23"/>
      <c r="G19" s="212"/>
    </row>
    <row r="20" spans="1:10" ht="15.75" customHeight="1">
      <c r="B20" s="22"/>
      <c r="C20" s="23"/>
      <c r="D20" s="212"/>
      <c r="E20" s="23"/>
      <c r="F20" s="23"/>
      <c r="G20" s="212"/>
    </row>
    <row r="21" spans="1:10" ht="15.75" customHeight="1">
      <c r="B21" s="22"/>
      <c r="C21" s="23"/>
      <c r="D21" s="212"/>
      <c r="E21" s="23"/>
      <c r="F21" s="23"/>
      <c r="G21" s="212"/>
    </row>
    <row r="22" spans="1:10" ht="15.75" customHeight="1">
      <c r="B22" s="22"/>
      <c r="C22" s="23"/>
      <c r="D22" s="212"/>
      <c r="E22" s="23"/>
      <c r="F22" s="23"/>
      <c r="G22" s="212"/>
    </row>
    <row r="23" spans="1:10" ht="15.75" customHeight="1">
      <c r="B23" s="22"/>
      <c r="C23" s="23"/>
      <c r="D23" s="212"/>
      <c r="E23" s="23"/>
      <c r="F23" s="23"/>
      <c r="G23" s="212"/>
    </row>
    <row r="24" spans="1:10" ht="15.75" customHeight="1">
      <c r="B24" s="22"/>
      <c r="C24" s="23"/>
      <c r="D24" s="212"/>
      <c r="E24" s="23"/>
      <c r="F24" s="23"/>
      <c r="G24" s="212"/>
    </row>
    <row r="25" spans="1:10" ht="15.75" customHeight="1">
      <c r="B25" s="22"/>
      <c r="C25" s="23"/>
      <c r="D25" s="212"/>
      <c r="E25" s="23"/>
      <c r="F25" s="23"/>
      <c r="G25" s="212"/>
    </row>
    <row r="26" spans="1:10" ht="15.75" customHeight="1">
      <c r="B26" s="22"/>
      <c r="C26" s="23"/>
      <c r="D26" s="212"/>
      <c r="E26" s="23"/>
      <c r="F26" s="23"/>
      <c r="G26" s="212"/>
    </row>
    <row r="27" spans="1:10" ht="15.75" customHeight="1">
      <c r="B27" s="22"/>
      <c r="C27" s="23"/>
      <c r="D27" s="212"/>
      <c r="E27" s="23"/>
      <c r="F27" s="23"/>
      <c r="G27" s="212"/>
    </row>
    <row r="28" spans="1:10" ht="15.75" customHeight="1">
      <c r="B28" s="22"/>
      <c r="C28" s="23"/>
      <c r="D28" s="212"/>
      <c r="E28" s="23"/>
      <c r="F28" s="23"/>
      <c r="G28" s="212"/>
    </row>
    <row r="29" spans="1:10" ht="15.75" customHeight="1">
      <c r="B29" s="22"/>
      <c r="C29" s="23"/>
      <c r="D29" s="212"/>
      <c r="E29" s="23"/>
      <c r="F29" s="23"/>
      <c r="G29" s="212"/>
    </row>
    <row r="30" spans="1:10" ht="15.75" customHeight="1">
      <c r="B30" s="22"/>
      <c r="C30" s="23"/>
      <c r="D30" s="212"/>
      <c r="E30" s="23"/>
      <c r="F30" s="23"/>
      <c r="G30" s="212"/>
    </row>
    <row r="31" spans="1:10" ht="15.75" customHeight="1">
      <c r="B31" s="22"/>
      <c r="C31" s="23"/>
      <c r="D31" s="212"/>
      <c r="E31" s="23"/>
      <c r="F31" s="23"/>
      <c r="G31" s="212"/>
    </row>
    <row r="32" spans="1:10" ht="15.75" customHeight="1">
      <c r="B32" s="22"/>
      <c r="C32" s="23"/>
      <c r="D32" s="212"/>
      <c r="E32" s="23"/>
      <c r="F32" s="23"/>
      <c r="G32" s="212"/>
    </row>
    <row r="33" spans="2:7" ht="15.75" customHeight="1">
      <c r="B33" s="22"/>
      <c r="C33" s="23"/>
      <c r="D33" s="212"/>
      <c r="E33" s="23"/>
      <c r="F33" s="23"/>
      <c r="G33" s="212"/>
    </row>
    <row r="34" spans="2:7" ht="15.75" customHeight="1">
      <c r="B34" s="22"/>
      <c r="C34" s="23"/>
      <c r="D34" s="212"/>
      <c r="E34" s="23"/>
      <c r="F34" s="23"/>
      <c r="G34" s="212"/>
    </row>
    <row r="35" spans="2:7" ht="15.75" customHeight="1">
      <c r="B35" s="22"/>
      <c r="C35" s="23"/>
      <c r="D35" s="212"/>
      <c r="E35" s="23"/>
      <c r="F35" s="23"/>
      <c r="G35" s="212"/>
    </row>
    <row r="36" spans="2:7" ht="15.75" customHeight="1">
      <c r="B36" s="22"/>
      <c r="C36" s="23"/>
      <c r="D36" s="212"/>
      <c r="E36" s="23"/>
      <c r="F36" s="23"/>
      <c r="G36" s="212"/>
    </row>
    <row r="37" spans="2:7" ht="15.75" customHeight="1">
      <c r="B37" s="22"/>
      <c r="C37" s="23"/>
      <c r="D37" s="212"/>
      <c r="E37" s="23"/>
      <c r="F37" s="23"/>
      <c r="G37" s="212"/>
    </row>
    <row r="38" spans="2:7" ht="15.75" customHeight="1">
      <c r="B38" s="22"/>
      <c r="C38" s="23"/>
      <c r="D38" s="212"/>
      <c r="E38" s="23"/>
      <c r="F38" s="23"/>
      <c r="G38" s="212"/>
    </row>
    <row r="39" spans="2:7" ht="15.75" customHeight="1">
      <c r="B39" s="22"/>
      <c r="C39" s="23"/>
      <c r="D39" s="212"/>
      <c r="E39" s="23"/>
      <c r="F39" s="23"/>
      <c r="G39" s="212"/>
    </row>
    <row r="40" spans="2:7" ht="15.75" customHeight="1">
      <c r="B40" s="22"/>
      <c r="C40" s="23"/>
      <c r="D40" s="212"/>
      <c r="E40" s="23"/>
      <c r="F40" s="23"/>
      <c r="G40" s="212"/>
    </row>
    <row r="41" spans="2:7" ht="15.75" customHeight="1">
      <c r="B41" s="22"/>
      <c r="C41" s="23"/>
      <c r="D41" s="212"/>
      <c r="E41" s="23"/>
      <c r="F41" s="23"/>
      <c r="G41" s="212"/>
    </row>
    <row r="42" spans="2:7" ht="15.75" customHeight="1">
      <c r="B42" s="22"/>
      <c r="C42" s="23"/>
      <c r="D42" s="212"/>
      <c r="E42" s="23"/>
      <c r="F42" s="23"/>
      <c r="G42" s="212"/>
    </row>
    <row r="43" spans="2:7" ht="15.75" customHeight="1">
      <c r="B43" s="22"/>
      <c r="C43" s="23"/>
      <c r="D43" s="212"/>
      <c r="E43" s="23"/>
      <c r="F43" s="23"/>
      <c r="G43" s="212"/>
    </row>
    <row r="44" spans="2:7" ht="15.75" customHeight="1">
      <c r="B44" s="22"/>
      <c r="C44" s="23"/>
      <c r="D44" s="212"/>
      <c r="E44" s="23"/>
      <c r="F44" s="23"/>
      <c r="G44" s="212"/>
    </row>
    <row r="45" spans="2:7" ht="15.75" customHeight="1">
      <c r="B45" s="22"/>
      <c r="C45" s="23"/>
      <c r="D45" s="212"/>
      <c r="E45" s="23"/>
      <c r="F45" s="23"/>
      <c r="G45" s="212"/>
    </row>
  </sheetData>
  <mergeCells count="10">
    <mergeCell ref="B17:J17"/>
    <mergeCell ref="B16:J16"/>
    <mergeCell ref="A4:J4"/>
    <mergeCell ref="B14:C15"/>
    <mergeCell ref="E14:F15"/>
    <mergeCell ref="H14:I15"/>
    <mergeCell ref="A5:A6"/>
    <mergeCell ref="E5:G5"/>
    <mergeCell ref="H5:J5"/>
    <mergeCell ref="B5:D5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landscape" r:id="rId1"/>
  <headerFooter>
    <oddHeader>&amp;C18903MV01验证数据汇总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A49-0982-4789-B7B9-A940C00C41EE}">
  <sheetPr>
    <tabColor rgb="FF00B050"/>
    <pageSetUpPr fitToPage="1"/>
  </sheetPr>
  <dimension ref="A2:F60"/>
  <sheetViews>
    <sheetView view="pageBreakPreview" zoomScaleNormal="100" zoomScaleSheetLayoutView="100" workbookViewId="0">
      <selection activeCell="K21" sqref="K21"/>
    </sheetView>
  </sheetViews>
  <sheetFormatPr defaultColWidth="8.83203125" defaultRowHeight="13.5"/>
  <cols>
    <col min="1" max="1" width="28.25" style="40" customWidth="1"/>
    <col min="2" max="4" width="21.58203125" style="40" customWidth="1"/>
    <col min="5" max="5" width="14.83203125" style="40" customWidth="1"/>
    <col min="6" max="16384" width="8.83203125" style="40"/>
  </cols>
  <sheetData>
    <row r="2" spans="1:5" ht="15.75" customHeight="1">
      <c r="A2" s="40" t="s">
        <v>514</v>
      </c>
      <c r="E2" s="242"/>
    </row>
    <row r="3" spans="1:5" ht="16" customHeight="1">
      <c r="E3" s="242"/>
    </row>
    <row r="4" spans="1:5" ht="15.75" customHeight="1">
      <c r="A4" s="101" t="s">
        <v>513</v>
      </c>
      <c r="B4" s="126"/>
      <c r="C4" s="126"/>
      <c r="D4" s="102"/>
      <c r="E4" s="242"/>
    </row>
    <row r="5" spans="1:5" ht="15.75" customHeight="1">
      <c r="A5" s="129"/>
      <c r="B5" s="108" t="s">
        <v>512</v>
      </c>
      <c r="C5" s="108"/>
      <c r="D5" s="108"/>
      <c r="E5" s="242"/>
    </row>
    <row r="6" spans="1:5" ht="15.75" customHeight="1">
      <c r="A6" s="129"/>
      <c r="B6" s="34" t="s">
        <v>511</v>
      </c>
      <c r="C6" s="34" t="s">
        <v>510</v>
      </c>
      <c r="D6" s="34" t="s">
        <v>477</v>
      </c>
      <c r="E6" s="242"/>
    </row>
    <row r="7" spans="1:5" ht="15.75" customHeight="1">
      <c r="A7" s="34">
        <v>1</v>
      </c>
      <c r="B7" s="241">
        <v>0.58699100000000004</v>
      </c>
      <c r="C7" s="55">
        <v>0.55765299999999995</v>
      </c>
      <c r="D7" s="59">
        <f>ROUND(B7/C$13*100,1)</f>
        <v>95.4</v>
      </c>
      <c r="E7" s="242"/>
    </row>
    <row r="8" spans="1:5" ht="15.75" customHeight="1">
      <c r="A8" s="34">
        <v>2</v>
      </c>
      <c r="B8" s="241">
        <v>0.59895500000000002</v>
      </c>
      <c r="C8" s="55">
        <v>0.60525600000000002</v>
      </c>
      <c r="D8" s="59">
        <f>ROUND(B8/C$13*100,1)</f>
        <v>97.4</v>
      </c>
    </row>
    <row r="9" spans="1:5" ht="15.75" customHeight="1">
      <c r="A9" s="34">
        <v>3</v>
      </c>
      <c r="B9" s="241">
        <v>0.64963199999999999</v>
      </c>
      <c r="C9" s="55">
        <v>0.62234400000000001</v>
      </c>
      <c r="D9" s="59">
        <f>ROUND(B9/C$13*100,1)</f>
        <v>105.6</v>
      </c>
    </row>
    <row r="10" spans="1:5" ht="15.75" customHeight="1">
      <c r="A10" s="34">
        <v>4</v>
      </c>
      <c r="B10" s="241">
        <v>0.66195000000000004</v>
      </c>
      <c r="C10" s="55">
        <v>0.58164099999999996</v>
      </c>
      <c r="D10" s="59">
        <f>ROUND(B10/C$13*100,1)</f>
        <v>107.6</v>
      </c>
    </row>
    <row r="11" spans="1:5" ht="15.75" customHeight="1">
      <c r="A11" s="34">
        <v>5</v>
      </c>
      <c r="B11" s="241">
        <v>0.65670099999999998</v>
      </c>
      <c r="C11" s="55">
        <v>0.645868</v>
      </c>
      <c r="D11" s="59">
        <f>ROUND(B11/C$13*100,1)</f>
        <v>106.8</v>
      </c>
    </row>
    <row r="12" spans="1:5" ht="15.75" customHeight="1">
      <c r="A12" s="34">
        <v>6</v>
      </c>
      <c r="B12" s="241">
        <v>0.60485</v>
      </c>
      <c r="C12" s="55">
        <v>0.67759599999999998</v>
      </c>
      <c r="D12" s="59">
        <f>ROUND(B12/C$13*100,1)</f>
        <v>98.3</v>
      </c>
    </row>
    <row r="13" spans="1:5" ht="15.75" customHeight="1">
      <c r="A13" s="34" t="s">
        <v>261</v>
      </c>
      <c r="B13" s="70">
        <f>ROUND(AVERAGE(B7:B12),6)</f>
        <v>0.62651299999999999</v>
      </c>
      <c r="C13" s="70">
        <f>ROUND(AVERAGE(C7:C12),6)</f>
        <v>0.61506000000000005</v>
      </c>
      <c r="D13" s="42">
        <f>ROUND(AVERAGE(D7:D12),1)</f>
        <v>101.9</v>
      </c>
    </row>
    <row r="14" spans="1:5" ht="15.75" customHeight="1">
      <c r="A14" s="34" t="s">
        <v>3</v>
      </c>
      <c r="B14" s="70">
        <f>ROUND(STDEV(B7:B12),6)</f>
        <v>3.3142999999999999E-2</v>
      </c>
      <c r="C14" s="70">
        <f>ROUND(STDEV(C7:C12),6)</f>
        <v>4.3408000000000002E-2</v>
      </c>
      <c r="D14" s="42">
        <f>ROUND(STDEV(D7:D12),1)</f>
        <v>5.4</v>
      </c>
    </row>
    <row r="15" spans="1:5" ht="15.75" customHeight="1">
      <c r="A15" s="34" t="s">
        <v>50</v>
      </c>
      <c r="B15" s="42">
        <f>ROUND(B14/B13*100,1)</f>
        <v>5.3</v>
      </c>
      <c r="C15" s="42">
        <f>ROUND(C14/C13*100,1)</f>
        <v>7.1</v>
      </c>
      <c r="D15" s="34">
        <f>ROUND(D14/D13*100,1)</f>
        <v>5.3</v>
      </c>
    </row>
    <row r="16" spans="1:5">
      <c r="A16" s="61"/>
      <c r="B16" s="61"/>
      <c r="C16" s="61"/>
      <c r="D16" s="23"/>
    </row>
    <row r="18" spans="1:6" ht="14">
      <c r="A18" s="49" t="s">
        <v>269</v>
      </c>
      <c r="B18" s="34" t="s">
        <v>270</v>
      </c>
      <c r="C18" s="34" t="s">
        <v>271</v>
      </c>
      <c r="D18" s="41" t="s">
        <v>272</v>
      </c>
    </row>
    <row r="19" spans="1:6" ht="14">
      <c r="A19" s="237" t="s">
        <v>509</v>
      </c>
      <c r="B19" s="236">
        <v>195394</v>
      </c>
      <c r="C19" s="236">
        <v>108962</v>
      </c>
      <c r="D19" s="78">
        <f>ROUND(C19/B19,6)</f>
        <v>0.55765299999999995</v>
      </c>
      <c r="E19" s="240"/>
      <c r="F19" s="240"/>
    </row>
    <row r="20" spans="1:6" ht="14">
      <c r="A20" s="237" t="s">
        <v>508</v>
      </c>
      <c r="B20" s="236">
        <v>198093</v>
      </c>
      <c r="C20" s="236">
        <v>119897</v>
      </c>
      <c r="D20" s="78">
        <f>ROUND(C20/B20,6)</f>
        <v>0.60525600000000002</v>
      </c>
      <c r="E20" s="240"/>
      <c r="F20" s="240"/>
    </row>
    <row r="21" spans="1:6" ht="14">
      <c r="A21" s="237" t="s">
        <v>507</v>
      </c>
      <c r="B21" s="236">
        <v>203598</v>
      </c>
      <c r="C21" s="236">
        <v>126708</v>
      </c>
      <c r="D21" s="78">
        <f>ROUND(C21/B21,6)</f>
        <v>0.62234400000000001</v>
      </c>
      <c r="E21" s="240"/>
      <c r="F21" s="240"/>
    </row>
    <row r="22" spans="1:6" ht="14">
      <c r="A22" s="237" t="s">
        <v>506</v>
      </c>
      <c r="B22" s="236">
        <v>203053</v>
      </c>
      <c r="C22" s="236">
        <v>118104</v>
      </c>
      <c r="D22" s="78">
        <f>ROUND(C22/B22,6)</f>
        <v>0.58164099999999996</v>
      </c>
      <c r="E22" s="240"/>
      <c r="F22" s="240"/>
    </row>
    <row r="23" spans="1:6" ht="14">
      <c r="A23" s="237" t="s">
        <v>505</v>
      </c>
      <c r="B23" s="236">
        <v>199050</v>
      </c>
      <c r="C23" s="236">
        <v>128560</v>
      </c>
      <c r="D23" s="78">
        <f>ROUND(C23/B23,6)</f>
        <v>0.645868</v>
      </c>
      <c r="E23" s="240"/>
      <c r="F23" s="240"/>
    </row>
    <row r="24" spans="1:6" ht="14">
      <c r="A24" s="237" t="s">
        <v>504</v>
      </c>
      <c r="B24" s="236">
        <v>201319</v>
      </c>
      <c r="C24" s="236">
        <v>136413</v>
      </c>
      <c r="D24" s="78">
        <f>ROUND(C24/B24,6)</f>
        <v>0.67759599999999998</v>
      </c>
      <c r="E24" s="240"/>
      <c r="F24" s="240"/>
    </row>
    <row r="25" spans="1:6" ht="14">
      <c r="A25" s="237" t="s">
        <v>503</v>
      </c>
      <c r="B25" s="236">
        <v>197303</v>
      </c>
      <c r="C25" s="236">
        <v>115815</v>
      </c>
      <c r="D25" s="78">
        <f>ROUND(C25/B25,6)</f>
        <v>0.58699100000000004</v>
      </c>
      <c r="E25" s="240"/>
      <c r="F25" s="240"/>
    </row>
    <row r="26" spans="1:6" ht="14">
      <c r="A26" s="237" t="s">
        <v>502</v>
      </c>
      <c r="B26" s="236">
        <v>195362</v>
      </c>
      <c r="C26" s="236">
        <v>117013</v>
      </c>
      <c r="D26" s="78">
        <f>ROUND(C26/B26,6)</f>
        <v>0.59895500000000002</v>
      </c>
      <c r="E26" s="240"/>
      <c r="F26" s="240"/>
    </row>
    <row r="27" spans="1:6" ht="14">
      <c r="A27" s="237" t="s">
        <v>501</v>
      </c>
      <c r="B27" s="236">
        <v>200341</v>
      </c>
      <c r="C27" s="236">
        <v>130148</v>
      </c>
      <c r="D27" s="78">
        <f>ROUND(C27/B27,6)</f>
        <v>0.64963199999999999</v>
      </c>
      <c r="E27" s="240"/>
      <c r="F27" s="240"/>
    </row>
    <row r="28" spans="1:6" ht="14">
      <c r="A28" s="237" t="s">
        <v>500</v>
      </c>
      <c r="B28" s="236">
        <v>201482</v>
      </c>
      <c r="C28" s="236">
        <v>133371</v>
      </c>
      <c r="D28" s="78">
        <f>ROUND(C28/B28,6)</f>
        <v>0.66195000000000004</v>
      </c>
      <c r="E28" s="240"/>
      <c r="F28" s="240"/>
    </row>
    <row r="29" spans="1:6" ht="14">
      <c r="A29" s="237" t="s">
        <v>499</v>
      </c>
      <c r="B29" s="236">
        <v>201798</v>
      </c>
      <c r="C29" s="236">
        <v>132521</v>
      </c>
      <c r="D29" s="78">
        <f>ROUND(C29/B29,6)</f>
        <v>0.65670099999999998</v>
      </c>
      <c r="E29" s="240"/>
      <c r="F29" s="240"/>
    </row>
    <row r="30" spans="1:6" ht="14">
      <c r="A30" s="235" t="s">
        <v>498</v>
      </c>
      <c r="B30" s="234">
        <v>197163</v>
      </c>
      <c r="C30" s="234">
        <v>119254</v>
      </c>
      <c r="D30" s="79">
        <f>ROUND(C30/B30,6)</f>
        <v>0.60485</v>
      </c>
      <c r="E30" s="240"/>
      <c r="F30" s="240"/>
    </row>
    <row r="31" spans="1:6">
      <c r="A31" s="23"/>
      <c r="B31" s="239"/>
      <c r="C31" s="239"/>
      <c r="D31" s="238"/>
    </row>
    <row r="33" spans="1:4" ht="15.75" customHeight="1"/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8" spans="1:4" ht="14">
      <c r="A48" s="49" t="s">
        <v>269</v>
      </c>
      <c r="B48" s="34" t="s">
        <v>270</v>
      </c>
      <c r="C48" s="34" t="s">
        <v>271</v>
      </c>
      <c r="D48" s="41" t="s">
        <v>272</v>
      </c>
    </row>
    <row r="49" spans="1:4">
      <c r="A49" s="237" t="s">
        <v>497</v>
      </c>
      <c r="B49" s="236">
        <v>95011</v>
      </c>
      <c r="C49" s="236">
        <v>87119</v>
      </c>
      <c r="D49" s="78">
        <f>ROUND(C49/B49,6)</f>
        <v>0.91693599999999997</v>
      </c>
    </row>
    <row r="50" spans="1:4">
      <c r="A50" s="237" t="s">
        <v>496</v>
      </c>
      <c r="B50" s="236">
        <v>93194</v>
      </c>
      <c r="C50" s="236">
        <v>87249</v>
      </c>
      <c r="D50" s="78">
        <f>ROUND(C50/B50,6)</f>
        <v>0.93620800000000004</v>
      </c>
    </row>
    <row r="51" spans="1:4">
      <c r="A51" s="237" t="s">
        <v>495</v>
      </c>
      <c r="B51" s="236">
        <v>93575</v>
      </c>
      <c r="C51" s="236">
        <v>88368</v>
      </c>
      <c r="D51" s="78">
        <f>ROUND(C51/B51,6)</f>
        <v>0.94435500000000006</v>
      </c>
    </row>
    <row r="52" spans="1:4">
      <c r="A52" s="237" t="s">
        <v>494</v>
      </c>
      <c r="B52" s="236">
        <v>89623</v>
      </c>
      <c r="C52" s="236">
        <v>85678</v>
      </c>
      <c r="D52" s="78">
        <f>ROUND(C52/B52,6)</f>
        <v>0.955982</v>
      </c>
    </row>
    <row r="53" spans="1:4">
      <c r="A53" s="237" t="s">
        <v>493</v>
      </c>
      <c r="B53" s="236">
        <v>89621</v>
      </c>
      <c r="C53" s="236">
        <v>85684</v>
      </c>
      <c r="D53" s="78">
        <f>ROUND(C53/B53,6)</f>
        <v>0.956071</v>
      </c>
    </row>
    <row r="54" spans="1:4">
      <c r="A54" s="237" t="s">
        <v>492</v>
      </c>
      <c r="B54" s="236">
        <v>90427</v>
      </c>
      <c r="C54" s="236">
        <v>85896</v>
      </c>
      <c r="D54" s="78">
        <f>ROUND(C54/B54,6)</f>
        <v>0.94989299999999999</v>
      </c>
    </row>
    <row r="55" spans="1:4">
      <c r="A55" s="237" t="s">
        <v>491</v>
      </c>
      <c r="B55" s="236">
        <v>86198</v>
      </c>
      <c r="C55" s="236">
        <v>83691</v>
      </c>
      <c r="D55" s="78">
        <f>ROUND(C55/B55,6)</f>
        <v>0.970916</v>
      </c>
    </row>
    <row r="56" spans="1:4">
      <c r="A56" s="237" t="s">
        <v>490</v>
      </c>
      <c r="B56" s="236">
        <v>92236</v>
      </c>
      <c r="C56" s="236">
        <v>91004</v>
      </c>
      <c r="D56" s="78">
        <f>ROUND(C56/B56,6)</f>
        <v>0.98664300000000005</v>
      </c>
    </row>
    <row r="57" spans="1:4">
      <c r="A57" s="237" t="s">
        <v>489</v>
      </c>
      <c r="B57" s="236">
        <v>97144</v>
      </c>
      <c r="C57" s="236">
        <v>90654</v>
      </c>
      <c r="D57" s="78">
        <f>ROUND(C57/B57,6)</f>
        <v>0.93319200000000002</v>
      </c>
    </row>
    <row r="58" spans="1:4">
      <c r="A58" s="237" t="s">
        <v>488</v>
      </c>
      <c r="B58" s="236">
        <v>95624</v>
      </c>
      <c r="C58" s="236">
        <v>89523</v>
      </c>
      <c r="D58" s="78">
        <f>ROUND(C58/B58,6)</f>
        <v>0.93619799999999997</v>
      </c>
    </row>
    <row r="59" spans="1:4">
      <c r="A59" s="237" t="s">
        <v>487</v>
      </c>
      <c r="B59" s="236">
        <v>97463</v>
      </c>
      <c r="C59" s="236">
        <v>90549</v>
      </c>
      <c r="D59" s="78">
        <f>ROUND(C59/B59,6)</f>
        <v>0.92906</v>
      </c>
    </row>
    <row r="60" spans="1:4">
      <c r="A60" s="235" t="s">
        <v>486</v>
      </c>
      <c r="B60" s="234">
        <v>93513</v>
      </c>
      <c r="C60" s="234">
        <v>88969</v>
      </c>
      <c r="D60" s="79">
        <f>ROUND(C60/B60,6)</f>
        <v>0.95140800000000003</v>
      </c>
    </row>
  </sheetData>
  <mergeCells count="3">
    <mergeCell ref="A4:D4"/>
    <mergeCell ref="A5:A6"/>
    <mergeCell ref="B5:D5"/>
  </mergeCells>
  <phoneticPr fontId="16" type="noConversion"/>
  <conditionalFormatting sqref="G19:H30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91" orientation="portrait" r:id="rId1"/>
  <headerFooter>
    <oddHeader>&amp;C 1632MV7生物分析方法学验证数据</oddHeader>
    <oddFooter>&amp;C第&amp;P页，共&amp;N页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DF-8DDF-4459-99B4-6100BD71B2A5}">
  <sheetPr>
    <tabColor rgb="FF00B050"/>
    <pageSetUpPr fitToPage="1"/>
  </sheetPr>
  <dimension ref="A2:F39"/>
  <sheetViews>
    <sheetView view="pageBreakPreview" zoomScaleNormal="100" zoomScaleSheetLayoutView="100" workbookViewId="0">
      <selection activeCell="G19" sqref="G19"/>
    </sheetView>
  </sheetViews>
  <sheetFormatPr defaultColWidth="8.83203125" defaultRowHeight="13.5"/>
  <cols>
    <col min="1" max="1" width="17" style="3" customWidth="1"/>
    <col min="2" max="2" width="17.58203125" style="40" customWidth="1"/>
    <col min="3" max="3" width="20" style="3" customWidth="1"/>
    <col min="4" max="4" width="17.58203125" style="3" customWidth="1"/>
    <col min="5" max="5" width="16" style="3" customWidth="1"/>
    <col min="6" max="6" width="15.25" style="3" customWidth="1"/>
    <col min="7" max="16384" width="8.83203125" style="3"/>
  </cols>
  <sheetData>
    <row r="2" spans="1:6">
      <c r="A2" s="105" t="s">
        <v>518</v>
      </c>
      <c r="B2" s="105"/>
      <c r="C2" s="105"/>
      <c r="D2" s="105"/>
    </row>
    <row r="3" spans="1:6">
      <c r="A3" s="32"/>
      <c r="B3" s="32"/>
      <c r="C3" s="32"/>
      <c r="D3" s="32"/>
    </row>
    <row r="4" spans="1:6">
      <c r="A4" s="40" t="s">
        <v>517</v>
      </c>
    </row>
    <row r="5" spans="1:6" ht="15" customHeight="1">
      <c r="A5" s="114" t="s">
        <v>34</v>
      </c>
      <c r="B5" s="114" t="s">
        <v>23</v>
      </c>
      <c r="C5" s="34" t="s">
        <v>516</v>
      </c>
      <c r="D5" s="114" t="s">
        <v>53</v>
      </c>
    </row>
    <row r="6" spans="1:6" ht="15" customHeight="1">
      <c r="A6" s="125"/>
      <c r="B6" s="125"/>
      <c r="C6" s="50">
        <v>375000</v>
      </c>
      <c r="D6" s="125"/>
    </row>
    <row r="7" spans="1:6" ht="15" customHeight="1">
      <c r="A7" s="115"/>
      <c r="B7" s="115"/>
      <c r="C7" s="51" t="s">
        <v>515</v>
      </c>
      <c r="D7" s="115"/>
    </row>
    <row r="8" spans="1:6" ht="15" customHeight="1">
      <c r="A8" s="127">
        <v>45367</v>
      </c>
      <c r="B8" s="114">
        <v>1</v>
      </c>
      <c r="C8" s="67">
        <v>392960.04300000001</v>
      </c>
      <c r="D8" s="42">
        <f>ROUND((C8-C$6)/C$6*100,1)</f>
        <v>4.8</v>
      </c>
      <c r="E8" s="1"/>
      <c r="F8" s="40"/>
    </row>
    <row r="9" spans="1:6" ht="15" customHeight="1">
      <c r="A9" s="127"/>
      <c r="B9" s="125"/>
      <c r="C9" s="67">
        <v>420985.74400000001</v>
      </c>
      <c r="D9" s="42">
        <f>ROUND((C9-C$6)/C$6*100,1)</f>
        <v>12.3</v>
      </c>
      <c r="E9" s="1"/>
      <c r="F9" s="40"/>
    </row>
    <row r="10" spans="1:6" ht="15" customHeight="1">
      <c r="A10" s="127"/>
      <c r="B10" s="125"/>
      <c r="C10" s="67">
        <v>387882.73</v>
      </c>
      <c r="D10" s="42">
        <f>ROUND((C10-C$6)/C$6*100,1)</f>
        <v>3.4</v>
      </c>
      <c r="E10" s="1"/>
      <c r="F10" s="40"/>
    </row>
    <row r="11" spans="1:6" ht="15" customHeight="1">
      <c r="A11" s="127"/>
      <c r="B11" s="125"/>
      <c r="C11" s="67">
        <v>406442.56699999998</v>
      </c>
      <c r="D11" s="42">
        <f>ROUND((C11-C$6)/C$6*100,1)</f>
        <v>8.4</v>
      </c>
      <c r="E11" s="1"/>
      <c r="F11" s="40"/>
    </row>
    <row r="12" spans="1:6" ht="15" customHeight="1">
      <c r="A12" s="127"/>
      <c r="B12" s="125"/>
      <c r="C12" s="67">
        <v>417119.43</v>
      </c>
      <c r="D12" s="42">
        <f>ROUND((C12-C$6)/C$6*100,1)</f>
        <v>11.2</v>
      </c>
      <c r="E12" s="1"/>
      <c r="F12" s="40"/>
    </row>
    <row r="13" spans="1:6" ht="15" customHeight="1">
      <c r="A13" s="127"/>
      <c r="B13" s="115"/>
      <c r="C13" s="67">
        <v>414608.57699999999</v>
      </c>
      <c r="D13" s="42">
        <f>ROUND((C13-C$6)/C$6*100,1)</f>
        <v>10.6</v>
      </c>
      <c r="E13" s="1"/>
      <c r="F13" s="40"/>
    </row>
    <row r="14" spans="1:6" ht="15" customHeight="1">
      <c r="A14" s="34" t="s">
        <v>261</v>
      </c>
      <c r="B14" s="119"/>
      <c r="C14" s="52">
        <f>ROUND(AVERAGE(C8:C13),3)</f>
        <v>406666.51500000001</v>
      </c>
      <c r="D14" s="119"/>
    </row>
    <row r="15" spans="1:6" ht="15" customHeight="1">
      <c r="A15" s="34" t="s">
        <v>3</v>
      </c>
      <c r="B15" s="120"/>
      <c r="C15" s="52">
        <f>ROUND(STDEV(C8:C13),3)</f>
        <v>13550.853999999999</v>
      </c>
      <c r="D15" s="120"/>
    </row>
    <row r="16" spans="1:6" ht="15" customHeight="1">
      <c r="A16" s="34" t="s">
        <v>50</v>
      </c>
      <c r="B16" s="120"/>
      <c r="C16" s="34">
        <f>ROUND(C15/C14*100,1)</f>
        <v>3.3</v>
      </c>
      <c r="D16" s="120"/>
    </row>
    <row r="17" spans="1:4" ht="15" customHeight="1">
      <c r="A17" s="34" t="s">
        <v>51</v>
      </c>
      <c r="B17" s="120"/>
      <c r="C17" s="42">
        <f>ROUND(C14/C$6*100,1)</f>
        <v>108.4</v>
      </c>
      <c r="D17" s="120"/>
    </row>
    <row r="18" spans="1:4" ht="15" customHeight="1">
      <c r="A18" s="34" t="s">
        <v>5</v>
      </c>
      <c r="B18" s="121"/>
      <c r="C18" s="34">
        <v>6</v>
      </c>
      <c r="D18" s="121"/>
    </row>
    <row r="19" spans="1:4">
      <c r="A19" s="61"/>
      <c r="B19" s="61"/>
      <c r="C19" s="61"/>
      <c r="D19" s="61"/>
    </row>
    <row r="20" spans="1:4">
      <c r="B20" s="3"/>
    </row>
    <row r="21" spans="1:4">
      <c r="B21" s="3"/>
    </row>
    <row r="22" spans="1:4" ht="15" customHeight="1">
      <c r="B22" s="3"/>
    </row>
    <row r="23" spans="1:4" ht="15" customHeight="1">
      <c r="B23" s="3"/>
    </row>
    <row r="24" spans="1:4" ht="15" customHeight="1">
      <c r="B24" s="3"/>
    </row>
    <row r="25" spans="1:4" ht="15" customHeight="1">
      <c r="B25" s="3"/>
    </row>
    <row r="26" spans="1:4" ht="15" customHeight="1">
      <c r="B26" s="3"/>
    </row>
    <row r="27" spans="1:4" ht="15" customHeight="1">
      <c r="B27" s="3"/>
    </row>
    <row r="28" spans="1:4" ht="15" customHeight="1">
      <c r="B28" s="3"/>
    </row>
    <row r="29" spans="1:4" ht="15" customHeight="1">
      <c r="B29" s="3"/>
    </row>
    <row r="30" spans="1:4" ht="15" customHeight="1">
      <c r="B30" s="3"/>
    </row>
    <row r="31" spans="1:4" ht="15" customHeight="1">
      <c r="B31" s="3"/>
    </row>
    <row r="32" spans="1:4" ht="15" customHeight="1">
      <c r="B32" s="3"/>
    </row>
    <row r="33" s="3" customFormat="1" ht="15" customHeight="1"/>
    <row r="34" s="3" customFormat="1" ht="15" customHeight="1"/>
    <row r="35" s="3" customFormat="1" ht="15" customHeight="1"/>
    <row r="36" s="3" customFormat="1"/>
    <row r="37" s="3" customFormat="1"/>
    <row r="38" s="3" customFormat="1"/>
    <row r="39" s="3" customFormat="1"/>
  </sheetData>
  <mergeCells count="8">
    <mergeCell ref="A2:D2"/>
    <mergeCell ref="B14:B18"/>
    <mergeCell ref="D5:D7"/>
    <mergeCell ref="B5:B7"/>
    <mergeCell ref="A5:A7"/>
    <mergeCell ref="A8:A13"/>
    <mergeCell ref="B8:B13"/>
    <mergeCell ref="D14:D18"/>
  </mergeCells>
  <phoneticPr fontId="16" type="noConversion"/>
  <conditionalFormatting sqref="F8:F13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M56"/>
  <sheetViews>
    <sheetView view="pageBreakPreview" zoomScaleNormal="100" zoomScaleSheetLayoutView="100" workbookViewId="0">
      <selection activeCell="F20" sqref="F20"/>
    </sheetView>
  </sheetViews>
  <sheetFormatPr defaultColWidth="8.83203125" defaultRowHeight="13.5"/>
  <cols>
    <col min="1" max="1" width="15.33203125" style="3" customWidth="1"/>
    <col min="2" max="2" width="12.5" style="3" customWidth="1"/>
    <col min="3" max="3" width="15.83203125" style="3" customWidth="1"/>
    <col min="4" max="4" width="12.83203125" style="3" customWidth="1"/>
    <col min="5" max="5" width="15.58203125" style="3" customWidth="1"/>
    <col min="6" max="6" width="15.33203125" style="3" customWidth="1"/>
    <col min="7" max="7" width="15.58203125" style="3" customWidth="1"/>
    <col min="8" max="8" width="8.83203125" style="3"/>
    <col min="9" max="9" width="13.08203125" style="3" customWidth="1"/>
    <col min="10" max="10" width="15.83203125" style="3" customWidth="1"/>
    <col min="11" max="16384" width="8.83203125" style="3"/>
  </cols>
  <sheetData>
    <row r="2" spans="1:12">
      <c r="A2" s="3" t="s">
        <v>38</v>
      </c>
    </row>
    <row r="4" spans="1:12">
      <c r="I4" s="23" t="s">
        <v>62</v>
      </c>
      <c r="J4" s="74">
        <v>45434.75</v>
      </c>
    </row>
    <row r="5" spans="1:12" s="40" customFormat="1" ht="15" customHeight="1">
      <c r="A5" s="101" t="s">
        <v>276</v>
      </c>
      <c r="B5" s="126"/>
      <c r="C5" s="126"/>
      <c r="D5" s="126"/>
      <c r="E5" s="126"/>
      <c r="F5" s="126"/>
      <c r="G5" s="102"/>
      <c r="I5" s="23" t="s">
        <v>63</v>
      </c>
      <c r="J5" s="74">
        <v>45435.376388888886</v>
      </c>
    </row>
    <row r="6" spans="1:12" s="40" customFormat="1" ht="15" customHeight="1">
      <c r="A6" s="129"/>
      <c r="B6" s="109" t="s">
        <v>0</v>
      </c>
      <c r="C6" s="111"/>
      <c r="D6" s="108" t="s">
        <v>4</v>
      </c>
      <c r="E6" s="108"/>
      <c r="F6" s="108" t="s">
        <v>22</v>
      </c>
      <c r="G6" s="108"/>
      <c r="I6" s="23" t="s">
        <v>58</v>
      </c>
      <c r="J6" s="75">
        <f>(J5-J4)*24</f>
        <v>15.033333333267365</v>
      </c>
    </row>
    <row r="7" spans="1:12" s="40" customFormat="1" ht="15" customHeight="1">
      <c r="A7" s="129"/>
      <c r="B7" s="109" t="s">
        <v>278</v>
      </c>
      <c r="C7" s="111"/>
      <c r="D7" s="108" t="s">
        <v>268</v>
      </c>
      <c r="E7" s="108"/>
      <c r="F7" s="108" t="s">
        <v>277</v>
      </c>
      <c r="G7" s="108"/>
    </row>
    <row r="8" spans="1:12" s="40" customFormat="1" ht="15" customHeight="1">
      <c r="A8" s="129"/>
      <c r="B8" s="109" t="s">
        <v>52</v>
      </c>
      <c r="C8" s="111"/>
      <c r="D8" s="108" t="s">
        <v>52</v>
      </c>
      <c r="E8" s="108"/>
      <c r="F8" s="108" t="s">
        <v>52</v>
      </c>
      <c r="G8" s="108"/>
      <c r="I8" s="3"/>
      <c r="J8" s="3"/>
      <c r="K8" s="3"/>
      <c r="L8" s="3"/>
    </row>
    <row r="9" spans="1:12" s="40" customFormat="1" ht="15" customHeight="1">
      <c r="A9" s="129"/>
      <c r="B9" s="76">
        <v>1</v>
      </c>
      <c r="C9" s="34" t="s">
        <v>28</v>
      </c>
      <c r="D9" s="76">
        <v>500</v>
      </c>
      <c r="E9" s="34" t="s">
        <v>14</v>
      </c>
      <c r="F9" s="76">
        <v>250</v>
      </c>
      <c r="G9" s="34" t="s">
        <v>28</v>
      </c>
      <c r="I9" s="3"/>
      <c r="J9" s="3"/>
      <c r="K9" s="3"/>
      <c r="L9" s="3"/>
    </row>
    <row r="10" spans="1:12" s="40" customFormat="1" ht="15" customHeight="1">
      <c r="A10" s="129"/>
      <c r="B10" s="109" t="s">
        <v>29</v>
      </c>
      <c r="C10" s="111"/>
      <c r="D10" s="108" t="s">
        <v>29</v>
      </c>
      <c r="E10" s="108"/>
      <c r="F10" s="108" t="s">
        <v>29</v>
      </c>
      <c r="G10" s="108"/>
      <c r="I10" s="3"/>
      <c r="J10" s="3"/>
      <c r="K10" s="3"/>
      <c r="L10" s="3"/>
    </row>
    <row r="11" spans="1:12" s="40" customFormat="1" ht="15" customHeight="1">
      <c r="A11" s="129"/>
      <c r="B11" s="34" t="s">
        <v>279</v>
      </c>
      <c r="C11" s="34" t="s">
        <v>30</v>
      </c>
      <c r="D11" s="34" t="s">
        <v>279</v>
      </c>
      <c r="E11" s="34" t="s">
        <v>30</v>
      </c>
      <c r="F11" s="34" t="s">
        <v>33</v>
      </c>
      <c r="G11" s="34" t="s">
        <v>30</v>
      </c>
      <c r="I11" s="3"/>
      <c r="J11" s="3"/>
      <c r="K11" s="3"/>
      <c r="L11" s="3"/>
    </row>
    <row r="12" spans="1:12" s="40" customFormat="1" ht="15" customHeight="1">
      <c r="A12" s="34">
        <v>1</v>
      </c>
      <c r="B12" s="70">
        <v>4.478E-2</v>
      </c>
      <c r="C12" s="70">
        <v>4.4011000000000002E-2</v>
      </c>
      <c r="D12" s="70">
        <v>1.2001649999999999</v>
      </c>
      <c r="E12" s="70">
        <v>1.1079129999999999</v>
      </c>
      <c r="F12" s="70">
        <v>0.88432299999999997</v>
      </c>
      <c r="G12" s="70">
        <v>0.86278600000000005</v>
      </c>
      <c r="I12" s="3"/>
      <c r="J12" s="3"/>
      <c r="K12" s="3"/>
      <c r="L12" s="3"/>
    </row>
    <row r="13" spans="1:12" s="40" customFormat="1" ht="15" customHeight="1">
      <c r="A13" s="34">
        <v>2</v>
      </c>
      <c r="B13" s="70">
        <v>4.7098000000000001E-2</v>
      </c>
      <c r="C13" s="70">
        <v>4.1766999999999999E-2</v>
      </c>
      <c r="D13" s="70">
        <v>1.20845</v>
      </c>
      <c r="E13" s="70">
        <v>1.1313070000000001</v>
      </c>
      <c r="F13" s="70">
        <v>0.88132600000000005</v>
      </c>
      <c r="G13" s="70">
        <v>0.87380100000000005</v>
      </c>
      <c r="I13" s="3"/>
      <c r="J13" s="3"/>
      <c r="K13" s="3"/>
      <c r="L13" s="3"/>
    </row>
    <row r="14" spans="1:12" s="40" customFormat="1" ht="15" customHeight="1">
      <c r="A14" s="34">
        <v>3</v>
      </c>
      <c r="B14" s="70">
        <v>4.8431000000000002E-2</v>
      </c>
      <c r="C14" s="70">
        <v>4.5192999999999997E-2</v>
      </c>
      <c r="D14" s="70">
        <v>1.168488</v>
      </c>
      <c r="E14" s="70">
        <v>1.0963700000000001</v>
      </c>
      <c r="F14" s="70">
        <v>0.85271300000000005</v>
      </c>
      <c r="G14" s="70">
        <v>0.85075999999999996</v>
      </c>
      <c r="I14" s="3"/>
      <c r="J14" s="3"/>
      <c r="K14" s="3"/>
      <c r="L14" s="3"/>
    </row>
    <row r="15" spans="1:12" s="40" customFormat="1" ht="15" customHeight="1">
      <c r="A15" s="34">
        <v>4</v>
      </c>
      <c r="B15" s="70">
        <v>4.8459000000000002E-2</v>
      </c>
      <c r="C15" s="70">
        <v>4.2099999999999999E-2</v>
      </c>
      <c r="D15" s="70">
        <v>1.1835169999999999</v>
      </c>
      <c r="E15" s="70">
        <v>1.1001590000000001</v>
      </c>
      <c r="F15" s="70">
        <v>0.86894400000000005</v>
      </c>
      <c r="G15" s="70">
        <v>0.87809099999999995</v>
      </c>
      <c r="I15" s="3"/>
      <c r="J15" s="3"/>
      <c r="K15" s="3"/>
      <c r="L15" s="3"/>
    </row>
    <row r="16" spans="1:12" s="40" customFormat="1" ht="15" customHeight="1">
      <c r="A16" s="34">
        <v>5</v>
      </c>
      <c r="B16" s="70">
        <v>4.6628999999999997E-2</v>
      </c>
      <c r="C16" s="70">
        <v>4.3307999999999999E-2</v>
      </c>
      <c r="D16" s="70">
        <v>1.203444</v>
      </c>
      <c r="E16" s="70">
        <v>1.1153109999999999</v>
      </c>
      <c r="F16" s="70">
        <v>0.89182700000000004</v>
      </c>
      <c r="G16" s="70">
        <v>0.84581600000000001</v>
      </c>
      <c r="I16" s="3"/>
      <c r="J16" s="3"/>
      <c r="K16" s="3"/>
      <c r="L16" s="3"/>
    </row>
    <row r="17" spans="1:13" s="40" customFormat="1" ht="15" customHeight="1">
      <c r="A17" s="34">
        <v>6</v>
      </c>
      <c r="B17" s="70">
        <v>4.7759000000000003E-2</v>
      </c>
      <c r="C17" s="70">
        <v>4.4067000000000002E-2</v>
      </c>
      <c r="D17" s="70">
        <v>1.204364</v>
      </c>
      <c r="E17" s="70">
        <v>1.0963510000000001</v>
      </c>
      <c r="F17" s="70">
        <v>0.88292899999999996</v>
      </c>
      <c r="G17" s="70">
        <v>0.85542499999999999</v>
      </c>
      <c r="I17" s="3"/>
      <c r="J17" s="3"/>
      <c r="K17" s="3"/>
      <c r="L17" s="3"/>
    </row>
    <row r="18" spans="1:13" s="40" customFormat="1" ht="15" customHeight="1">
      <c r="A18" s="34" t="s">
        <v>27</v>
      </c>
      <c r="B18" s="71">
        <f t="shared" ref="B18:G18" si="0">ROUND(AVERAGE(B12:B17),6)</f>
        <v>4.7192999999999999E-2</v>
      </c>
      <c r="C18" s="71">
        <f t="shared" si="0"/>
        <v>4.3408000000000002E-2</v>
      </c>
      <c r="D18" s="71">
        <f t="shared" si="0"/>
        <v>1.1947380000000001</v>
      </c>
      <c r="E18" s="71">
        <f t="shared" si="0"/>
        <v>1.1079019999999999</v>
      </c>
      <c r="F18" s="71">
        <f t="shared" si="0"/>
        <v>0.87700999999999996</v>
      </c>
      <c r="G18" s="71">
        <f t="shared" si="0"/>
        <v>0.86111300000000002</v>
      </c>
      <c r="I18" s="3"/>
      <c r="J18" s="3"/>
      <c r="K18" s="3"/>
      <c r="L18" s="3"/>
    </row>
    <row r="19" spans="1:13" s="40" customFormat="1" ht="15" customHeight="1">
      <c r="A19" s="34" t="s">
        <v>3</v>
      </c>
      <c r="B19" s="71">
        <f t="shared" ref="B19:G19" si="1">ROUND(STDEV(B12:B17),6)</f>
        <v>1.3860000000000001E-3</v>
      </c>
      <c r="C19" s="71">
        <f t="shared" si="1"/>
        <v>1.2960000000000001E-3</v>
      </c>
      <c r="D19" s="71">
        <f t="shared" si="1"/>
        <v>1.5498E-2</v>
      </c>
      <c r="E19" s="71">
        <f t="shared" si="1"/>
        <v>1.3631000000000001E-2</v>
      </c>
      <c r="F19" s="71">
        <f t="shared" si="1"/>
        <v>1.4015E-2</v>
      </c>
      <c r="G19" s="71">
        <f t="shared" si="1"/>
        <v>1.285E-2</v>
      </c>
      <c r="I19" s="3"/>
      <c r="J19" s="3"/>
      <c r="K19" s="3"/>
      <c r="L19" s="3"/>
    </row>
    <row r="20" spans="1:13" s="40" customFormat="1" ht="15" customHeight="1">
      <c r="A20" s="34" t="s">
        <v>49</v>
      </c>
      <c r="B20" s="72">
        <f>ROUND(B19/B18*100,1)</f>
        <v>2.9</v>
      </c>
      <c r="C20" s="72">
        <f>ROUND(C19/C18*100,1)</f>
        <v>3</v>
      </c>
      <c r="D20" s="72">
        <f>ROUND(D19/D18*100,1)</f>
        <v>1.3</v>
      </c>
      <c r="E20" s="72">
        <f>ROUND(E19/E18*100,1)</f>
        <v>1.2</v>
      </c>
      <c r="F20" s="72">
        <f>ROUND(F19/F18*100,1)</f>
        <v>1.6</v>
      </c>
      <c r="G20" s="72">
        <f t="shared" ref="G20" si="2">ROUND(G19/G18*100,1)</f>
        <v>1.5</v>
      </c>
      <c r="H20" s="3"/>
      <c r="I20" s="3"/>
      <c r="J20" s="3"/>
      <c r="K20" s="3"/>
      <c r="L20" s="3"/>
    </row>
    <row r="21" spans="1:13">
      <c r="A21" s="73" t="s">
        <v>48</v>
      </c>
      <c r="B21" s="145">
        <f>ROUND((C18-B18)/B18*100,1)</f>
        <v>-8</v>
      </c>
      <c r="C21" s="145"/>
      <c r="D21" s="145">
        <f>ROUND((E18-D18)/D18*100,1)</f>
        <v>-7.3</v>
      </c>
      <c r="E21" s="145"/>
      <c r="F21" s="145">
        <f>ROUND((G18-F18)/F18*100,1)</f>
        <v>-1.8</v>
      </c>
      <c r="G21" s="145"/>
    </row>
    <row r="23" spans="1:13" ht="27.5">
      <c r="B23" s="49" t="s">
        <v>269</v>
      </c>
      <c r="C23" s="34" t="s">
        <v>270</v>
      </c>
      <c r="D23" s="34" t="s">
        <v>271</v>
      </c>
      <c r="E23" s="41" t="s">
        <v>280</v>
      </c>
    </row>
    <row r="24" spans="1:13" ht="14">
      <c r="B24" s="88" t="s">
        <v>157</v>
      </c>
      <c r="C24" s="89">
        <v>640983</v>
      </c>
      <c r="D24" s="89">
        <v>566836</v>
      </c>
      <c r="E24" s="77">
        <f>ROUND(D24/C24,6)</f>
        <v>0.88432299999999997</v>
      </c>
      <c r="M24" s="25"/>
    </row>
    <row r="25" spans="1:13" ht="14">
      <c r="B25" s="88" t="s">
        <v>158</v>
      </c>
      <c r="C25" s="89">
        <v>649572</v>
      </c>
      <c r="D25" s="89">
        <v>572485</v>
      </c>
      <c r="E25" s="78">
        <f t="shared" ref="E25:E29" si="3">ROUND(D25/C25,6)</f>
        <v>0.88132600000000005</v>
      </c>
      <c r="M25" s="25"/>
    </row>
    <row r="26" spans="1:13" ht="14">
      <c r="B26" s="88" t="s">
        <v>159</v>
      </c>
      <c r="C26" s="89">
        <v>661767</v>
      </c>
      <c r="D26" s="89">
        <v>564297</v>
      </c>
      <c r="E26" s="78">
        <f t="shared" si="3"/>
        <v>0.85271300000000005</v>
      </c>
      <c r="M26" s="25"/>
    </row>
    <row r="27" spans="1:13" ht="14">
      <c r="B27" s="88" t="s">
        <v>160</v>
      </c>
      <c r="C27" s="89">
        <v>660079</v>
      </c>
      <c r="D27" s="89">
        <v>573572</v>
      </c>
      <c r="E27" s="78">
        <f t="shared" si="3"/>
        <v>0.86894400000000005</v>
      </c>
      <c r="M27" s="25"/>
    </row>
    <row r="28" spans="1:13" ht="14">
      <c r="B28" s="88" t="s">
        <v>161</v>
      </c>
      <c r="C28" s="89">
        <v>636109</v>
      </c>
      <c r="D28" s="89">
        <v>567299</v>
      </c>
      <c r="E28" s="78">
        <f t="shared" si="3"/>
        <v>0.89182700000000004</v>
      </c>
      <c r="M28" s="25"/>
    </row>
    <row r="29" spans="1:13" ht="14">
      <c r="B29" s="88" t="s">
        <v>162</v>
      </c>
      <c r="C29" s="89">
        <v>651878</v>
      </c>
      <c r="D29" s="89">
        <v>575562</v>
      </c>
      <c r="E29" s="78">
        <f t="shared" si="3"/>
        <v>0.88292899999999996</v>
      </c>
      <c r="M29" s="25"/>
    </row>
    <row r="30" spans="1:13" ht="14">
      <c r="B30" s="88" t="s">
        <v>169</v>
      </c>
      <c r="C30" s="89">
        <v>662717</v>
      </c>
      <c r="D30" s="89">
        <v>571783</v>
      </c>
      <c r="E30" s="78">
        <f>ROUND(D30/C30,6)</f>
        <v>0.86278600000000005</v>
      </c>
      <c r="M30" s="25"/>
    </row>
    <row r="31" spans="1:13" ht="14">
      <c r="B31" s="88" t="s">
        <v>170</v>
      </c>
      <c r="C31" s="89">
        <v>654825</v>
      </c>
      <c r="D31" s="89">
        <v>572187</v>
      </c>
      <c r="E31" s="78">
        <f t="shared" ref="E31:E35" si="4">ROUND(D31/C31,6)</f>
        <v>0.87380100000000005</v>
      </c>
      <c r="M31" s="25"/>
    </row>
    <row r="32" spans="1:13" ht="14">
      <c r="B32" s="88" t="s">
        <v>171</v>
      </c>
      <c r="C32" s="89">
        <v>664036</v>
      </c>
      <c r="D32" s="89">
        <v>564935</v>
      </c>
      <c r="E32" s="78">
        <f t="shared" si="4"/>
        <v>0.85075999999999996</v>
      </c>
      <c r="M32" s="25"/>
    </row>
    <row r="33" spans="1:13" ht="14">
      <c r="B33" s="88" t="s">
        <v>172</v>
      </c>
      <c r="C33" s="89">
        <v>643446</v>
      </c>
      <c r="D33" s="89">
        <v>565004</v>
      </c>
      <c r="E33" s="78">
        <f t="shared" si="4"/>
        <v>0.87809099999999995</v>
      </c>
      <c r="M33" s="25"/>
    </row>
    <row r="34" spans="1:13" ht="14">
      <c r="B34" s="88" t="s">
        <v>173</v>
      </c>
      <c r="C34" s="89">
        <v>662632</v>
      </c>
      <c r="D34" s="89">
        <v>560465</v>
      </c>
      <c r="E34" s="78">
        <f t="shared" si="4"/>
        <v>0.84581600000000001</v>
      </c>
      <c r="M34" s="25"/>
    </row>
    <row r="35" spans="1:13" ht="14">
      <c r="B35" s="88" t="s">
        <v>174</v>
      </c>
      <c r="C35" s="89">
        <v>653611</v>
      </c>
      <c r="D35" s="89">
        <v>559115</v>
      </c>
      <c r="E35" s="79">
        <f t="shared" si="4"/>
        <v>0.85542499999999999</v>
      </c>
      <c r="M35" s="25"/>
    </row>
    <row r="36" spans="1:13" ht="14">
      <c r="M36" s="25"/>
    </row>
    <row r="37" spans="1:13" ht="14">
      <c r="M37" s="25"/>
    </row>
    <row r="38" spans="1:13" s="40" customFormat="1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25"/>
    </row>
    <row r="39" spans="1:13" s="40" customFormat="1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5"/>
    </row>
    <row r="40" spans="1:13" s="40" customFormat="1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25"/>
    </row>
    <row r="41" spans="1:13" s="40" customFormat="1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25"/>
    </row>
    <row r="42" spans="1:13" s="40" customFormat="1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3" s="40" customFormat="1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3" s="40" customFormat="1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3" s="40" customFormat="1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3" s="40" customFormat="1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3" s="40" customFormat="1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3" s="40" customFormat="1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2" s="40" customFormat="1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2" s="40" customFormat="1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2" s="40" customFormat="1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2" s="40" customFormat="1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2" s="40" customFormat="1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>
      <c r="H55" s="40"/>
      <c r="I55" s="40"/>
      <c r="J55" s="40"/>
      <c r="K55" s="40"/>
      <c r="L55" s="40"/>
    </row>
    <row r="56" spans="1:12">
      <c r="H56" s="40"/>
      <c r="I56" s="40"/>
      <c r="J56" s="40"/>
      <c r="K56" s="40"/>
      <c r="L56" s="40"/>
    </row>
  </sheetData>
  <mergeCells count="17">
    <mergeCell ref="B21:C21"/>
    <mergeCell ref="F21:G21"/>
    <mergeCell ref="D21:E21"/>
    <mergeCell ref="A5:G5"/>
    <mergeCell ref="F6:G6"/>
    <mergeCell ref="F7:G7"/>
    <mergeCell ref="F8:G8"/>
    <mergeCell ref="F10:G10"/>
    <mergeCell ref="B8:C8"/>
    <mergeCell ref="D10:E10"/>
    <mergeCell ref="B10:C10"/>
    <mergeCell ref="A6:A11"/>
    <mergeCell ref="D6:E6"/>
    <mergeCell ref="B6:C6"/>
    <mergeCell ref="D7:E7"/>
    <mergeCell ref="B7:C7"/>
    <mergeCell ref="D8:E8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1" orientation="portrait" r:id="rId1"/>
  <headerFooter>
    <oddHeader>&amp;C 1632MV7生物分析方法学验证数据</oddHeader>
    <oddFooter>&amp;C第&amp;P页，共&amp;N页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L56"/>
  <sheetViews>
    <sheetView view="pageBreakPreview" zoomScaleNormal="100" zoomScaleSheetLayoutView="100" workbookViewId="0">
      <selection activeCell="G27" sqref="G27"/>
    </sheetView>
  </sheetViews>
  <sheetFormatPr defaultColWidth="8.83203125" defaultRowHeight="13.5"/>
  <cols>
    <col min="1" max="1" width="15.83203125" style="3" customWidth="1"/>
    <col min="2" max="2" width="14.33203125" style="3" customWidth="1"/>
    <col min="3" max="3" width="17.5" style="3" customWidth="1"/>
    <col min="4" max="4" width="13.25" style="3" customWidth="1"/>
    <col min="5" max="5" width="16.58203125" style="3" customWidth="1"/>
    <col min="6" max="6" width="13.25" style="3" customWidth="1"/>
    <col min="7" max="7" width="16.33203125" style="3" customWidth="1"/>
    <col min="8" max="10" width="8.83203125" style="3"/>
    <col min="11" max="11" width="8.83203125" style="80"/>
    <col min="12" max="12" width="19.83203125" style="3" customWidth="1"/>
    <col min="13" max="16384" width="8.83203125" style="3"/>
  </cols>
  <sheetData>
    <row r="2" spans="1:12">
      <c r="A2" s="3" t="s">
        <v>37</v>
      </c>
    </row>
    <row r="4" spans="1:12">
      <c r="I4" s="22"/>
      <c r="K4" s="23" t="s">
        <v>59</v>
      </c>
      <c r="L4" s="81">
        <v>45366</v>
      </c>
    </row>
    <row r="5" spans="1:12" s="40" customFormat="1" ht="15" customHeight="1">
      <c r="A5" s="146" t="s">
        <v>273</v>
      </c>
      <c r="B5" s="126"/>
      <c r="C5" s="126"/>
      <c r="D5" s="126"/>
      <c r="E5" s="126"/>
      <c r="F5" s="126"/>
      <c r="G5" s="102"/>
      <c r="I5" s="22"/>
      <c r="J5" s="3"/>
      <c r="K5" s="23" t="s">
        <v>60</v>
      </c>
      <c r="L5" s="81">
        <v>45435</v>
      </c>
    </row>
    <row r="6" spans="1:12" s="40" customFormat="1" ht="15" customHeight="1">
      <c r="A6" s="147"/>
      <c r="B6" s="108" t="s">
        <v>0</v>
      </c>
      <c r="C6" s="108"/>
      <c r="D6" s="108" t="s">
        <v>4</v>
      </c>
      <c r="E6" s="108"/>
      <c r="F6" s="108" t="s">
        <v>22</v>
      </c>
      <c r="G6" s="108"/>
      <c r="I6" s="22"/>
      <c r="J6" s="3"/>
      <c r="K6" s="23" t="s">
        <v>61</v>
      </c>
      <c r="L6" s="39">
        <f>L5-L4</f>
        <v>69</v>
      </c>
    </row>
    <row r="7" spans="1:12" s="40" customFormat="1" ht="15" customHeight="1">
      <c r="A7" s="129"/>
      <c r="B7" s="148" t="s">
        <v>274</v>
      </c>
      <c r="C7" s="111"/>
      <c r="D7" s="148" t="s">
        <v>275</v>
      </c>
      <c r="E7" s="111"/>
      <c r="F7" s="148" t="s">
        <v>275</v>
      </c>
      <c r="G7" s="111"/>
      <c r="K7" s="23"/>
    </row>
    <row r="8" spans="1:12" s="40" customFormat="1" ht="15" customHeight="1">
      <c r="A8" s="129"/>
      <c r="B8" s="108" t="s">
        <v>52</v>
      </c>
      <c r="C8" s="108"/>
      <c r="D8" s="108" t="s">
        <v>52</v>
      </c>
      <c r="E8" s="108"/>
      <c r="F8" s="108" t="s">
        <v>52</v>
      </c>
      <c r="G8" s="108"/>
      <c r="K8" s="23"/>
    </row>
    <row r="9" spans="1:12" s="40" customFormat="1" ht="15" customHeight="1">
      <c r="A9" s="129"/>
      <c r="B9" s="76">
        <v>1</v>
      </c>
      <c r="C9" s="34" t="s">
        <v>28</v>
      </c>
      <c r="D9" s="76">
        <v>500</v>
      </c>
      <c r="E9" s="34" t="s">
        <v>14</v>
      </c>
      <c r="F9" s="76">
        <v>250</v>
      </c>
      <c r="G9" s="34" t="s">
        <v>28</v>
      </c>
      <c r="K9" s="23"/>
    </row>
    <row r="10" spans="1:12" s="40" customFormat="1" ht="15" customHeight="1">
      <c r="A10" s="129"/>
      <c r="B10" s="108" t="s">
        <v>29</v>
      </c>
      <c r="C10" s="108"/>
      <c r="D10" s="108" t="s">
        <v>29</v>
      </c>
      <c r="E10" s="108"/>
      <c r="F10" s="108" t="s">
        <v>29</v>
      </c>
      <c r="G10" s="108"/>
      <c r="K10" s="23"/>
    </row>
    <row r="11" spans="1:12" s="40" customFormat="1" ht="15" customHeight="1">
      <c r="A11" s="129"/>
      <c r="B11" s="34" t="s">
        <v>33</v>
      </c>
      <c r="C11" s="34" t="s">
        <v>30</v>
      </c>
      <c r="D11" s="34" t="s">
        <v>33</v>
      </c>
      <c r="E11" s="34" t="s">
        <v>30</v>
      </c>
      <c r="F11" s="34" t="s">
        <v>33</v>
      </c>
      <c r="G11" s="34" t="s">
        <v>30</v>
      </c>
    </row>
    <row r="12" spans="1:12" s="40" customFormat="1" ht="15" customHeight="1">
      <c r="A12" s="34">
        <v>1</v>
      </c>
      <c r="B12" s="70">
        <v>4.478E-2</v>
      </c>
      <c r="C12" s="70">
        <v>4.6816999999999998E-2</v>
      </c>
      <c r="D12" s="70">
        <v>1.2001649999999999</v>
      </c>
      <c r="E12" s="70">
        <v>1.1194409999999999</v>
      </c>
      <c r="F12" s="70">
        <v>0.88432299999999997</v>
      </c>
      <c r="G12" s="70">
        <v>0.87693399999999999</v>
      </c>
    </row>
    <row r="13" spans="1:12" s="40" customFormat="1" ht="15" customHeight="1">
      <c r="A13" s="34">
        <v>2</v>
      </c>
      <c r="B13" s="70">
        <v>4.7098000000000001E-2</v>
      </c>
      <c r="C13" s="70">
        <v>4.5666999999999999E-2</v>
      </c>
      <c r="D13" s="70">
        <v>1.20845</v>
      </c>
      <c r="E13" s="70">
        <v>1.0855159999999999</v>
      </c>
      <c r="F13" s="70">
        <v>0.88132600000000005</v>
      </c>
      <c r="G13" s="70">
        <v>0.88695800000000002</v>
      </c>
    </row>
    <row r="14" spans="1:12" s="40" customFormat="1" ht="15" customHeight="1">
      <c r="A14" s="34">
        <v>3</v>
      </c>
      <c r="B14" s="70">
        <v>4.8431000000000002E-2</v>
      </c>
      <c r="C14" s="70">
        <v>4.8098000000000002E-2</v>
      </c>
      <c r="D14" s="70">
        <v>1.168488</v>
      </c>
      <c r="E14" s="70">
        <v>1.0867770000000001</v>
      </c>
      <c r="F14" s="70">
        <v>0.85271300000000005</v>
      </c>
      <c r="G14" s="70">
        <v>0.88062099999999999</v>
      </c>
    </row>
    <row r="15" spans="1:12" s="40" customFormat="1" ht="15" customHeight="1">
      <c r="A15" s="34">
        <v>4</v>
      </c>
      <c r="B15" s="70">
        <v>4.8459000000000002E-2</v>
      </c>
      <c r="C15" s="70">
        <v>4.7543000000000002E-2</v>
      </c>
      <c r="D15" s="70">
        <v>1.1835169999999999</v>
      </c>
      <c r="E15" s="70">
        <v>1.0890500000000001</v>
      </c>
      <c r="F15" s="70">
        <v>0.86894400000000005</v>
      </c>
      <c r="G15" s="70">
        <v>0.86690599999999995</v>
      </c>
    </row>
    <row r="16" spans="1:12" s="40" customFormat="1" ht="15" customHeight="1">
      <c r="A16" s="34">
        <v>5</v>
      </c>
      <c r="B16" s="70">
        <v>4.6628999999999997E-2</v>
      </c>
      <c r="C16" s="70">
        <v>4.8549000000000002E-2</v>
      </c>
      <c r="D16" s="70">
        <v>1.203444</v>
      </c>
      <c r="E16" s="70">
        <v>1.088881</v>
      </c>
      <c r="F16" s="70">
        <v>0.89182700000000004</v>
      </c>
      <c r="G16" s="70">
        <v>0.86555000000000004</v>
      </c>
    </row>
    <row r="17" spans="1:11" s="40" customFormat="1" ht="15" customHeight="1">
      <c r="A17" s="34">
        <v>6</v>
      </c>
      <c r="B17" s="70">
        <v>4.7759000000000003E-2</v>
      </c>
      <c r="C17" s="70">
        <v>4.5239000000000001E-2</v>
      </c>
      <c r="D17" s="70">
        <v>1.204364</v>
      </c>
      <c r="E17" s="70">
        <v>1.1009450000000001</v>
      </c>
      <c r="F17" s="70">
        <v>0.88292899999999996</v>
      </c>
      <c r="G17" s="70">
        <v>0.85653999999999997</v>
      </c>
    </row>
    <row r="18" spans="1:11" s="40" customFormat="1" ht="15" customHeight="1">
      <c r="A18" s="34" t="s">
        <v>27</v>
      </c>
      <c r="B18" s="71">
        <f t="shared" ref="B18:G18" si="0">ROUND(AVERAGE(B12:B17),6)</f>
        <v>4.7192999999999999E-2</v>
      </c>
      <c r="C18" s="71">
        <f t="shared" si="0"/>
        <v>4.6986E-2</v>
      </c>
      <c r="D18" s="71">
        <f t="shared" si="0"/>
        <v>1.1947380000000001</v>
      </c>
      <c r="E18" s="71">
        <f t="shared" si="0"/>
        <v>1.095102</v>
      </c>
      <c r="F18" s="71">
        <f t="shared" si="0"/>
        <v>0.87700999999999996</v>
      </c>
      <c r="G18" s="71">
        <f t="shared" si="0"/>
        <v>0.87225200000000003</v>
      </c>
    </row>
    <row r="19" spans="1:11" s="40" customFormat="1" ht="15" customHeight="1">
      <c r="A19" s="34" t="s">
        <v>3</v>
      </c>
      <c r="B19" s="71">
        <f t="shared" ref="B19:G19" si="1">ROUND(STDEV(B12:B17),6)</f>
        <v>1.3860000000000001E-3</v>
      </c>
      <c r="C19" s="71">
        <f t="shared" si="1"/>
        <v>1.3270000000000001E-3</v>
      </c>
      <c r="D19" s="71">
        <f t="shared" si="1"/>
        <v>1.5498E-2</v>
      </c>
      <c r="E19" s="71">
        <f t="shared" si="1"/>
        <v>1.3138E-2</v>
      </c>
      <c r="F19" s="71">
        <f t="shared" si="1"/>
        <v>1.4015E-2</v>
      </c>
      <c r="G19" s="71">
        <f t="shared" si="1"/>
        <v>1.1212E-2</v>
      </c>
    </row>
    <row r="20" spans="1:11" s="40" customFormat="1" ht="15" customHeight="1">
      <c r="A20" s="34" t="s">
        <v>49</v>
      </c>
      <c r="B20" s="72">
        <f>ROUND(B19/B18*100,1)</f>
        <v>2.9</v>
      </c>
      <c r="C20" s="72">
        <f>ROUND(C19/C18*100,1)</f>
        <v>2.8</v>
      </c>
      <c r="D20" s="72">
        <f>ROUND(D19/D18*100,1)</f>
        <v>1.3</v>
      </c>
      <c r="E20" s="72">
        <f>ROUND(E19/E18*100,1)</f>
        <v>1.2</v>
      </c>
      <c r="F20" s="72">
        <f t="shared" ref="F20:G20" si="2">ROUND(F19/F18*100,1)</f>
        <v>1.6</v>
      </c>
      <c r="G20" s="72">
        <f t="shared" si="2"/>
        <v>1.3</v>
      </c>
    </row>
    <row r="21" spans="1:11">
      <c r="A21" s="73" t="s">
        <v>48</v>
      </c>
      <c r="B21" s="149">
        <f>ROUND((C18-B18)/B18*100,1)</f>
        <v>-0.4</v>
      </c>
      <c r="C21" s="149"/>
      <c r="D21" s="149">
        <f>ROUND((E18-D18)/D18*100,1)</f>
        <v>-8.3000000000000007</v>
      </c>
      <c r="E21" s="149"/>
      <c r="F21" s="149">
        <f>ROUND((G18-F18)/F18*100,1)</f>
        <v>-0.5</v>
      </c>
      <c r="G21" s="149"/>
      <c r="H21" s="40"/>
      <c r="I21" s="40"/>
      <c r="J21" s="40"/>
      <c r="K21" s="40"/>
    </row>
    <row r="22" spans="1:11">
      <c r="H22" s="40"/>
      <c r="I22" s="40"/>
      <c r="J22" s="40"/>
      <c r="K22" s="40"/>
    </row>
    <row r="23" spans="1:11" ht="27.5">
      <c r="B23" s="49" t="s">
        <v>269</v>
      </c>
      <c r="C23" s="34" t="s">
        <v>270</v>
      </c>
      <c r="D23" s="34" t="s">
        <v>271</v>
      </c>
      <c r="E23" s="41" t="s">
        <v>272</v>
      </c>
      <c r="I23" s="40"/>
      <c r="J23" s="40"/>
      <c r="K23" s="40"/>
    </row>
    <row r="24" spans="1:11">
      <c r="B24" s="82" t="s">
        <v>157</v>
      </c>
      <c r="C24" s="83">
        <v>640983</v>
      </c>
      <c r="D24" s="83">
        <v>566836</v>
      </c>
      <c r="E24" s="77">
        <f>ROUND(D24/C24,6)</f>
        <v>0.88432299999999997</v>
      </c>
      <c r="I24" s="40"/>
      <c r="J24" s="40"/>
      <c r="K24" s="40"/>
    </row>
    <row r="25" spans="1:11">
      <c r="B25" s="84" t="s">
        <v>158</v>
      </c>
      <c r="C25" s="85">
        <v>649572</v>
      </c>
      <c r="D25" s="85">
        <v>572485</v>
      </c>
      <c r="E25" s="78">
        <f t="shared" ref="E25:E29" si="3">ROUND(D25/C25,6)</f>
        <v>0.88132600000000005</v>
      </c>
    </row>
    <row r="26" spans="1:11">
      <c r="B26" s="84" t="s">
        <v>159</v>
      </c>
      <c r="C26" s="85">
        <v>661767</v>
      </c>
      <c r="D26" s="85">
        <v>564297</v>
      </c>
      <c r="E26" s="78">
        <f t="shared" si="3"/>
        <v>0.85271300000000005</v>
      </c>
    </row>
    <row r="27" spans="1:11">
      <c r="B27" s="84" t="s">
        <v>160</v>
      </c>
      <c r="C27" s="85">
        <v>660079</v>
      </c>
      <c r="D27" s="85">
        <v>573572</v>
      </c>
      <c r="E27" s="78">
        <f t="shared" si="3"/>
        <v>0.86894400000000005</v>
      </c>
    </row>
    <row r="28" spans="1:11">
      <c r="B28" s="84" t="s">
        <v>161</v>
      </c>
      <c r="C28" s="85">
        <v>636109</v>
      </c>
      <c r="D28" s="85">
        <v>567299</v>
      </c>
      <c r="E28" s="78">
        <f t="shared" si="3"/>
        <v>0.89182700000000004</v>
      </c>
    </row>
    <row r="29" spans="1:11">
      <c r="B29" s="84" t="s">
        <v>162</v>
      </c>
      <c r="C29" s="85">
        <v>651878</v>
      </c>
      <c r="D29" s="85">
        <v>575562</v>
      </c>
      <c r="E29" s="78">
        <f t="shared" si="3"/>
        <v>0.88292899999999996</v>
      </c>
    </row>
    <row r="30" spans="1:11">
      <c r="B30" s="84" t="s">
        <v>163</v>
      </c>
      <c r="C30" s="85">
        <v>640386</v>
      </c>
      <c r="D30" s="85">
        <v>561576</v>
      </c>
      <c r="E30" s="78">
        <f>ROUND(D30/C30,6)</f>
        <v>0.87693399999999999</v>
      </c>
    </row>
    <row r="31" spans="1:11">
      <c r="B31" s="84" t="s">
        <v>164</v>
      </c>
      <c r="C31" s="85">
        <v>640540</v>
      </c>
      <c r="D31" s="85">
        <v>568132</v>
      </c>
      <c r="E31" s="78">
        <f t="shared" ref="E31:E35" si="4">ROUND(D31/C31,6)</f>
        <v>0.88695800000000002</v>
      </c>
    </row>
    <row r="32" spans="1:11">
      <c r="B32" s="84" t="s">
        <v>165</v>
      </c>
      <c r="C32" s="85">
        <v>636735</v>
      </c>
      <c r="D32" s="85">
        <v>560722</v>
      </c>
      <c r="E32" s="78">
        <f t="shared" si="4"/>
        <v>0.88062099999999999</v>
      </c>
    </row>
    <row r="33" spans="1:12">
      <c r="B33" s="84" t="s">
        <v>166</v>
      </c>
      <c r="C33" s="85">
        <v>649572</v>
      </c>
      <c r="D33" s="85">
        <v>563118</v>
      </c>
      <c r="E33" s="78">
        <f t="shared" si="4"/>
        <v>0.86690599999999995</v>
      </c>
    </row>
    <row r="34" spans="1:12">
      <c r="B34" s="84" t="s">
        <v>167</v>
      </c>
      <c r="C34" s="85">
        <v>647734</v>
      </c>
      <c r="D34" s="85">
        <v>560646</v>
      </c>
      <c r="E34" s="78">
        <f t="shared" si="4"/>
        <v>0.86555000000000004</v>
      </c>
    </row>
    <row r="35" spans="1:12">
      <c r="B35" s="86" t="s">
        <v>168</v>
      </c>
      <c r="C35" s="87">
        <v>662190</v>
      </c>
      <c r="D35" s="87">
        <v>567192</v>
      </c>
      <c r="E35" s="79">
        <f t="shared" si="4"/>
        <v>0.85653999999999997</v>
      </c>
    </row>
    <row r="36" spans="1:12">
      <c r="K36" s="3"/>
    </row>
    <row r="37" spans="1:12">
      <c r="K37" s="3"/>
    </row>
    <row r="38" spans="1:12">
      <c r="K38" s="3"/>
    </row>
    <row r="39" spans="1:12" s="40" customFormat="1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40" customFormat="1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40" customFormat="1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40" customFormat="1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40" customFormat="1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0" customFormat="1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40" customFormat="1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40" customFormat="1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40" customFormat="1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40" customFormat="1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40" customFormat="1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40" customFormat="1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40" customFormat="1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40" customFormat="1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40" customFormat="1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40" customFormat="1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K55" s="3"/>
    </row>
    <row r="56" spans="1:12">
      <c r="A56" s="33"/>
      <c r="B56" s="33"/>
      <c r="C56" s="33"/>
      <c r="D56" s="33"/>
      <c r="E56" s="33"/>
    </row>
  </sheetData>
  <mergeCells count="17">
    <mergeCell ref="B21:C21"/>
    <mergeCell ref="D21:E21"/>
    <mergeCell ref="F21:G21"/>
    <mergeCell ref="A5:G5"/>
    <mergeCell ref="A6:A11"/>
    <mergeCell ref="F6:G6"/>
    <mergeCell ref="F7:G7"/>
    <mergeCell ref="D6:E6"/>
    <mergeCell ref="B6:C6"/>
    <mergeCell ref="D8:E8"/>
    <mergeCell ref="D7:E7"/>
    <mergeCell ref="F8:G8"/>
    <mergeCell ref="B7:C7"/>
    <mergeCell ref="B8:C8"/>
    <mergeCell ref="F10:G10"/>
    <mergeCell ref="D10:E10"/>
    <mergeCell ref="B10:C1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53" orientation="portrait" r:id="rId1"/>
  <headerFooter>
    <oddHeader>&amp;C 1632MV7生物分析方法学验证数据</oddHeader>
    <oddFooter>&amp;C第&amp;P页，共&amp;N页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25A7-9FF9-4297-94FB-1EF9E90254AE}">
  <sheetPr>
    <tabColor rgb="FF00B050"/>
    <pageSetUpPr fitToPage="1"/>
  </sheetPr>
  <dimension ref="A2:I38"/>
  <sheetViews>
    <sheetView view="pageBreakPreview" zoomScaleNormal="100" zoomScaleSheetLayoutView="100" workbookViewId="0">
      <selection activeCell="M24" sqref="M24"/>
    </sheetView>
  </sheetViews>
  <sheetFormatPr defaultColWidth="8.83203125" defaultRowHeight="13.5"/>
  <cols>
    <col min="1" max="6" width="14.58203125" style="3" customWidth="1"/>
    <col min="7" max="7" width="12.33203125" style="3" customWidth="1"/>
    <col min="8" max="8" width="8.83203125" style="3"/>
    <col min="9" max="9" width="16.83203125" style="3" customWidth="1"/>
    <col min="10" max="16384" width="8.83203125" style="3"/>
  </cols>
  <sheetData>
    <row r="2" spans="1:9">
      <c r="A2" s="105" t="s">
        <v>524</v>
      </c>
      <c r="B2" s="105"/>
      <c r="C2" s="105"/>
    </row>
    <row r="3" spans="1:9">
      <c r="A3" s="32"/>
      <c r="B3" s="32"/>
      <c r="C3" s="32"/>
    </row>
    <row r="4" spans="1:9" ht="14">
      <c r="A4" s="3" t="s">
        <v>517</v>
      </c>
      <c r="H4" s="80" t="s">
        <v>521</v>
      </c>
      <c r="I4" s="74">
        <v>45392.708333333336</v>
      </c>
    </row>
    <row r="5" spans="1:9" ht="14.25" customHeight="1">
      <c r="A5" s="90" t="s">
        <v>523</v>
      </c>
      <c r="C5" s="32"/>
      <c r="D5" s="32"/>
      <c r="E5" s="32"/>
      <c r="H5" s="80" t="s">
        <v>519</v>
      </c>
      <c r="I5" s="74">
        <v>45393.4375</v>
      </c>
    </row>
    <row r="6" spans="1:9" ht="13.5" customHeight="1">
      <c r="A6" s="114" t="s">
        <v>34</v>
      </c>
      <c r="B6" s="114" t="s">
        <v>23</v>
      </c>
      <c r="C6" s="34" t="s">
        <v>2</v>
      </c>
      <c r="D6" s="108" t="s">
        <v>47</v>
      </c>
      <c r="E6" s="34" t="s">
        <v>1</v>
      </c>
      <c r="F6" s="108" t="s">
        <v>47</v>
      </c>
      <c r="H6" s="23" t="s">
        <v>58</v>
      </c>
      <c r="I6" s="75">
        <f>(I5-I4)*24</f>
        <v>17.499999999941792</v>
      </c>
    </row>
    <row r="7" spans="1:9">
      <c r="A7" s="125"/>
      <c r="B7" s="125"/>
      <c r="C7" s="50">
        <v>150</v>
      </c>
      <c r="D7" s="108"/>
      <c r="E7" s="50">
        <v>18750</v>
      </c>
      <c r="F7" s="108"/>
    </row>
    <row r="8" spans="1:9">
      <c r="A8" s="115"/>
      <c r="B8" s="115"/>
      <c r="C8" s="51" t="s">
        <v>118</v>
      </c>
      <c r="D8" s="108"/>
      <c r="E8" s="51" t="s">
        <v>118</v>
      </c>
      <c r="F8" s="108"/>
    </row>
    <row r="9" spans="1:9" ht="14">
      <c r="A9" s="127">
        <v>45394</v>
      </c>
      <c r="B9" s="114">
        <v>7</v>
      </c>
      <c r="C9" s="57">
        <v>178.94499999999999</v>
      </c>
      <c r="D9" s="92">
        <f>ROUND((C9-C$7)/C$7*100,1)</f>
        <v>19.3</v>
      </c>
      <c r="E9" s="57">
        <v>18370.328000000001</v>
      </c>
      <c r="F9" s="92">
        <f>ROUND((E9-E$7)/E$7*100,1)</f>
        <v>-2</v>
      </c>
      <c r="G9"/>
    </row>
    <row r="10" spans="1:9" ht="14">
      <c r="A10" s="127"/>
      <c r="B10" s="125"/>
      <c r="C10" s="57">
        <v>143.80699999999999</v>
      </c>
      <c r="D10" s="92">
        <f>ROUND((C10-C$7)/C$7*100,1)</f>
        <v>-4.0999999999999996</v>
      </c>
      <c r="E10" s="57">
        <v>18239.564999999999</v>
      </c>
      <c r="F10" s="92">
        <f>ROUND((E10-E$7)/E$7*100,1)</f>
        <v>-2.7</v>
      </c>
      <c r="G10"/>
    </row>
    <row r="11" spans="1:9" ht="14">
      <c r="A11" s="127"/>
      <c r="B11" s="125"/>
      <c r="C11" s="57">
        <v>151.309</v>
      </c>
      <c r="D11" s="92">
        <f>ROUND((C11-C$7)/C$7*100,1)</f>
        <v>0.9</v>
      </c>
      <c r="E11" s="57">
        <v>17654.694</v>
      </c>
      <c r="F11" s="92">
        <f>ROUND((E11-E$7)/E$7*100,1)</f>
        <v>-5.8</v>
      </c>
      <c r="G11"/>
    </row>
    <row r="12" spans="1:9" ht="14">
      <c r="A12" s="127"/>
      <c r="B12" s="125"/>
      <c r="C12" s="57">
        <v>144.57400000000001</v>
      </c>
      <c r="D12" s="92">
        <f>ROUND((C12-C$7)/C$7*100,1)</f>
        <v>-3.6</v>
      </c>
      <c r="E12" s="57">
        <v>18655.984</v>
      </c>
      <c r="F12" s="92">
        <f>ROUND((E12-E$7)/E$7*100,1)</f>
        <v>-0.5</v>
      </c>
      <c r="G12"/>
    </row>
    <row r="13" spans="1:9" ht="14">
      <c r="A13" s="127"/>
      <c r="B13" s="125"/>
      <c r="C13" s="57">
        <v>133.15299999999999</v>
      </c>
      <c r="D13" s="92">
        <f>ROUND((C13-C$7)/C$7*100,1)</f>
        <v>-11.2</v>
      </c>
      <c r="E13" s="57">
        <v>18879.937000000002</v>
      </c>
      <c r="F13" s="92">
        <f>ROUND((E13-E$7)/E$7*100,1)</f>
        <v>0.7</v>
      </c>
      <c r="G13"/>
    </row>
    <row r="14" spans="1:9" ht="14">
      <c r="A14" s="127"/>
      <c r="B14" s="115"/>
      <c r="C14" s="57">
        <v>154.04300000000001</v>
      </c>
      <c r="D14" s="92">
        <f>ROUND((C14-C$7)/C$7*100,1)</f>
        <v>2.7</v>
      </c>
      <c r="E14" s="57">
        <v>17617.031999999999</v>
      </c>
      <c r="F14" s="92">
        <f>ROUND((E14-E$7)/E$7*100,1)</f>
        <v>-6</v>
      </c>
      <c r="G14"/>
    </row>
    <row r="15" spans="1:9" ht="14">
      <c r="A15" s="34" t="s">
        <v>27</v>
      </c>
      <c r="B15" s="119"/>
      <c r="C15" s="76">
        <f>ROUND(AVERAGE(C9:C14),3)</f>
        <v>150.97200000000001</v>
      </c>
      <c r="D15" s="119"/>
      <c r="E15" s="76">
        <f>ROUND(AVERAGE(E9:E14),3)</f>
        <v>18236.257000000001</v>
      </c>
      <c r="F15" s="119"/>
      <c r="G15"/>
    </row>
    <row r="16" spans="1:9" ht="14">
      <c r="A16" s="34" t="s">
        <v>3</v>
      </c>
      <c r="B16" s="120"/>
      <c r="C16" s="76">
        <f>ROUND(STDEV(C9:C14),3)</f>
        <v>15.504</v>
      </c>
      <c r="D16" s="120"/>
      <c r="E16" s="76">
        <f>ROUND(STDEV(E9:E14),3)</f>
        <v>515.77800000000002</v>
      </c>
      <c r="F16" s="120"/>
      <c r="G16"/>
    </row>
    <row r="17" spans="1:9" ht="14">
      <c r="A17" s="34" t="s">
        <v>50</v>
      </c>
      <c r="B17" s="120"/>
      <c r="C17" s="92">
        <f>ROUND(C16/C15*100,1)</f>
        <v>10.3</v>
      </c>
      <c r="D17" s="120"/>
      <c r="E17" s="92">
        <f>ROUND(E16/E15*100,1)</f>
        <v>2.8</v>
      </c>
      <c r="F17" s="120"/>
      <c r="G17"/>
    </row>
    <row r="18" spans="1:9" ht="14">
      <c r="A18" s="34" t="s">
        <v>51</v>
      </c>
      <c r="B18" s="120"/>
      <c r="C18" s="92">
        <f>ROUND(C15/C$7*100,1)</f>
        <v>100.6</v>
      </c>
      <c r="D18" s="120"/>
      <c r="E18" s="92">
        <f>ROUND(E15/E$7*100,1)</f>
        <v>97.3</v>
      </c>
      <c r="F18" s="120"/>
      <c r="G18"/>
    </row>
    <row r="19" spans="1:9" ht="14">
      <c r="A19" s="34" t="s">
        <v>5</v>
      </c>
      <c r="B19" s="121"/>
      <c r="C19" s="34">
        <v>6</v>
      </c>
      <c r="D19" s="121"/>
      <c r="E19" s="34">
        <v>6</v>
      </c>
      <c r="F19" s="121"/>
      <c r="G19"/>
    </row>
    <row r="20" spans="1:9" ht="14">
      <c r="A20" s="33"/>
      <c r="B20" s="33"/>
      <c r="C20" s="33"/>
      <c r="D20" s="33"/>
      <c r="E20" s="33"/>
      <c r="G20"/>
    </row>
    <row r="22" spans="1:9" ht="14">
      <c r="A22" s="3" t="s">
        <v>522</v>
      </c>
      <c r="H22" s="80" t="s">
        <v>521</v>
      </c>
      <c r="I22" s="74">
        <v>45369.731249999997</v>
      </c>
    </row>
    <row r="23" spans="1:9" ht="14">
      <c r="A23" s="90" t="s">
        <v>520</v>
      </c>
      <c r="C23" s="32"/>
      <c r="D23" s="32"/>
      <c r="E23" s="32"/>
      <c r="H23" s="80" t="s">
        <v>519</v>
      </c>
      <c r="I23" s="74">
        <v>45370.376388888886</v>
      </c>
    </row>
    <row r="24" spans="1:9">
      <c r="A24" s="114" t="s">
        <v>34</v>
      </c>
      <c r="B24" s="114" t="s">
        <v>23</v>
      </c>
      <c r="C24" s="34" t="s">
        <v>2</v>
      </c>
      <c r="D24" s="108" t="s">
        <v>47</v>
      </c>
      <c r="E24" s="34" t="s">
        <v>1</v>
      </c>
      <c r="F24" s="108" t="s">
        <v>47</v>
      </c>
      <c r="H24" s="23" t="s">
        <v>58</v>
      </c>
      <c r="I24" s="75">
        <f>(I23-I22)*24</f>
        <v>15.483333333337214</v>
      </c>
    </row>
    <row r="25" spans="1:9">
      <c r="A25" s="125"/>
      <c r="B25" s="125"/>
      <c r="C25" s="50">
        <v>150</v>
      </c>
      <c r="D25" s="108"/>
      <c r="E25" s="50">
        <v>18750</v>
      </c>
      <c r="F25" s="108"/>
    </row>
    <row r="26" spans="1:9">
      <c r="A26" s="115"/>
      <c r="B26" s="115"/>
      <c r="C26" s="51" t="s">
        <v>118</v>
      </c>
      <c r="D26" s="108"/>
      <c r="E26" s="51" t="s">
        <v>118</v>
      </c>
      <c r="F26" s="108"/>
    </row>
    <row r="27" spans="1:9" ht="14">
      <c r="A27" s="127">
        <v>45370</v>
      </c>
      <c r="B27" s="114">
        <v>4</v>
      </c>
      <c r="C27" s="57">
        <v>135.13900000000001</v>
      </c>
      <c r="D27" s="92">
        <f>ROUND((C27-C$25)/C$25*100,1)</f>
        <v>-9.9</v>
      </c>
      <c r="E27" s="57">
        <v>18201.315999999999</v>
      </c>
      <c r="F27" s="92">
        <f>ROUND((E27-E$25)/E$25*100,1)</f>
        <v>-2.9</v>
      </c>
      <c r="G27"/>
    </row>
    <row r="28" spans="1:9" ht="14">
      <c r="A28" s="127"/>
      <c r="B28" s="125"/>
      <c r="C28" s="57">
        <v>164.17</v>
      </c>
      <c r="D28" s="92">
        <f>ROUND((C28-C$25)/C$25*100,1)</f>
        <v>9.4</v>
      </c>
      <c r="E28" s="57">
        <v>18711.498</v>
      </c>
      <c r="F28" s="92">
        <f>ROUND((E28-E$25)/E$25*100,1)</f>
        <v>-0.2</v>
      </c>
      <c r="G28"/>
    </row>
    <row r="29" spans="1:9" ht="14">
      <c r="A29" s="127"/>
      <c r="B29" s="125"/>
      <c r="C29" s="57">
        <v>275.79899999999998</v>
      </c>
      <c r="D29" s="92">
        <f>ROUND((C29-C$25)/C$25*100,1)</f>
        <v>83.9</v>
      </c>
      <c r="E29" s="57">
        <v>18792.434000000001</v>
      </c>
      <c r="F29" s="92">
        <f>ROUND((E29-E$25)/E$25*100,1)</f>
        <v>0.2</v>
      </c>
      <c r="G29"/>
    </row>
    <row r="30" spans="1:9" ht="14">
      <c r="A30" s="127"/>
      <c r="B30" s="125"/>
      <c r="C30" s="57">
        <v>138.34200000000001</v>
      </c>
      <c r="D30" s="92">
        <f>ROUND((C30-C$25)/C$25*100,1)</f>
        <v>-7.8</v>
      </c>
      <c r="E30" s="57">
        <v>18163.852999999999</v>
      </c>
      <c r="F30" s="92">
        <f>ROUND((E30-E$25)/E$25*100,1)</f>
        <v>-3.1</v>
      </c>
      <c r="G30"/>
    </row>
    <row r="31" spans="1:9" ht="14">
      <c r="A31" s="127"/>
      <c r="B31" s="125"/>
      <c r="C31" s="57">
        <v>505.70499999999998</v>
      </c>
      <c r="D31" s="92">
        <f>ROUND((C31-C$25)/C$25*100,1)</f>
        <v>237.1</v>
      </c>
      <c r="E31" s="57">
        <v>16901.726999999999</v>
      </c>
      <c r="F31" s="92">
        <f>ROUND((E31-E$25)/E$25*100,1)</f>
        <v>-9.9</v>
      </c>
      <c r="G31"/>
    </row>
    <row r="32" spans="1:9" ht="14">
      <c r="A32" s="127"/>
      <c r="B32" s="115"/>
      <c r="C32" s="57">
        <v>121.6</v>
      </c>
      <c r="D32" s="92">
        <f>ROUND((C32-C$25)/C$25*100,1)</f>
        <v>-18.899999999999999</v>
      </c>
      <c r="E32" s="57">
        <v>17926.467000000001</v>
      </c>
      <c r="F32" s="92">
        <f>ROUND((E32-E$25)/E$25*100,1)</f>
        <v>-4.4000000000000004</v>
      </c>
      <c r="G32"/>
    </row>
    <row r="33" spans="1:7" ht="14">
      <c r="A33" s="34" t="s">
        <v>27</v>
      </c>
      <c r="B33" s="119"/>
      <c r="C33" s="76">
        <f>ROUND(AVERAGE(C27:C32),3)</f>
        <v>223.459</v>
      </c>
      <c r="D33" s="119"/>
      <c r="E33" s="76">
        <f>ROUND(AVERAGE(E27:E32),3)</f>
        <v>18116.216</v>
      </c>
      <c r="F33" s="119"/>
      <c r="G33"/>
    </row>
    <row r="34" spans="1:7" ht="14">
      <c r="A34" s="34" t="s">
        <v>3</v>
      </c>
      <c r="B34" s="120"/>
      <c r="C34" s="76">
        <f>ROUND(STDEV(C27:C32),3)</f>
        <v>149.22300000000001</v>
      </c>
      <c r="D34" s="120"/>
      <c r="E34" s="76">
        <f>ROUND(STDEV(E27:E32),3)</f>
        <v>682.95399999999995</v>
      </c>
      <c r="F34" s="120"/>
      <c r="G34"/>
    </row>
    <row r="35" spans="1:7" ht="14">
      <c r="A35" s="34" t="s">
        <v>45</v>
      </c>
      <c r="B35" s="120"/>
      <c r="C35" s="92">
        <f>ROUND(C34/C33*100,1)</f>
        <v>66.8</v>
      </c>
      <c r="D35" s="120"/>
      <c r="E35" s="92">
        <f>ROUND(E34/E33*100,1)</f>
        <v>3.8</v>
      </c>
      <c r="F35" s="120"/>
      <c r="G35"/>
    </row>
    <row r="36" spans="1:7" ht="14">
      <c r="A36" s="34" t="s">
        <v>46</v>
      </c>
      <c r="B36" s="120"/>
      <c r="C36" s="92">
        <f>ROUND(C33/C$25*100,1)</f>
        <v>149</v>
      </c>
      <c r="D36" s="120"/>
      <c r="E36" s="92">
        <f>ROUND(E33/E$25*100,1)</f>
        <v>96.6</v>
      </c>
      <c r="F36" s="120"/>
      <c r="G36"/>
    </row>
    <row r="37" spans="1:7" ht="14">
      <c r="A37" s="34" t="s">
        <v>5</v>
      </c>
      <c r="B37" s="121"/>
      <c r="C37" s="34">
        <v>6</v>
      </c>
      <c r="D37" s="121"/>
      <c r="E37" s="34">
        <v>6</v>
      </c>
      <c r="F37" s="121"/>
      <c r="G37"/>
    </row>
    <row r="38" spans="1:7" ht="14">
      <c r="G38"/>
    </row>
  </sheetData>
  <mergeCells count="19">
    <mergeCell ref="B33:B37"/>
    <mergeCell ref="D33:D37"/>
    <mergeCell ref="F33:F37"/>
    <mergeCell ref="A24:A26"/>
    <mergeCell ref="B24:B26"/>
    <mergeCell ref="D24:D26"/>
    <mergeCell ref="F24:F26"/>
    <mergeCell ref="A27:A32"/>
    <mergeCell ref="B27:B32"/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</mergeCells>
  <phoneticPr fontId="16" type="noConversion"/>
  <conditionalFormatting sqref="H9:H14">
    <cfRule type="colorScale" priority="2">
      <colorScale>
        <cfvo type="min"/>
        <cfvo type="max"/>
        <color rgb="FFFF7128"/>
        <color rgb="FFFFEF9C"/>
      </colorScale>
    </cfRule>
  </conditionalFormatting>
  <conditionalFormatting sqref="H27:H32">
    <cfRule type="colorScale" priority="1">
      <colorScale>
        <cfvo type="min"/>
        <cfvo type="max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68" orientation="portrait" r:id="rId1"/>
  <headerFooter>
    <oddHeader>&amp;C 1632MV7生物分析方法学验证数据</oddHeader>
    <oddFooter>&amp;C第&amp;P页，共&amp;N页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EBE2-5FAA-4B33-8D70-393FA89C17DA}">
  <sheetPr>
    <tabColor rgb="FF00B050"/>
    <pageSetUpPr fitToPage="1"/>
  </sheetPr>
  <dimension ref="A2:I39"/>
  <sheetViews>
    <sheetView view="pageBreakPreview" zoomScaleNormal="100" zoomScaleSheetLayoutView="100" workbookViewId="0">
      <selection activeCell="M27" sqref="M27"/>
    </sheetView>
  </sheetViews>
  <sheetFormatPr defaultColWidth="8.83203125" defaultRowHeight="13.5"/>
  <cols>
    <col min="1" max="7" width="12.83203125" style="3" customWidth="1"/>
    <col min="8" max="8" width="13.5" style="3" customWidth="1"/>
    <col min="9" max="16384" width="8.83203125" style="3"/>
  </cols>
  <sheetData>
    <row r="2" spans="1:9">
      <c r="A2" s="105" t="s">
        <v>528</v>
      </c>
      <c r="B2" s="105"/>
      <c r="C2" s="105"/>
      <c r="D2" s="105"/>
      <c r="E2" s="105"/>
      <c r="F2" s="105"/>
    </row>
    <row r="3" spans="1:9">
      <c r="A3" s="32"/>
      <c r="B3" s="32"/>
      <c r="C3" s="32"/>
      <c r="D3" s="32"/>
      <c r="E3" s="32"/>
      <c r="F3" s="32"/>
    </row>
    <row r="4" spans="1:9">
      <c r="A4" s="3" t="s">
        <v>517</v>
      </c>
      <c r="B4" s="32"/>
      <c r="C4" s="32"/>
      <c r="D4" s="32"/>
      <c r="E4" s="32"/>
      <c r="F4" s="32"/>
    </row>
    <row r="5" spans="1:9" ht="14">
      <c r="A5" s="32" t="s">
        <v>527</v>
      </c>
      <c r="B5" s="243"/>
      <c r="C5" s="243"/>
      <c r="D5" s="243"/>
      <c r="E5" s="243"/>
      <c r="F5" s="243"/>
    </row>
    <row r="6" spans="1:9" s="61" customFormat="1">
      <c r="A6" s="114" t="s">
        <v>34</v>
      </c>
      <c r="B6" s="114" t="s">
        <v>23</v>
      </c>
      <c r="C6" s="114" t="s">
        <v>526</v>
      </c>
      <c r="D6" s="34" t="s">
        <v>2</v>
      </c>
      <c r="E6" s="108" t="s">
        <v>47</v>
      </c>
      <c r="F6" s="34" t="s">
        <v>1</v>
      </c>
      <c r="G6" s="108" t="s">
        <v>47</v>
      </c>
    </row>
    <row r="7" spans="1:9" s="61" customFormat="1">
      <c r="A7" s="125"/>
      <c r="B7" s="125"/>
      <c r="C7" s="125"/>
      <c r="D7" s="50">
        <v>150</v>
      </c>
      <c r="E7" s="108"/>
      <c r="F7" s="50">
        <v>18750</v>
      </c>
      <c r="G7" s="108"/>
    </row>
    <row r="8" spans="1:9" s="61" customFormat="1">
      <c r="A8" s="115"/>
      <c r="B8" s="115"/>
      <c r="C8" s="115"/>
      <c r="D8" s="51" t="s">
        <v>118</v>
      </c>
      <c r="E8" s="108"/>
      <c r="F8" s="51" t="s">
        <v>118</v>
      </c>
      <c r="G8" s="108"/>
    </row>
    <row r="9" spans="1:9" s="61" customFormat="1" ht="14">
      <c r="A9" s="127">
        <v>45372</v>
      </c>
      <c r="B9" s="114">
        <v>6</v>
      </c>
      <c r="C9" s="114" t="s">
        <v>525</v>
      </c>
      <c r="D9" s="76">
        <v>114.71299999999999</v>
      </c>
      <c r="E9" s="92">
        <f>ROUND((D9-D$7)/D$7*100,1)</f>
        <v>-23.5</v>
      </c>
      <c r="F9" s="76">
        <v>16284.951999999999</v>
      </c>
      <c r="G9" s="92">
        <f>ROUND((F9-F$7)/F$7*100,1)</f>
        <v>-13.1</v>
      </c>
      <c r="H9"/>
      <c r="I9"/>
    </row>
    <row r="10" spans="1:9" s="61" customFormat="1" ht="14">
      <c r="A10" s="127"/>
      <c r="B10" s="125"/>
      <c r="C10" s="125"/>
      <c r="D10" s="76">
        <v>130.357</v>
      </c>
      <c r="E10" s="92">
        <f>ROUND((D10-D$7)/D$7*100,1)</f>
        <v>-13.1</v>
      </c>
      <c r="F10" s="76">
        <v>17081.396000000001</v>
      </c>
      <c r="G10" s="92">
        <f>ROUND((F10-F$7)/F$7*100,1)</f>
        <v>-8.9</v>
      </c>
      <c r="H10"/>
      <c r="I10"/>
    </row>
    <row r="11" spans="1:9" s="61" customFormat="1" ht="14">
      <c r="A11" s="127"/>
      <c r="B11" s="125"/>
      <c r="C11" s="125"/>
      <c r="D11" s="76">
        <v>135.30500000000001</v>
      </c>
      <c r="E11" s="92">
        <f>ROUND((D11-D$7)/D$7*100,1)</f>
        <v>-9.8000000000000007</v>
      </c>
      <c r="F11" s="76">
        <v>17238.174999999999</v>
      </c>
      <c r="G11" s="92">
        <f>ROUND((F11-F$7)/F$7*100,1)</f>
        <v>-8.1</v>
      </c>
      <c r="H11"/>
      <c r="I11"/>
    </row>
    <row r="12" spans="1:9" s="61" customFormat="1" ht="14">
      <c r="A12" s="127"/>
      <c r="B12" s="125"/>
      <c r="C12" s="125"/>
      <c r="D12" s="76">
        <v>145.69399999999999</v>
      </c>
      <c r="E12" s="92">
        <f>ROUND((D12-D$7)/D$7*100,1)</f>
        <v>-2.9</v>
      </c>
      <c r="F12" s="76">
        <v>15589.516</v>
      </c>
      <c r="G12" s="92">
        <f>ROUND((F12-F$7)/F$7*100,1)</f>
        <v>-16.899999999999999</v>
      </c>
      <c r="H12"/>
      <c r="I12"/>
    </row>
    <row r="13" spans="1:9" s="61" customFormat="1" ht="14">
      <c r="A13" s="127"/>
      <c r="B13" s="125"/>
      <c r="C13" s="125"/>
      <c r="D13" s="76">
        <v>126.11</v>
      </c>
      <c r="E13" s="92">
        <f>ROUND((D13-D$7)/D$7*100,1)</f>
        <v>-15.9</v>
      </c>
      <c r="F13" s="76">
        <v>16594.080000000002</v>
      </c>
      <c r="G13" s="92">
        <f>ROUND((F13-F$7)/F$7*100,1)</f>
        <v>-11.5</v>
      </c>
      <c r="H13"/>
      <c r="I13"/>
    </row>
    <row r="14" spans="1:9" s="61" customFormat="1" ht="14">
      <c r="A14" s="127"/>
      <c r="B14" s="115"/>
      <c r="C14" s="115"/>
      <c r="D14" s="76">
        <v>123.41500000000001</v>
      </c>
      <c r="E14" s="92">
        <f>ROUND((D14-D$7)/D$7*100,1)</f>
        <v>-17.7</v>
      </c>
      <c r="F14" s="76">
        <v>16795.008000000002</v>
      </c>
      <c r="G14" s="92">
        <f>ROUND((F14-F$7)/F$7*100,1)</f>
        <v>-10.4</v>
      </c>
      <c r="H14"/>
      <c r="I14"/>
    </row>
    <row r="15" spans="1:9" s="61" customFormat="1" ht="14">
      <c r="A15" s="34" t="s">
        <v>27</v>
      </c>
      <c r="B15" s="119"/>
      <c r="C15" s="119"/>
      <c r="D15" s="76">
        <f>ROUND(AVERAGE(D9:D14),3)</f>
        <v>129.26599999999999</v>
      </c>
      <c r="E15" s="119"/>
      <c r="F15" s="76">
        <f>ROUND(AVERAGE(F9:F14),3)</f>
        <v>16597.187999999998</v>
      </c>
      <c r="G15" s="119"/>
      <c r="H15"/>
    </row>
    <row r="16" spans="1:9" s="61" customFormat="1" ht="14">
      <c r="A16" s="34" t="s">
        <v>3</v>
      </c>
      <c r="B16" s="120"/>
      <c r="C16" s="120"/>
      <c r="D16" s="76">
        <f>ROUND(STDEV(D9:D14),3)</f>
        <v>10.616</v>
      </c>
      <c r="E16" s="120"/>
      <c r="F16" s="76">
        <f>ROUND(STDEV(F9:F14),3)</f>
        <v>599.55999999999995</v>
      </c>
      <c r="G16" s="120"/>
      <c r="H16"/>
    </row>
    <row r="17" spans="1:8" s="61" customFormat="1" ht="14">
      <c r="A17" s="34" t="s">
        <v>50</v>
      </c>
      <c r="B17" s="120"/>
      <c r="C17" s="120"/>
      <c r="D17" s="92">
        <f>ROUND(D16/D15*100,1)</f>
        <v>8.1999999999999993</v>
      </c>
      <c r="E17" s="120"/>
      <c r="F17" s="92">
        <f>ROUND(F16/F15*100,1)</f>
        <v>3.6</v>
      </c>
      <c r="G17" s="120"/>
      <c r="H17"/>
    </row>
    <row r="18" spans="1:8" s="61" customFormat="1" ht="14">
      <c r="A18" s="34" t="s">
        <v>51</v>
      </c>
      <c r="B18" s="120"/>
      <c r="C18" s="120"/>
      <c r="D18" s="92">
        <f>ROUND(D15/D$7*100,1)</f>
        <v>86.2</v>
      </c>
      <c r="E18" s="120"/>
      <c r="F18" s="92">
        <f>ROUND(F15/F$7*100,1)</f>
        <v>88.5</v>
      </c>
      <c r="G18" s="120"/>
      <c r="H18"/>
    </row>
    <row r="19" spans="1:8" s="61" customFormat="1" ht="14">
      <c r="A19" s="34" t="s">
        <v>5</v>
      </c>
      <c r="B19" s="121"/>
      <c r="C19" s="121"/>
      <c r="D19" s="34">
        <v>6</v>
      </c>
      <c r="E19" s="121"/>
      <c r="F19" s="34">
        <v>6</v>
      </c>
      <c r="G19" s="121"/>
      <c r="H19"/>
    </row>
    <row r="20" spans="1:8" ht="14">
      <c r="A20" s="33"/>
      <c r="B20" s="33"/>
      <c r="C20" s="33"/>
      <c r="D20" s="33"/>
      <c r="E20" s="33"/>
      <c r="F20" s="33"/>
      <c r="G20" s="33"/>
      <c r="H20"/>
    </row>
    <row r="21" spans="1:8">
      <c r="A21" s="33"/>
      <c r="B21" s="33"/>
      <c r="C21" s="33"/>
      <c r="D21" s="33"/>
      <c r="E21" s="33"/>
      <c r="F21" s="33"/>
      <c r="G21" s="33"/>
      <c r="H21" s="33"/>
    </row>
    <row r="22" spans="1:8">
      <c r="A22" s="33"/>
      <c r="B22" s="33"/>
      <c r="C22" s="33"/>
      <c r="D22" s="33"/>
      <c r="E22" s="33"/>
      <c r="F22" s="33"/>
      <c r="G22" s="33"/>
      <c r="H22" s="33"/>
    </row>
    <row r="23" spans="1:8">
      <c r="A23" s="33"/>
      <c r="B23" s="33"/>
      <c r="C23" s="33"/>
      <c r="D23" s="33"/>
      <c r="E23" s="33"/>
      <c r="F23" s="33"/>
      <c r="G23" s="33"/>
      <c r="H23" s="33"/>
    </row>
    <row r="24" spans="1:8" s="61" customFormat="1">
      <c r="A24" s="33"/>
      <c r="B24" s="33"/>
      <c r="C24" s="33"/>
      <c r="D24" s="33"/>
      <c r="E24" s="33"/>
      <c r="F24" s="33"/>
      <c r="G24" s="33"/>
      <c r="H24" s="33"/>
    </row>
    <row r="25" spans="1:8" s="61" customFormat="1">
      <c r="A25" s="33"/>
      <c r="B25" s="33"/>
      <c r="C25" s="33"/>
      <c r="D25" s="33"/>
      <c r="E25" s="33"/>
      <c r="F25" s="33"/>
      <c r="G25" s="33"/>
      <c r="H25" s="33"/>
    </row>
    <row r="26" spans="1:8" s="61" customFormat="1">
      <c r="A26" s="33"/>
      <c r="B26" s="33"/>
      <c r="C26" s="33"/>
      <c r="D26" s="33"/>
      <c r="E26" s="33"/>
      <c r="F26" s="33"/>
      <c r="G26" s="33"/>
      <c r="H26" s="33"/>
    </row>
    <row r="27" spans="1:8" s="61" customFormat="1">
      <c r="A27" s="33"/>
      <c r="B27" s="33"/>
      <c r="C27" s="33"/>
      <c r="D27" s="33"/>
      <c r="E27" s="33"/>
      <c r="F27" s="33"/>
      <c r="G27" s="33"/>
      <c r="H27" s="33"/>
    </row>
    <row r="28" spans="1:8" s="61" customFormat="1">
      <c r="A28" s="33"/>
      <c r="B28" s="33"/>
      <c r="C28" s="33"/>
      <c r="D28" s="33"/>
      <c r="E28" s="33"/>
      <c r="F28" s="33"/>
      <c r="G28" s="33"/>
      <c r="H28" s="33"/>
    </row>
    <row r="29" spans="1:8" s="61" customFormat="1">
      <c r="A29" s="33"/>
      <c r="B29" s="33"/>
      <c r="C29" s="33"/>
      <c r="D29" s="33"/>
      <c r="E29" s="33"/>
      <c r="F29" s="33"/>
      <c r="G29" s="33"/>
      <c r="H29" s="33"/>
    </row>
    <row r="30" spans="1:8" s="61" customFormat="1">
      <c r="A30" s="33"/>
      <c r="B30" s="33"/>
      <c r="C30" s="33"/>
      <c r="D30" s="33"/>
      <c r="E30" s="33"/>
      <c r="F30" s="33"/>
      <c r="G30" s="33"/>
      <c r="H30" s="33"/>
    </row>
    <row r="31" spans="1:8" s="61" customFormat="1">
      <c r="A31" s="33"/>
      <c r="B31" s="33"/>
      <c r="C31" s="33"/>
      <c r="D31" s="33"/>
      <c r="E31" s="33"/>
      <c r="F31" s="33"/>
      <c r="G31" s="33"/>
      <c r="H31" s="33"/>
    </row>
    <row r="32" spans="1:8" s="61" customFormat="1">
      <c r="A32" s="33"/>
      <c r="B32" s="33"/>
      <c r="C32" s="33"/>
      <c r="D32" s="33"/>
      <c r="E32" s="33"/>
      <c r="F32" s="33"/>
      <c r="G32" s="33"/>
      <c r="H32" s="33"/>
    </row>
    <row r="33" spans="1:8" s="61" customFormat="1">
      <c r="A33" s="33"/>
      <c r="B33" s="33"/>
      <c r="C33" s="33"/>
      <c r="D33" s="33"/>
      <c r="E33" s="33"/>
      <c r="F33" s="33"/>
      <c r="G33" s="33"/>
      <c r="H33" s="33"/>
    </row>
    <row r="34" spans="1:8" s="61" customFormat="1">
      <c r="A34" s="33"/>
      <c r="B34" s="33"/>
      <c r="C34" s="33"/>
      <c r="D34" s="33"/>
      <c r="E34" s="33"/>
      <c r="F34" s="33"/>
      <c r="G34" s="33"/>
      <c r="H34" s="33"/>
    </row>
    <row r="35" spans="1:8" s="61" customFormat="1">
      <c r="A35" s="33"/>
      <c r="B35" s="33"/>
      <c r="C35" s="33"/>
      <c r="D35" s="33"/>
      <c r="E35" s="33"/>
      <c r="F35" s="33"/>
      <c r="G35" s="33"/>
      <c r="H35" s="33"/>
    </row>
    <row r="36" spans="1:8" s="61" customFormat="1">
      <c r="A36" s="33"/>
      <c r="B36" s="33"/>
      <c r="C36" s="33"/>
      <c r="D36" s="33"/>
      <c r="E36" s="33"/>
      <c r="F36" s="33"/>
      <c r="G36" s="33"/>
      <c r="H36" s="33"/>
    </row>
    <row r="37" spans="1:8" s="61" customFormat="1">
      <c r="A37" s="33"/>
      <c r="B37" s="33"/>
      <c r="C37" s="33"/>
      <c r="D37" s="33"/>
      <c r="E37" s="33"/>
      <c r="F37" s="33"/>
      <c r="G37" s="33"/>
      <c r="H37" s="33"/>
    </row>
    <row r="38" spans="1:8">
      <c r="A38" s="33"/>
      <c r="B38" s="33"/>
      <c r="C38" s="33"/>
      <c r="D38" s="33"/>
      <c r="E38" s="33"/>
      <c r="F38" s="33"/>
      <c r="G38" s="33"/>
      <c r="H38" s="33"/>
    </row>
    <row r="39" spans="1:8">
      <c r="A39" s="33"/>
      <c r="B39" s="33"/>
      <c r="C39" s="33"/>
      <c r="D39" s="33"/>
      <c r="E39" s="33"/>
      <c r="F39" s="33"/>
      <c r="G39" s="33"/>
      <c r="H39" s="33"/>
    </row>
  </sheetData>
  <mergeCells count="13">
    <mergeCell ref="A2:F2"/>
    <mergeCell ref="A6:A8"/>
    <mergeCell ref="B6:B8"/>
    <mergeCell ref="E6:E8"/>
    <mergeCell ref="G6:G8"/>
    <mergeCell ref="C6:C8"/>
    <mergeCell ref="G15:G19"/>
    <mergeCell ref="A9:A14"/>
    <mergeCell ref="C9:C14"/>
    <mergeCell ref="B15:B19"/>
    <mergeCell ref="C15:C19"/>
    <mergeCell ref="E15:E19"/>
    <mergeCell ref="B9:B14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5879-2433-40C1-AE30-11025E2C8090}">
  <sheetPr>
    <tabColor rgb="FF00B050"/>
    <pageSetUpPr fitToPage="1"/>
  </sheetPr>
  <dimension ref="A2:J48"/>
  <sheetViews>
    <sheetView tabSelected="1" view="pageBreakPreview" zoomScaleNormal="100" zoomScaleSheetLayoutView="100" workbookViewId="0">
      <selection activeCell="I7" sqref="I7"/>
    </sheetView>
  </sheetViews>
  <sheetFormatPr defaultColWidth="8.83203125" defaultRowHeight="13.5"/>
  <cols>
    <col min="1" max="2" width="14.08203125" style="3" customWidth="1"/>
    <col min="3" max="3" width="17.5" style="3" customWidth="1"/>
    <col min="4" max="6" width="14.08203125" style="3" customWidth="1"/>
    <col min="7" max="7" width="14" style="3" customWidth="1"/>
    <col min="8" max="8" width="8.83203125" style="3"/>
    <col min="9" max="9" width="16.75" style="3" customWidth="1"/>
    <col min="10" max="16384" width="8.83203125" style="3"/>
  </cols>
  <sheetData>
    <row r="2" spans="1:10">
      <c r="A2" s="3" t="s">
        <v>533</v>
      </c>
    </row>
    <row r="4" spans="1:10">
      <c r="A4" s="3" t="s">
        <v>517</v>
      </c>
    </row>
    <row r="5" spans="1:10" ht="14">
      <c r="A5" s="90" t="s">
        <v>532</v>
      </c>
      <c r="B5" s="32"/>
      <c r="C5" s="32"/>
      <c r="D5" s="32"/>
      <c r="E5" s="32"/>
      <c r="H5" s="23" t="s">
        <v>531</v>
      </c>
      <c r="I5" s="74">
        <v>45366.808333333334</v>
      </c>
    </row>
    <row r="6" spans="1:10" ht="15.75" customHeight="1">
      <c r="A6" s="114" t="s">
        <v>34</v>
      </c>
      <c r="B6" s="114" t="s">
        <v>23</v>
      </c>
      <c r="C6" s="34" t="s">
        <v>2</v>
      </c>
      <c r="D6" s="108" t="s">
        <v>47</v>
      </c>
      <c r="E6" s="34" t="s">
        <v>1</v>
      </c>
      <c r="F6" s="108" t="s">
        <v>47</v>
      </c>
      <c r="H6" s="23" t="s">
        <v>530</v>
      </c>
      <c r="I6" s="74">
        <v>45371.117893518516</v>
      </c>
    </row>
    <row r="7" spans="1:10" ht="15.75" customHeight="1">
      <c r="A7" s="125"/>
      <c r="B7" s="125"/>
      <c r="C7" s="50">
        <v>150</v>
      </c>
      <c r="D7" s="108"/>
      <c r="E7" s="50">
        <v>18750</v>
      </c>
      <c r="F7" s="108"/>
      <c r="H7" s="23" t="s">
        <v>529</v>
      </c>
      <c r="I7" s="75">
        <f>(I6-I5)*24</f>
        <v>103.4294444443658</v>
      </c>
    </row>
    <row r="8" spans="1:10" ht="15.75" customHeight="1">
      <c r="A8" s="115"/>
      <c r="B8" s="115"/>
      <c r="C8" s="51" t="s">
        <v>118</v>
      </c>
      <c r="D8" s="108"/>
      <c r="E8" s="51" t="s">
        <v>118</v>
      </c>
      <c r="F8" s="108"/>
    </row>
    <row r="9" spans="1:10" ht="15.75" customHeight="1">
      <c r="A9" s="127">
        <v>45370</v>
      </c>
      <c r="B9" s="114">
        <v>4</v>
      </c>
      <c r="C9" s="76">
        <v>151.13499999999999</v>
      </c>
      <c r="D9" s="92">
        <f>ROUND((C9-C$7)/C$7*100,1)</f>
        <v>0.8</v>
      </c>
      <c r="E9" s="76">
        <v>19341.491999999998</v>
      </c>
      <c r="F9" s="92">
        <f>ROUND((E9-E$7)/E$7*100,1)</f>
        <v>3.2</v>
      </c>
      <c r="G9"/>
      <c r="H9"/>
      <c r="I9" s="61"/>
      <c r="J9" s="61"/>
    </row>
    <row r="10" spans="1:10" ht="15.75" customHeight="1">
      <c r="A10" s="127"/>
      <c r="B10" s="125"/>
      <c r="C10" s="76">
        <v>148.80600000000001</v>
      </c>
      <c r="D10" s="92">
        <f>ROUND((C10-C$7)/C$7*100,1)</f>
        <v>-0.8</v>
      </c>
      <c r="E10" s="76">
        <v>18187.266</v>
      </c>
      <c r="F10" s="92">
        <f>ROUND((E10-E$7)/E$7*100,1)</f>
        <v>-3</v>
      </c>
      <c r="G10"/>
      <c r="H10"/>
      <c r="I10" s="61"/>
      <c r="J10" s="61"/>
    </row>
    <row r="11" spans="1:10" ht="15.75" customHeight="1">
      <c r="A11" s="127"/>
      <c r="B11" s="125"/>
      <c r="C11" s="76">
        <v>164.83799999999999</v>
      </c>
      <c r="D11" s="92">
        <f>ROUND((C11-C$7)/C$7*100,1)</f>
        <v>9.9</v>
      </c>
      <c r="E11" s="76">
        <v>18857.584999999999</v>
      </c>
      <c r="F11" s="92">
        <f>ROUND((E11-E$7)/E$7*100,1)</f>
        <v>0.6</v>
      </c>
      <c r="G11"/>
      <c r="H11"/>
      <c r="I11" s="61"/>
      <c r="J11" s="61"/>
    </row>
    <row r="12" spans="1:10" ht="15.75" customHeight="1">
      <c r="A12" s="127"/>
      <c r="B12" s="125"/>
      <c r="C12" s="76">
        <v>125.137</v>
      </c>
      <c r="D12" s="92">
        <f>ROUND((C12-C$7)/C$7*100,1)</f>
        <v>-16.600000000000001</v>
      </c>
      <c r="E12" s="76">
        <v>17702.420999999998</v>
      </c>
      <c r="F12" s="92">
        <f>ROUND((E12-E$7)/E$7*100,1)</f>
        <v>-5.6</v>
      </c>
      <c r="G12"/>
      <c r="H12"/>
      <c r="I12" s="61"/>
      <c r="J12" s="61"/>
    </row>
    <row r="13" spans="1:10" ht="15.75" customHeight="1">
      <c r="A13" s="127"/>
      <c r="B13" s="125"/>
      <c r="C13" s="76">
        <v>139.25200000000001</v>
      </c>
      <c r="D13" s="92">
        <f>ROUND((C13-C$7)/C$7*100,1)</f>
        <v>-7.2</v>
      </c>
      <c r="E13" s="76">
        <v>17448.526999999998</v>
      </c>
      <c r="F13" s="92">
        <f>ROUND((E13-E$7)/E$7*100,1)</f>
        <v>-6.9</v>
      </c>
      <c r="G13"/>
      <c r="H13"/>
      <c r="I13" s="61"/>
      <c r="J13" s="61"/>
    </row>
    <row r="14" spans="1:10" ht="15.75" customHeight="1">
      <c r="A14" s="127"/>
      <c r="B14" s="115"/>
      <c r="C14" s="76">
        <v>157.26599999999999</v>
      </c>
      <c r="D14" s="92">
        <f>ROUND((C14-C$7)/C$7*100,1)</f>
        <v>4.8</v>
      </c>
      <c r="E14" s="76">
        <v>18244.440999999999</v>
      </c>
      <c r="F14" s="92">
        <f>ROUND((E14-E$7)/E$7*100,1)</f>
        <v>-2.7</v>
      </c>
      <c r="G14"/>
      <c r="H14"/>
      <c r="I14" s="61"/>
      <c r="J14" s="61"/>
    </row>
    <row r="15" spans="1:10" ht="15.75" customHeight="1">
      <c r="A15" s="34" t="s">
        <v>27</v>
      </c>
      <c r="B15" s="119"/>
      <c r="C15" s="76">
        <f>ROUND(AVERAGE(C9:C14),3)</f>
        <v>147.739</v>
      </c>
      <c r="D15" s="119"/>
      <c r="E15" s="76">
        <f>ROUND(AVERAGE(E9:E14),3)</f>
        <v>18296.955000000002</v>
      </c>
      <c r="F15" s="119"/>
      <c r="G15"/>
    </row>
    <row r="16" spans="1:10" ht="15.75" customHeight="1">
      <c r="A16" s="34" t="s">
        <v>3</v>
      </c>
      <c r="B16" s="120"/>
      <c r="C16" s="76">
        <f>ROUND(STDEV(C9:C14),3)</f>
        <v>13.991</v>
      </c>
      <c r="D16" s="120"/>
      <c r="E16" s="76">
        <f>ROUND(STDEV(E9:E14),3)</f>
        <v>706.18</v>
      </c>
      <c r="F16" s="120"/>
      <c r="G16"/>
    </row>
    <row r="17" spans="1:9" ht="15.75" customHeight="1">
      <c r="A17" s="34" t="s">
        <v>50</v>
      </c>
      <c r="B17" s="120"/>
      <c r="C17" s="92">
        <f>ROUND(C16/C15*100,1)</f>
        <v>9.5</v>
      </c>
      <c r="D17" s="120"/>
      <c r="E17" s="92">
        <f>ROUND(E16/E15*100,1)</f>
        <v>3.9</v>
      </c>
      <c r="F17" s="120"/>
      <c r="G17"/>
    </row>
    <row r="18" spans="1:9" ht="15.75" customHeight="1">
      <c r="A18" s="34" t="s">
        <v>51</v>
      </c>
      <c r="B18" s="120"/>
      <c r="C18" s="92">
        <f>ROUND(C15/C$7*100,1)</f>
        <v>98.5</v>
      </c>
      <c r="D18" s="120"/>
      <c r="E18" s="92">
        <f>ROUND(E15/E$7*100,1)</f>
        <v>97.6</v>
      </c>
      <c r="F18" s="120"/>
      <c r="G18"/>
    </row>
    <row r="19" spans="1:9" ht="15.75" customHeight="1">
      <c r="A19" s="34" t="s">
        <v>5</v>
      </c>
      <c r="B19" s="121"/>
      <c r="C19" s="34">
        <v>6</v>
      </c>
      <c r="D19" s="121"/>
      <c r="E19" s="34">
        <v>6</v>
      </c>
      <c r="F19" s="121"/>
      <c r="G19"/>
    </row>
    <row r="20" spans="1:9" ht="15.75" customHeight="1">
      <c r="A20" s="69"/>
      <c r="D20" s="69"/>
      <c r="E20" s="69"/>
      <c r="F20" s="69"/>
      <c r="G20"/>
      <c r="H20" s="246"/>
      <c r="I20" s="245"/>
    </row>
    <row r="21" spans="1:9">
      <c r="A21" s="244"/>
      <c r="B21" s="244"/>
      <c r="C21" s="244"/>
      <c r="D21" s="244"/>
      <c r="E21" s="244"/>
      <c r="F21" s="244"/>
      <c r="G21" s="244"/>
      <c r="H21" s="244"/>
      <c r="I21" s="244"/>
    </row>
    <row r="22" spans="1:9">
      <c r="A22" s="244"/>
      <c r="B22" s="244"/>
      <c r="C22" s="244"/>
      <c r="D22" s="244"/>
      <c r="E22" s="244"/>
      <c r="F22" s="244"/>
      <c r="G22" s="244"/>
      <c r="H22" s="244"/>
      <c r="I22" s="244"/>
    </row>
    <row r="23" spans="1:9">
      <c r="A23" s="244"/>
      <c r="B23" s="244"/>
      <c r="C23" s="244"/>
      <c r="D23" s="244"/>
      <c r="E23" s="244"/>
      <c r="F23" s="244"/>
      <c r="G23" s="244"/>
      <c r="H23" s="244"/>
      <c r="I23" s="244"/>
    </row>
    <row r="24" spans="1:9" ht="15.75" customHeight="1">
      <c r="A24" s="244"/>
      <c r="B24" s="244"/>
      <c r="C24" s="244"/>
      <c r="D24" s="244"/>
      <c r="E24" s="244"/>
      <c r="F24" s="244"/>
      <c r="G24" s="244"/>
      <c r="H24" s="244"/>
      <c r="I24" s="244"/>
    </row>
    <row r="25" spans="1:9" ht="15.75" customHeight="1">
      <c r="A25" s="244"/>
      <c r="B25" s="244"/>
      <c r="C25" s="244"/>
      <c r="D25" s="244"/>
      <c r="E25" s="244"/>
      <c r="F25" s="244"/>
      <c r="G25" s="244"/>
      <c r="H25" s="244"/>
      <c r="I25" s="244"/>
    </row>
    <row r="26" spans="1:9" ht="15.75" customHeight="1">
      <c r="A26" s="244"/>
      <c r="B26" s="244"/>
      <c r="C26" s="244"/>
      <c r="D26" s="244"/>
      <c r="E26" s="244"/>
      <c r="F26" s="244"/>
      <c r="G26" s="244"/>
      <c r="H26" s="244"/>
      <c r="I26" s="244"/>
    </row>
    <row r="27" spans="1:9" ht="15.75" customHeight="1">
      <c r="A27" s="244"/>
      <c r="B27" s="244"/>
      <c r="C27" s="244"/>
      <c r="D27" s="244"/>
      <c r="E27" s="244"/>
      <c r="F27" s="244"/>
      <c r="G27" s="244"/>
      <c r="H27" s="244"/>
      <c r="I27" s="244"/>
    </row>
    <row r="28" spans="1:9" ht="15.75" customHeight="1">
      <c r="A28" s="244"/>
      <c r="B28" s="244"/>
      <c r="C28" s="244"/>
      <c r="D28" s="244"/>
      <c r="E28" s="244"/>
      <c r="F28" s="244"/>
      <c r="G28" s="244"/>
      <c r="H28" s="244"/>
      <c r="I28" s="244"/>
    </row>
    <row r="29" spans="1:9" ht="15.75" customHeight="1">
      <c r="A29" s="244"/>
      <c r="B29" s="244"/>
      <c r="C29" s="244"/>
      <c r="D29" s="244"/>
      <c r="E29" s="244"/>
      <c r="F29" s="244"/>
      <c r="G29" s="244"/>
      <c r="H29" s="244"/>
      <c r="I29" s="244"/>
    </row>
    <row r="30" spans="1:9" ht="15.75" customHeight="1">
      <c r="A30" s="244"/>
      <c r="B30" s="244"/>
      <c r="C30" s="244"/>
      <c r="D30" s="244"/>
      <c r="E30" s="244"/>
      <c r="F30" s="244"/>
      <c r="G30" s="244"/>
      <c r="H30" s="244"/>
      <c r="I30" s="244"/>
    </row>
    <row r="31" spans="1:9" ht="15.75" customHeight="1">
      <c r="A31" s="244"/>
      <c r="B31" s="244"/>
      <c r="C31" s="244"/>
      <c r="D31" s="244"/>
      <c r="E31" s="244"/>
      <c r="F31" s="244"/>
      <c r="G31" s="244"/>
      <c r="H31" s="244"/>
      <c r="I31" s="244"/>
    </row>
    <row r="32" spans="1:9" ht="15.75" customHeight="1">
      <c r="A32" s="244"/>
      <c r="B32" s="244"/>
      <c r="C32" s="244"/>
      <c r="D32" s="244"/>
      <c r="E32" s="244"/>
      <c r="F32" s="244"/>
      <c r="G32" s="244"/>
      <c r="H32" s="244"/>
      <c r="I32" s="244"/>
    </row>
    <row r="33" spans="1:9" ht="15.75" customHeight="1">
      <c r="A33" s="244"/>
      <c r="B33" s="244"/>
      <c r="C33" s="244"/>
      <c r="D33" s="244"/>
      <c r="E33" s="244"/>
      <c r="F33" s="244"/>
      <c r="G33" s="244"/>
      <c r="H33" s="244"/>
      <c r="I33" s="244"/>
    </row>
    <row r="34" spans="1:9" ht="15.75" customHeight="1">
      <c r="A34" s="244"/>
      <c r="B34" s="244"/>
      <c r="C34" s="244"/>
      <c r="D34" s="244"/>
      <c r="E34" s="244"/>
      <c r="F34" s="244"/>
      <c r="G34" s="244"/>
      <c r="H34" s="244"/>
      <c r="I34" s="244"/>
    </row>
    <row r="35" spans="1:9" ht="15.75" customHeight="1">
      <c r="A35" s="244"/>
      <c r="B35" s="244"/>
      <c r="C35" s="244"/>
      <c r="D35" s="244"/>
      <c r="E35" s="244"/>
      <c r="F35" s="244"/>
      <c r="G35" s="244"/>
      <c r="H35" s="244"/>
      <c r="I35" s="244"/>
    </row>
    <row r="36" spans="1:9" ht="15.75" customHeight="1">
      <c r="A36" s="244"/>
      <c r="B36" s="244"/>
      <c r="C36" s="244"/>
      <c r="D36" s="244"/>
      <c r="E36" s="244"/>
      <c r="F36" s="244"/>
      <c r="G36" s="244"/>
      <c r="H36" s="244"/>
      <c r="I36" s="244"/>
    </row>
    <row r="37" spans="1:9" ht="15.75" customHeight="1">
      <c r="A37" s="244"/>
      <c r="B37" s="244"/>
      <c r="C37" s="244"/>
      <c r="D37" s="244"/>
      <c r="E37" s="244"/>
      <c r="F37" s="244"/>
      <c r="G37" s="244"/>
      <c r="H37" s="244"/>
      <c r="I37" s="244"/>
    </row>
    <row r="38" spans="1:9">
      <c r="A38" s="244"/>
      <c r="B38" s="244"/>
      <c r="C38" s="244"/>
      <c r="D38" s="244"/>
      <c r="E38" s="244"/>
      <c r="F38" s="244"/>
      <c r="G38" s="244"/>
      <c r="H38" s="244"/>
      <c r="I38" s="244"/>
    </row>
    <row r="39" spans="1:9">
      <c r="A39" s="244"/>
      <c r="B39" s="244"/>
      <c r="C39" s="244"/>
      <c r="D39" s="244"/>
      <c r="E39" s="244"/>
      <c r="F39" s="244"/>
      <c r="G39" s="244"/>
      <c r="H39" s="244"/>
      <c r="I39" s="244"/>
    </row>
    <row r="40" spans="1:9">
      <c r="A40" s="244"/>
      <c r="B40" s="244"/>
      <c r="C40" s="244"/>
      <c r="D40" s="244"/>
      <c r="E40" s="244"/>
      <c r="F40" s="244"/>
      <c r="G40" s="244"/>
      <c r="H40" s="244"/>
      <c r="I40" s="244"/>
    </row>
    <row r="41" spans="1:9">
      <c r="A41" s="244"/>
      <c r="B41" s="244"/>
      <c r="C41" s="244"/>
      <c r="D41" s="244"/>
      <c r="E41" s="244"/>
      <c r="F41" s="244"/>
      <c r="G41" s="244"/>
      <c r="H41" s="244"/>
      <c r="I41" s="244"/>
    </row>
    <row r="42" spans="1:9">
      <c r="A42" s="244"/>
      <c r="B42" s="244"/>
      <c r="C42" s="244"/>
      <c r="D42" s="244"/>
      <c r="E42" s="244"/>
      <c r="F42" s="244"/>
      <c r="G42" s="244"/>
      <c r="H42" s="244"/>
      <c r="I42" s="244"/>
    </row>
    <row r="43" spans="1:9">
      <c r="A43" s="244"/>
      <c r="B43" s="244"/>
      <c r="C43" s="244"/>
      <c r="D43" s="244"/>
      <c r="E43" s="244"/>
      <c r="F43" s="244"/>
      <c r="G43" s="244"/>
      <c r="H43" s="244"/>
      <c r="I43" s="244"/>
    </row>
    <row r="44" spans="1:9">
      <c r="A44" s="244"/>
      <c r="B44" s="244"/>
      <c r="C44" s="244"/>
      <c r="D44" s="244"/>
      <c r="E44" s="244"/>
      <c r="F44" s="244"/>
      <c r="G44" s="244"/>
      <c r="H44" s="244"/>
      <c r="I44" s="244"/>
    </row>
    <row r="45" spans="1:9">
      <c r="A45" s="244"/>
      <c r="B45" s="244"/>
      <c r="C45" s="244"/>
      <c r="D45" s="244"/>
      <c r="E45" s="244"/>
      <c r="F45" s="244"/>
      <c r="G45" s="244"/>
      <c r="H45" s="244"/>
      <c r="I45" s="244"/>
    </row>
    <row r="46" spans="1:9">
      <c r="A46" s="244"/>
      <c r="B46" s="244"/>
      <c r="C46" s="244"/>
      <c r="D46" s="244"/>
      <c r="E46" s="244"/>
      <c r="F46" s="244"/>
      <c r="G46" s="244"/>
      <c r="H46" s="244"/>
      <c r="I46" s="244"/>
    </row>
    <row r="47" spans="1:9">
      <c r="A47" s="244"/>
      <c r="B47" s="244"/>
      <c r="C47" s="244"/>
      <c r="D47" s="244"/>
      <c r="E47" s="244"/>
      <c r="F47" s="244"/>
      <c r="G47" s="244"/>
      <c r="H47" s="244"/>
      <c r="I47" s="244"/>
    </row>
    <row r="48" spans="1:9">
      <c r="A48" s="244"/>
      <c r="B48" s="244"/>
      <c r="C48" s="244"/>
      <c r="D48" s="244"/>
      <c r="E48" s="244"/>
      <c r="F48" s="244"/>
      <c r="G48" s="244"/>
      <c r="H48" s="244"/>
      <c r="I48" s="244"/>
    </row>
  </sheetData>
  <mergeCells count="9">
    <mergeCell ref="D15:D19"/>
    <mergeCell ref="F15:F19"/>
    <mergeCell ref="D6:D8"/>
    <mergeCell ref="B15:B19"/>
    <mergeCell ref="A9:A14"/>
    <mergeCell ref="B9:B14"/>
    <mergeCell ref="A6:A8"/>
    <mergeCell ref="B6:B8"/>
    <mergeCell ref="F6:F8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2:K56"/>
  <sheetViews>
    <sheetView view="pageBreakPreview" zoomScaleNormal="100" zoomScaleSheetLayoutView="100" workbookViewId="0">
      <selection activeCell="G17" sqref="G17"/>
    </sheetView>
  </sheetViews>
  <sheetFormatPr defaultColWidth="8.83203125" defaultRowHeight="13.5"/>
  <cols>
    <col min="1" max="1" width="13.5" style="3" customWidth="1"/>
    <col min="2" max="2" width="14.58203125" style="3" customWidth="1"/>
    <col min="3" max="3" width="10.58203125" style="3" customWidth="1"/>
    <col min="4" max="4" width="12.83203125" style="3" customWidth="1"/>
    <col min="5" max="5" width="10.83203125" style="3" customWidth="1"/>
    <col min="6" max="6" width="14.5" style="3" customWidth="1"/>
    <col min="7" max="9" width="8.83203125" style="3"/>
    <col min="10" max="10" width="8.83203125" style="80"/>
    <col min="11" max="11" width="17.33203125" style="3" customWidth="1"/>
    <col min="12" max="16384" width="8.83203125" style="3"/>
  </cols>
  <sheetData>
    <row r="2" spans="1:11">
      <c r="A2" s="3" t="s">
        <v>36</v>
      </c>
    </row>
    <row r="4" spans="1:11">
      <c r="A4" s="3" t="s">
        <v>100</v>
      </c>
    </row>
    <row r="5" spans="1:11" ht="14">
      <c r="A5" s="3" t="s">
        <v>306</v>
      </c>
      <c r="B5" s="32"/>
      <c r="C5" s="32"/>
      <c r="D5" s="32"/>
      <c r="E5" s="32"/>
      <c r="H5" s="22"/>
      <c r="J5" s="23" t="s">
        <v>59</v>
      </c>
      <c r="K5" s="81">
        <v>45366</v>
      </c>
    </row>
    <row r="6" spans="1:11" ht="14.15" customHeight="1">
      <c r="A6" s="114" t="s">
        <v>34</v>
      </c>
      <c r="B6" s="114" t="s">
        <v>23</v>
      </c>
      <c r="C6" s="34" t="s">
        <v>2</v>
      </c>
      <c r="D6" s="108" t="s">
        <v>47</v>
      </c>
      <c r="E6" s="34" t="s">
        <v>1</v>
      </c>
      <c r="F6" s="108" t="s">
        <v>47</v>
      </c>
      <c r="H6" s="22"/>
      <c r="J6" s="23" t="s">
        <v>60</v>
      </c>
      <c r="K6" s="81">
        <v>45439</v>
      </c>
    </row>
    <row r="7" spans="1:11" ht="14.15" customHeight="1">
      <c r="A7" s="125"/>
      <c r="B7" s="125"/>
      <c r="C7" s="50">
        <v>150</v>
      </c>
      <c r="D7" s="108"/>
      <c r="E7" s="50">
        <v>18750</v>
      </c>
      <c r="F7" s="108"/>
      <c r="H7" s="22"/>
      <c r="J7" s="23" t="s">
        <v>61</v>
      </c>
      <c r="K7" s="39">
        <f>K6-K5</f>
        <v>73</v>
      </c>
    </row>
    <row r="8" spans="1:11" ht="15" customHeight="1">
      <c r="A8" s="115"/>
      <c r="B8" s="115"/>
      <c r="C8" s="51" t="s">
        <v>118</v>
      </c>
      <c r="D8" s="108"/>
      <c r="E8" s="51" t="s">
        <v>118</v>
      </c>
      <c r="F8" s="108"/>
    </row>
    <row r="9" spans="1:11" ht="15" customHeight="1">
      <c r="A9" s="127">
        <v>45443</v>
      </c>
      <c r="B9" s="114">
        <v>10</v>
      </c>
      <c r="C9" s="67">
        <v>151.55199999999999</v>
      </c>
      <c r="D9" s="42">
        <f>ROUND((C9-C$7)/C$7*100,1)</f>
        <v>1</v>
      </c>
      <c r="E9" s="67">
        <v>19285.475999999999</v>
      </c>
      <c r="F9" s="42">
        <f t="shared" ref="F9:F14" si="0">ROUND((E9-E$7)/E$7*100,1)</f>
        <v>2.9</v>
      </c>
    </row>
    <row r="10" spans="1:11" ht="15" customHeight="1">
      <c r="A10" s="127"/>
      <c r="B10" s="125"/>
      <c r="C10" s="67">
        <v>157.52600000000001</v>
      </c>
      <c r="D10" s="42">
        <f t="shared" ref="D10:D14" si="1">ROUND((C10-C$7)/C$7*100,1)</f>
        <v>5</v>
      </c>
      <c r="E10" s="67">
        <v>19804.922999999999</v>
      </c>
      <c r="F10" s="42">
        <f t="shared" si="0"/>
        <v>5.6</v>
      </c>
    </row>
    <row r="11" spans="1:11" ht="15" customHeight="1">
      <c r="A11" s="127"/>
      <c r="B11" s="125"/>
      <c r="C11" s="67">
        <v>137.898</v>
      </c>
      <c r="D11" s="42">
        <f t="shared" si="1"/>
        <v>-8.1</v>
      </c>
      <c r="E11" s="67">
        <v>18676.826000000001</v>
      </c>
      <c r="F11" s="42">
        <f t="shared" si="0"/>
        <v>-0.4</v>
      </c>
    </row>
    <row r="12" spans="1:11" ht="15" customHeight="1">
      <c r="A12" s="127"/>
      <c r="B12" s="125"/>
      <c r="C12" s="67">
        <v>158.959</v>
      </c>
      <c r="D12" s="42">
        <f t="shared" si="1"/>
        <v>6</v>
      </c>
      <c r="E12" s="67">
        <v>19175.79</v>
      </c>
      <c r="F12" s="42">
        <f t="shared" si="0"/>
        <v>2.2999999999999998</v>
      </c>
    </row>
    <row r="13" spans="1:11" ht="15" customHeight="1">
      <c r="A13" s="127"/>
      <c r="B13" s="125"/>
      <c r="C13" s="67">
        <v>150.84299999999999</v>
      </c>
      <c r="D13" s="42">
        <f t="shared" si="1"/>
        <v>0.6</v>
      </c>
      <c r="E13" s="67">
        <v>19403.664000000001</v>
      </c>
      <c r="F13" s="42">
        <f t="shared" si="0"/>
        <v>3.5</v>
      </c>
    </row>
    <row r="14" spans="1:11" ht="15" customHeight="1">
      <c r="A14" s="127"/>
      <c r="B14" s="115"/>
      <c r="C14" s="67">
        <v>127.399</v>
      </c>
      <c r="D14" s="42">
        <f t="shared" si="1"/>
        <v>-15.1</v>
      </c>
      <c r="E14" s="67">
        <v>18322.133000000002</v>
      </c>
      <c r="F14" s="42">
        <f t="shared" si="0"/>
        <v>-2.2999999999999998</v>
      </c>
    </row>
    <row r="15" spans="1:11" ht="15" customHeight="1">
      <c r="A15" s="34" t="s">
        <v>27</v>
      </c>
      <c r="B15" s="119"/>
      <c r="C15" s="52">
        <f>ROUND(AVERAGE(C9:C14),3)</f>
        <v>147.363</v>
      </c>
      <c r="D15" s="119"/>
      <c r="E15" s="52">
        <f>ROUND(AVERAGE(E9:E14),3)</f>
        <v>19111.469000000001</v>
      </c>
      <c r="F15" s="119"/>
    </row>
    <row r="16" spans="1:11" ht="15" customHeight="1">
      <c r="A16" s="34" t="s">
        <v>3</v>
      </c>
      <c r="B16" s="120"/>
      <c r="C16" s="52">
        <f>ROUND(STDEV(C9:C14),3)</f>
        <v>12.292999999999999</v>
      </c>
      <c r="D16" s="120"/>
      <c r="E16" s="52">
        <f>ROUND(STDEV(E9:E14),3)</f>
        <v>531.53300000000002</v>
      </c>
      <c r="F16" s="120"/>
    </row>
    <row r="17" spans="1:11" ht="15" customHeight="1">
      <c r="A17" s="34" t="s">
        <v>50</v>
      </c>
      <c r="B17" s="120"/>
      <c r="C17" s="42">
        <f>ROUND(C16/C15*100,1)</f>
        <v>8.3000000000000007</v>
      </c>
      <c r="D17" s="120"/>
      <c r="E17" s="42">
        <f>ROUND(E16/E15*100,1)</f>
        <v>2.8</v>
      </c>
      <c r="F17" s="120"/>
      <c r="H17" s="38"/>
    </row>
    <row r="18" spans="1:11" ht="15" customHeight="1">
      <c r="A18" s="34" t="s">
        <v>51</v>
      </c>
      <c r="B18" s="120"/>
      <c r="C18" s="42">
        <f>ROUND(C15/C$7*100,1)</f>
        <v>98.2</v>
      </c>
      <c r="D18" s="120"/>
      <c r="E18" s="42">
        <f>ROUND(E15/E$7*100,1)</f>
        <v>101.9</v>
      </c>
      <c r="F18" s="120"/>
    </row>
    <row r="19" spans="1:11" ht="15" customHeight="1">
      <c r="A19" s="34" t="s">
        <v>5</v>
      </c>
      <c r="B19" s="121"/>
      <c r="C19" s="34">
        <v>6</v>
      </c>
      <c r="D19" s="121"/>
      <c r="E19" s="34">
        <v>6</v>
      </c>
      <c r="F19" s="121"/>
    </row>
    <row r="20" spans="1:11" ht="15" customHeight="1">
      <c r="E20" s="69"/>
      <c r="F20" s="69"/>
    </row>
    <row r="21" spans="1:11">
      <c r="A21" s="33"/>
      <c r="B21" s="33"/>
      <c r="C21" s="33"/>
      <c r="D21" s="33"/>
      <c r="E21" s="33"/>
    </row>
    <row r="22" spans="1:11">
      <c r="A22" s="3" t="s">
        <v>100</v>
      </c>
    </row>
    <row r="23" spans="1:11" ht="14">
      <c r="A23" s="3" t="s">
        <v>307</v>
      </c>
      <c r="B23" s="32"/>
      <c r="C23" s="32"/>
      <c r="D23" s="32"/>
      <c r="E23" s="32"/>
      <c r="H23" s="22"/>
      <c r="J23" s="23" t="s">
        <v>59</v>
      </c>
      <c r="K23" s="81">
        <v>45366</v>
      </c>
    </row>
    <row r="24" spans="1:11" ht="14.15" customHeight="1">
      <c r="A24" s="114" t="s">
        <v>34</v>
      </c>
      <c r="B24" s="114" t="s">
        <v>23</v>
      </c>
      <c r="C24" s="34" t="s">
        <v>2</v>
      </c>
      <c r="D24" s="108" t="s">
        <v>47</v>
      </c>
      <c r="E24" s="34" t="s">
        <v>1</v>
      </c>
      <c r="F24" s="108" t="s">
        <v>47</v>
      </c>
      <c r="H24" s="22"/>
      <c r="J24" s="23" t="s">
        <v>60</v>
      </c>
      <c r="K24" s="81">
        <v>45448</v>
      </c>
    </row>
    <row r="25" spans="1:11" ht="14.15" customHeight="1">
      <c r="A25" s="125"/>
      <c r="B25" s="125"/>
      <c r="C25" s="50">
        <v>150</v>
      </c>
      <c r="D25" s="108"/>
      <c r="E25" s="50">
        <v>18750</v>
      </c>
      <c r="F25" s="108"/>
      <c r="H25" s="22"/>
      <c r="J25" s="23" t="s">
        <v>61</v>
      </c>
      <c r="K25" s="39">
        <f>K24-K23</f>
        <v>82</v>
      </c>
    </row>
    <row r="26" spans="1:11" ht="15" customHeight="1">
      <c r="A26" s="115"/>
      <c r="B26" s="115"/>
      <c r="C26" s="51" t="s">
        <v>118</v>
      </c>
      <c r="D26" s="108"/>
      <c r="E26" s="51" t="s">
        <v>118</v>
      </c>
      <c r="F26" s="108"/>
    </row>
    <row r="27" spans="1:11" ht="15" customHeight="1">
      <c r="A27" s="127">
        <v>45449</v>
      </c>
      <c r="B27" s="114">
        <v>11</v>
      </c>
      <c r="C27" s="67">
        <v>147.97800000000001</v>
      </c>
      <c r="D27" s="42">
        <f t="shared" ref="D27:D32" si="2">ROUND((C27-C$25)/C$25*100,1)</f>
        <v>-1.3</v>
      </c>
      <c r="E27" s="67">
        <v>18495.883999999998</v>
      </c>
      <c r="F27" s="42">
        <f t="shared" ref="F27:F32" si="3">ROUND((E27-E$25)/E$25*100,1)</f>
        <v>-1.4</v>
      </c>
    </row>
    <row r="28" spans="1:11" ht="15" customHeight="1">
      <c r="A28" s="127"/>
      <c r="B28" s="125"/>
      <c r="C28" s="67">
        <v>143.49799999999999</v>
      </c>
      <c r="D28" s="42">
        <f t="shared" si="2"/>
        <v>-4.3</v>
      </c>
      <c r="E28" s="67">
        <v>19285.503000000001</v>
      </c>
      <c r="F28" s="42">
        <f t="shared" si="3"/>
        <v>2.9</v>
      </c>
    </row>
    <row r="29" spans="1:11" ht="15" customHeight="1">
      <c r="A29" s="127"/>
      <c r="B29" s="125"/>
      <c r="C29" s="67">
        <v>114.77800000000001</v>
      </c>
      <c r="D29" s="42">
        <f t="shared" si="2"/>
        <v>-23.5</v>
      </c>
      <c r="E29" s="67">
        <v>16943.493999999999</v>
      </c>
      <c r="F29" s="42">
        <f t="shared" si="3"/>
        <v>-9.6</v>
      </c>
    </row>
    <row r="30" spans="1:11" ht="15" customHeight="1">
      <c r="A30" s="127"/>
      <c r="B30" s="125"/>
      <c r="C30" s="67">
        <v>152.19200000000001</v>
      </c>
      <c r="D30" s="42">
        <f t="shared" si="2"/>
        <v>1.5</v>
      </c>
      <c r="E30" s="67">
        <v>19272.008000000002</v>
      </c>
      <c r="F30" s="42">
        <f t="shared" si="3"/>
        <v>2.8</v>
      </c>
    </row>
    <row r="31" spans="1:11" ht="15" customHeight="1">
      <c r="A31" s="127"/>
      <c r="B31" s="125"/>
      <c r="C31" s="67">
        <v>150.16200000000001</v>
      </c>
      <c r="D31" s="42">
        <f t="shared" si="2"/>
        <v>0.1</v>
      </c>
      <c r="E31" s="67">
        <v>20652.009999999998</v>
      </c>
      <c r="F31" s="42">
        <f t="shared" si="3"/>
        <v>10.1</v>
      </c>
    </row>
    <row r="32" spans="1:11" ht="15" customHeight="1">
      <c r="A32" s="127"/>
      <c r="B32" s="115"/>
      <c r="C32" s="67">
        <v>109</v>
      </c>
      <c r="D32" s="42">
        <f t="shared" si="2"/>
        <v>-27.3</v>
      </c>
      <c r="E32" s="67">
        <v>16428.014999999999</v>
      </c>
      <c r="F32" s="42">
        <f t="shared" si="3"/>
        <v>-12.4</v>
      </c>
    </row>
    <row r="33" spans="1:11" ht="15" customHeight="1">
      <c r="A33" s="34" t="s">
        <v>27</v>
      </c>
      <c r="B33" s="119"/>
      <c r="C33" s="52">
        <f>ROUND(AVERAGE(C27:C32),3)</f>
        <v>136.268</v>
      </c>
      <c r="D33" s="119"/>
      <c r="E33" s="52">
        <f>ROUND(AVERAGE(E27:E32),3)</f>
        <v>18512.819</v>
      </c>
      <c r="F33" s="119"/>
    </row>
    <row r="34" spans="1:11" ht="15" customHeight="1">
      <c r="A34" s="34" t="s">
        <v>3</v>
      </c>
      <c r="B34" s="120"/>
      <c r="C34" s="52">
        <f>ROUND(STDEV(C27:C32),3)</f>
        <v>19.190999999999999</v>
      </c>
      <c r="D34" s="120"/>
      <c r="E34" s="52">
        <f>ROUND(STDEV(E27:E32),3)</f>
        <v>1584.867</v>
      </c>
      <c r="F34" s="120"/>
    </row>
    <row r="35" spans="1:11" ht="15" customHeight="1">
      <c r="A35" s="34" t="s">
        <v>45</v>
      </c>
      <c r="B35" s="120"/>
      <c r="C35" s="42">
        <f>ROUND(C34/C33*100,1)</f>
        <v>14.1</v>
      </c>
      <c r="D35" s="120"/>
      <c r="E35" s="42">
        <f>ROUND(E34/E33*100,1)</f>
        <v>8.6</v>
      </c>
      <c r="F35" s="120"/>
      <c r="H35" s="38"/>
    </row>
    <row r="36" spans="1:11" ht="15" customHeight="1">
      <c r="A36" s="34" t="s">
        <v>46</v>
      </c>
      <c r="B36" s="120"/>
      <c r="C36" s="42">
        <f>ROUND(C33/C$25*100,1)</f>
        <v>90.8</v>
      </c>
      <c r="D36" s="120"/>
      <c r="E36" s="42">
        <f>ROUND(E33/E$25*100,1)</f>
        <v>98.7</v>
      </c>
      <c r="F36" s="120"/>
    </row>
    <row r="37" spans="1:11" ht="15" customHeight="1">
      <c r="A37" s="34" t="s">
        <v>5</v>
      </c>
      <c r="B37" s="121"/>
      <c r="C37" s="34">
        <v>6</v>
      </c>
      <c r="D37" s="121"/>
      <c r="E37" s="34">
        <v>6</v>
      </c>
      <c r="F37" s="121"/>
    </row>
    <row r="38" spans="1:11">
      <c r="A38" s="33"/>
      <c r="B38" s="33"/>
      <c r="C38" s="33"/>
      <c r="D38" s="33"/>
      <c r="E38" s="33"/>
    </row>
    <row r="41" spans="1:11">
      <c r="A41" s="3" t="s">
        <v>100</v>
      </c>
    </row>
    <row r="42" spans="1:11" ht="14">
      <c r="A42" s="90" t="s">
        <v>281</v>
      </c>
      <c r="B42" s="32"/>
      <c r="C42" s="32"/>
      <c r="D42" s="32"/>
      <c r="E42" s="32"/>
      <c r="H42" s="22"/>
      <c r="J42" s="23" t="s">
        <v>59</v>
      </c>
      <c r="K42" s="81">
        <v>45366</v>
      </c>
    </row>
    <row r="43" spans="1:11">
      <c r="A43" s="114" t="s">
        <v>34</v>
      </c>
      <c r="B43" s="114" t="s">
        <v>23</v>
      </c>
      <c r="C43" s="34" t="s">
        <v>2</v>
      </c>
      <c r="D43" s="108" t="s">
        <v>47</v>
      </c>
      <c r="E43" s="34" t="s">
        <v>1</v>
      </c>
      <c r="F43" s="108" t="s">
        <v>47</v>
      </c>
      <c r="H43" s="22"/>
      <c r="J43" s="23" t="s">
        <v>60</v>
      </c>
      <c r="K43" s="81">
        <v>45435</v>
      </c>
    </row>
    <row r="44" spans="1:11">
      <c r="A44" s="125"/>
      <c r="B44" s="125"/>
      <c r="C44" s="50">
        <v>150</v>
      </c>
      <c r="D44" s="108"/>
      <c r="E44" s="50">
        <v>18750</v>
      </c>
      <c r="F44" s="108"/>
      <c r="H44" s="22"/>
      <c r="J44" s="23" t="s">
        <v>61</v>
      </c>
      <c r="K44" s="39">
        <f>K43-K42</f>
        <v>69</v>
      </c>
    </row>
    <row r="45" spans="1:11">
      <c r="A45" s="115"/>
      <c r="B45" s="115"/>
      <c r="C45" s="51" t="s">
        <v>118</v>
      </c>
      <c r="D45" s="108"/>
      <c r="E45" s="51" t="s">
        <v>118</v>
      </c>
      <c r="F45" s="108"/>
    </row>
    <row r="46" spans="1:11">
      <c r="A46" s="127">
        <v>45438</v>
      </c>
      <c r="B46" s="114">
        <v>9</v>
      </c>
      <c r="C46" s="67">
        <v>135.88900000000001</v>
      </c>
      <c r="D46" s="42">
        <f>ROUND((C46-C$44)/C$44*100,1)</f>
        <v>-9.4</v>
      </c>
      <c r="E46" s="67">
        <v>15485.504000000001</v>
      </c>
      <c r="F46" s="42">
        <f>ROUND((E46-E$44)/E$44*100,1)</f>
        <v>-17.399999999999999</v>
      </c>
    </row>
    <row r="47" spans="1:11">
      <c r="A47" s="127"/>
      <c r="B47" s="125"/>
      <c r="C47" s="67">
        <v>132.46199999999999</v>
      </c>
      <c r="D47" s="42">
        <f t="shared" ref="D47:F51" si="4">ROUND((C47-C$44)/C$44*100,1)</f>
        <v>-11.7</v>
      </c>
      <c r="E47" s="67">
        <v>15337.021000000001</v>
      </c>
      <c r="F47" s="42">
        <f t="shared" si="4"/>
        <v>-18.2</v>
      </c>
    </row>
    <row r="48" spans="1:11">
      <c r="A48" s="127"/>
      <c r="B48" s="125"/>
      <c r="C48" s="67">
        <v>125.26900000000001</v>
      </c>
      <c r="D48" s="42">
        <f t="shared" si="4"/>
        <v>-16.5</v>
      </c>
      <c r="E48" s="67">
        <v>15242.620999999999</v>
      </c>
      <c r="F48" s="42">
        <f t="shared" si="4"/>
        <v>-18.7</v>
      </c>
    </row>
    <row r="49" spans="1:8">
      <c r="A49" s="127"/>
      <c r="B49" s="125"/>
      <c r="C49" s="67">
        <v>133.55000000000001</v>
      </c>
      <c r="D49" s="42">
        <f t="shared" si="4"/>
        <v>-11</v>
      </c>
      <c r="E49" s="67">
        <v>15585.552</v>
      </c>
      <c r="F49" s="42">
        <f t="shared" si="4"/>
        <v>-16.899999999999999</v>
      </c>
    </row>
    <row r="50" spans="1:8">
      <c r="A50" s="127"/>
      <c r="B50" s="125"/>
      <c r="C50" s="67">
        <v>121.44499999999999</v>
      </c>
      <c r="D50" s="42">
        <f t="shared" si="4"/>
        <v>-19</v>
      </c>
      <c r="E50" s="67">
        <v>14488.834999999999</v>
      </c>
      <c r="F50" s="42">
        <f t="shared" si="4"/>
        <v>-22.7</v>
      </c>
    </row>
    <row r="51" spans="1:8">
      <c r="A51" s="127"/>
      <c r="B51" s="115"/>
      <c r="C51" s="67">
        <v>138.595</v>
      </c>
      <c r="D51" s="42">
        <f t="shared" si="4"/>
        <v>-7.6</v>
      </c>
      <c r="E51" s="67">
        <v>15562.842000000001</v>
      </c>
      <c r="F51" s="42">
        <f t="shared" si="4"/>
        <v>-17</v>
      </c>
    </row>
    <row r="52" spans="1:8">
      <c r="A52" s="34" t="s">
        <v>27</v>
      </c>
      <c r="B52" s="119"/>
      <c r="C52" s="52">
        <f>ROUND(AVERAGE(C46:C51),3)</f>
        <v>131.202</v>
      </c>
      <c r="D52" s="119"/>
      <c r="E52" s="52">
        <f>ROUND(AVERAGE(E46:E51),3)</f>
        <v>15283.728999999999</v>
      </c>
      <c r="F52" s="119"/>
    </row>
    <row r="53" spans="1:8">
      <c r="A53" s="34" t="s">
        <v>3</v>
      </c>
      <c r="B53" s="120"/>
      <c r="C53" s="52">
        <f>ROUND(STDEV(C46:C51),3)</f>
        <v>6.5439999999999996</v>
      </c>
      <c r="D53" s="120"/>
      <c r="E53" s="52">
        <f>ROUND(STDEV(E46:E51),3)</f>
        <v>411.36399999999998</v>
      </c>
      <c r="F53" s="120"/>
    </row>
    <row r="54" spans="1:8">
      <c r="A54" s="34" t="s">
        <v>50</v>
      </c>
      <c r="B54" s="120"/>
      <c r="C54" s="42">
        <f>ROUND(C53/C52*100,1)</f>
        <v>5</v>
      </c>
      <c r="D54" s="120"/>
      <c r="E54" s="42">
        <f>ROUND(E53/E52*100,1)</f>
        <v>2.7</v>
      </c>
      <c r="F54" s="120"/>
      <c r="H54" s="38"/>
    </row>
    <row r="55" spans="1:8">
      <c r="A55" s="34" t="s">
        <v>51</v>
      </c>
      <c r="B55" s="120"/>
      <c r="C55" s="42">
        <f>ROUND(C52/C$7*100,1)</f>
        <v>87.5</v>
      </c>
      <c r="D55" s="120"/>
      <c r="E55" s="42">
        <f>ROUND(E52/E$7*100,1)</f>
        <v>81.5</v>
      </c>
      <c r="F55" s="120"/>
    </row>
    <row r="56" spans="1:8">
      <c r="A56" s="34" t="s">
        <v>5</v>
      </c>
      <c r="B56" s="121"/>
      <c r="C56" s="34">
        <v>6</v>
      </c>
      <c r="D56" s="121"/>
      <c r="E56" s="34">
        <v>6</v>
      </c>
      <c r="F56" s="121"/>
    </row>
  </sheetData>
  <mergeCells count="27">
    <mergeCell ref="A6:A8"/>
    <mergeCell ref="B6:B8"/>
    <mergeCell ref="D6:D8"/>
    <mergeCell ref="F6:F8"/>
    <mergeCell ref="B15:B19"/>
    <mergeCell ref="A9:A14"/>
    <mergeCell ref="B9:B14"/>
    <mergeCell ref="D15:D19"/>
    <mergeCell ref="F15:F19"/>
    <mergeCell ref="B33:B37"/>
    <mergeCell ref="D33:D37"/>
    <mergeCell ref="F33:F37"/>
    <mergeCell ref="A24:A26"/>
    <mergeCell ref="B24:B26"/>
    <mergeCell ref="D24:D26"/>
    <mergeCell ref="F24:F26"/>
    <mergeCell ref="A27:A32"/>
    <mergeCell ref="B27:B32"/>
    <mergeCell ref="B52:B56"/>
    <mergeCell ref="D52:D56"/>
    <mergeCell ref="F52:F56"/>
    <mergeCell ref="A43:A45"/>
    <mergeCell ref="B43:B45"/>
    <mergeCell ref="D43:D45"/>
    <mergeCell ref="F43:F45"/>
    <mergeCell ref="A46:A51"/>
    <mergeCell ref="B46:B51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6" orientation="portrait" r:id="rId1"/>
  <headerFooter>
    <oddHeader>&amp;C 1632MV7生物分析方法学验证数据</oddHeader>
    <oddFooter>&amp;C第&amp;P页，共&amp;N页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6B2F-31A8-49C8-ABA3-4208110A0747}">
  <sheetPr>
    <tabColor rgb="FF00B050"/>
    <pageSetUpPr fitToPage="1"/>
  </sheetPr>
  <dimension ref="A1:H21"/>
  <sheetViews>
    <sheetView view="pageBreakPreview" zoomScaleNormal="100" zoomScaleSheetLayoutView="100" workbookViewId="0">
      <selection activeCell="G28" sqref="G28"/>
    </sheetView>
  </sheetViews>
  <sheetFormatPr defaultColWidth="8.83203125" defaultRowHeight="13.5"/>
  <cols>
    <col min="1" max="7" width="12.08203125" style="3" customWidth="1"/>
    <col min="8" max="16384" width="8.83203125" style="3"/>
  </cols>
  <sheetData>
    <row r="1" spans="1:8" ht="15" customHeight="1"/>
    <row r="2" spans="1:8">
      <c r="A2" s="105" t="s">
        <v>541</v>
      </c>
      <c r="B2" s="105"/>
      <c r="C2" s="105"/>
      <c r="D2" s="105"/>
      <c r="E2" s="105"/>
      <c r="F2" s="105"/>
    </row>
    <row r="3" spans="1:8" ht="13.5" customHeight="1">
      <c r="A3" s="32"/>
      <c r="B3" s="32"/>
      <c r="C3" s="32"/>
      <c r="D3" s="32"/>
      <c r="E3" s="32"/>
      <c r="F3" s="32"/>
    </row>
    <row r="4" spans="1:8" ht="13.5" customHeight="1">
      <c r="A4" s="3" t="s">
        <v>517</v>
      </c>
    </row>
    <row r="5" spans="1:8" ht="14">
      <c r="A5" s="263" t="s">
        <v>540</v>
      </c>
      <c r="B5" s="262"/>
      <c r="C5" s="262"/>
      <c r="D5" s="262"/>
      <c r="E5" s="262"/>
      <c r="F5" s="262"/>
      <c r="G5" s="262"/>
      <c r="H5" s="261"/>
    </row>
    <row r="6" spans="1:8" ht="15" customHeight="1">
      <c r="A6" s="114" t="s">
        <v>34</v>
      </c>
      <c r="B6" s="114" t="s">
        <v>23</v>
      </c>
      <c r="C6" s="114" t="s">
        <v>539</v>
      </c>
      <c r="D6" s="260" t="s">
        <v>538</v>
      </c>
      <c r="E6" s="260"/>
      <c r="F6" s="260"/>
      <c r="G6" s="260"/>
    </row>
    <row r="7" spans="1:8">
      <c r="A7" s="125"/>
      <c r="B7" s="125"/>
      <c r="C7" s="125"/>
      <c r="D7" s="258">
        <v>150</v>
      </c>
      <c r="E7" s="259" t="s">
        <v>118</v>
      </c>
      <c r="F7" s="258">
        <v>18750</v>
      </c>
      <c r="G7" s="257" t="s">
        <v>118</v>
      </c>
    </row>
    <row r="8" spans="1:8" ht="15" customHeight="1">
      <c r="A8" s="125"/>
      <c r="B8" s="125"/>
      <c r="C8" s="125"/>
      <c r="D8" s="115" t="s">
        <v>537</v>
      </c>
      <c r="E8" s="256"/>
      <c r="F8" s="115" t="s">
        <v>537</v>
      </c>
      <c r="G8" s="115"/>
    </row>
    <row r="9" spans="1:8" ht="15" customHeight="1">
      <c r="A9" s="115"/>
      <c r="B9" s="115"/>
      <c r="C9" s="115"/>
      <c r="D9" s="34" t="s">
        <v>536</v>
      </c>
      <c r="E9" s="34" t="s">
        <v>535</v>
      </c>
      <c r="F9" s="34" t="s">
        <v>536</v>
      </c>
      <c r="G9" s="34" t="s">
        <v>535</v>
      </c>
    </row>
    <row r="10" spans="1:8" ht="15" customHeight="1">
      <c r="A10" s="255">
        <v>45371</v>
      </c>
      <c r="B10" s="114">
        <v>3</v>
      </c>
      <c r="C10" s="34">
        <v>1</v>
      </c>
      <c r="D10" s="251">
        <v>2.7463000000000001E-2</v>
      </c>
      <c r="E10" s="251">
        <v>3.1941999999999998E-2</v>
      </c>
      <c r="F10" s="251">
        <v>2.8293089999999999</v>
      </c>
      <c r="G10" s="251">
        <v>2.9899689999999999</v>
      </c>
    </row>
    <row r="11" spans="1:8" ht="15" customHeight="1">
      <c r="A11" s="254"/>
      <c r="B11" s="125"/>
      <c r="C11" s="34">
        <v>2</v>
      </c>
      <c r="D11" s="251">
        <v>2.6948E-2</v>
      </c>
      <c r="E11" s="251">
        <v>3.058E-2</v>
      </c>
      <c r="F11" s="251">
        <v>2.8712170000000001</v>
      </c>
      <c r="G11" s="251">
        <v>3.3519420000000002</v>
      </c>
    </row>
    <row r="12" spans="1:8" ht="15" customHeight="1">
      <c r="A12" s="254"/>
      <c r="B12" s="125"/>
      <c r="C12" s="34">
        <v>3</v>
      </c>
      <c r="D12" s="251">
        <v>2.5877000000000001E-2</v>
      </c>
      <c r="E12" s="251">
        <v>3.0856999999999999E-2</v>
      </c>
      <c r="F12" s="251">
        <v>3.0383300000000002</v>
      </c>
      <c r="G12" s="251">
        <v>3.0827170000000002</v>
      </c>
    </row>
    <row r="13" spans="1:8" ht="15" customHeight="1">
      <c r="A13" s="254"/>
      <c r="B13" s="125"/>
      <c r="C13" s="34">
        <v>4</v>
      </c>
      <c r="D13" s="251">
        <v>2.768E-2</v>
      </c>
      <c r="E13" s="251">
        <v>3.3503999999999999E-2</v>
      </c>
      <c r="F13" s="251">
        <v>2.914628</v>
      </c>
      <c r="G13" s="251">
        <v>3.2033019999999999</v>
      </c>
    </row>
    <row r="14" spans="1:8" ht="15" customHeight="1">
      <c r="A14" s="254"/>
      <c r="B14" s="125"/>
      <c r="C14" s="34">
        <v>5</v>
      </c>
      <c r="D14" s="251">
        <v>2.7727000000000002E-2</v>
      </c>
      <c r="E14" s="251">
        <v>3.0751000000000001E-2</v>
      </c>
      <c r="F14" s="251">
        <v>3.0539079999999998</v>
      </c>
      <c r="G14" s="251">
        <v>3.1536</v>
      </c>
    </row>
    <row r="15" spans="1:8" ht="15" customHeight="1">
      <c r="A15" s="254"/>
      <c r="B15" s="125"/>
      <c r="C15" s="96">
        <v>6</v>
      </c>
      <c r="D15" s="251">
        <v>2.912E-2</v>
      </c>
      <c r="E15" s="251">
        <v>2.7002999999999999E-2</v>
      </c>
      <c r="F15" s="251">
        <v>2.927044</v>
      </c>
      <c r="G15" s="251">
        <v>3.0754000000000001</v>
      </c>
    </row>
    <row r="16" spans="1:8" ht="15" customHeight="1">
      <c r="A16" s="34" t="s">
        <v>27</v>
      </c>
      <c r="B16" s="253"/>
      <c r="C16" s="252"/>
      <c r="D16" s="251">
        <f>ROUND(AVERAGE(D10:D15),6)</f>
        <v>2.7469E-2</v>
      </c>
      <c r="E16" s="251">
        <f>ROUND(AVERAGE(E10:E15),6)</f>
        <v>3.0772999999999998E-2</v>
      </c>
      <c r="F16" s="251">
        <f>ROUND(AVERAGE(F10:F15),6)</f>
        <v>2.939073</v>
      </c>
      <c r="G16" s="251">
        <f>ROUND(AVERAGE(G10:G15),6)</f>
        <v>3.1428219999999998</v>
      </c>
    </row>
    <row r="17" spans="1:7" ht="15" customHeight="1">
      <c r="A17" s="34" t="s">
        <v>3</v>
      </c>
      <c r="B17" s="250"/>
      <c r="C17" s="249"/>
      <c r="D17" s="251">
        <f>ROUND(STDEV(D10:D15),6)</f>
        <v>1.062E-3</v>
      </c>
      <c r="E17" s="251">
        <f>ROUND(STDEV(E10:E15),6)</f>
        <v>2.1489999999999999E-3</v>
      </c>
      <c r="F17" s="251">
        <f>ROUND(STDEV(F10:F15),6)</f>
        <v>8.9926000000000006E-2</v>
      </c>
      <c r="G17" s="251">
        <f>ROUND(STDEV(G10:G15),6)</f>
        <v>0.12572</v>
      </c>
    </row>
    <row r="18" spans="1:7" ht="15" customHeight="1">
      <c r="A18" s="34" t="s">
        <v>50</v>
      </c>
      <c r="B18" s="250"/>
      <c r="C18" s="249"/>
      <c r="D18" s="42">
        <f>ROUND(D17/D16*100,1)</f>
        <v>3.9</v>
      </c>
      <c r="E18" s="42">
        <f>ROUND(E17/E16*100,1)</f>
        <v>7</v>
      </c>
      <c r="F18" s="42">
        <f>ROUND(F17/F16*100,1)</f>
        <v>3.1</v>
      </c>
      <c r="G18" s="42">
        <f>ROUND(G17/G16*100,1)</f>
        <v>4</v>
      </c>
    </row>
    <row r="19" spans="1:7" ht="15" customHeight="1">
      <c r="A19" s="34" t="s">
        <v>534</v>
      </c>
      <c r="B19" s="248"/>
      <c r="C19" s="247"/>
      <c r="D19" s="149">
        <f>ROUND((D16-E16)/E16*100,1)</f>
        <v>-10.7</v>
      </c>
      <c r="E19" s="149"/>
      <c r="F19" s="149">
        <f>ROUND((F16-G16)/G16*100,1)</f>
        <v>-6.5</v>
      </c>
      <c r="G19" s="149"/>
    </row>
    <row r="20" spans="1:7" ht="15" customHeight="1">
      <c r="A20" s="69"/>
      <c r="B20" s="69"/>
      <c r="C20" s="69"/>
      <c r="D20" s="33"/>
      <c r="E20" s="33"/>
      <c r="F20" s="33"/>
      <c r="G20" s="33"/>
    </row>
    <row r="21" spans="1:7" ht="15" customHeight="1"/>
  </sheetData>
  <mergeCells count="13">
    <mergeCell ref="A10:A15"/>
    <mergeCell ref="B10:B15"/>
    <mergeCell ref="D19:E19"/>
    <mergeCell ref="B16:C19"/>
    <mergeCell ref="F19:G19"/>
    <mergeCell ref="A2:F2"/>
    <mergeCell ref="A6:A9"/>
    <mergeCell ref="B6:B9"/>
    <mergeCell ref="C6:C9"/>
    <mergeCell ref="F8:G8"/>
    <mergeCell ref="D6:G6"/>
    <mergeCell ref="D8:E8"/>
    <mergeCell ref="A5:G5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311A-2633-4B79-A81C-08887AF1E7AB}">
  <sheetPr>
    <tabColor rgb="FF00B050"/>
    <pageSetUpPr fitToPage="1"/>
  </sheetPr>
  <dimension ref="A2:H16"/>
  <sheetViews>
    <sheetView view="pageBreakPreview" zoomScaleNormal="100" zoomScaleSheetLayoutView="100" workbookViewId="0">
      <selection activeCell="E20" sqref="E20"/>
    </sheetView>
  </sheetViews>
  <sheetFormatPr defaultColWidth="8.83203125" defaultRowHeight="13.5"/>
  <cols>
    <col min="1" max="1" width="13.5" style="3" customWidth="1"/>
    <col min="2" max="2" width="14.33203125" style="3" customWidth="1"/>
    <col min="3" max="3" width="13.75" style="3" customWidth="1"/>
    <col min="4" max="4" width="11.58203125" style="3" customWidth="1"/>
    <col min="5" max="5" width="12.75" style="3" customWidth="1"/>
    <col min="6" max="6" width="11.58203125" style="3" customWidth="1"/>
    <col min="7" max="16384" width="8.83203125" style="3"/>
  </cols>
  <sheetData>
    <row r="2" spans="1:8">
      <c r="A2" s="3" t="s">
        <v>542</v>
      </c>
    </row>
    <row r="3" spans="1:8">
      <c r="A3" s="32"/>
      <c r="B3" s="32"/>
      <c r="C3" s="32"/>
    </row>
    <row r="4" spans="1:8" ht="15.75" customHeight="1">
      <c r="A4" s="3" t="s">
        <v>517</v>
      </c>
    </row>
    <row r="5" spans="1:8" s="61" customFormat="1">
      <c r="A5" s="114" t="s">
        <v>34</v>
      </c>
      <c r="B5" s="114" t="s">
        <v>23</v>
      </c>
      <c r="C5" s="34" t="s">
        <v>16</v>
      </c>
      <c r="D5" s="108" t="s">
        <v>47</v>
      </c>
      <c r="E5" s="49" t="s">
        <v>1</v>
      </c>
      <c r="F5" s="108" t="s">
        <v>47</v>
      </c>
    </row>
    <row r="6" spans="1:8" s="61" customFormat="1">
      <c r="A6" s="125"/>
      <c r="B6" s="125"/>
      <c r="C6" s="50">
        <v>150</v>
      </c>
      <c r="D6" s="108"/>
      <c r="E6" s="50">
        <v>18750</v>
      </c>
      <c r="F6" s="108"/>
    </row>
    <row r="7" spans="1:8" s="61" customFormat="1">
      <c r="A7" s="115"/>
      <c r="B7" s="115"/>
      <c r="C7" s="51" t="s">
        <v>515</v>
      </c>
      <c r="D7" s="108"/>
      <c r="E7" s="51" t="s">
        <v>515</v>
      </c>
      <c r="F7" s="108"/>
    </row>
    <row r="8" spans="1:8" s="61" customFormat="1" ht="14">
      <c r="A8" s="127">
        <v>45372</v>
      </c>
      <c r="B8" s="114">
        <v>6</v>
      </c>
      <c r="C8" s="52">
        <v>169.81299999999999</v>
      </c>
      <c r="D8" s="42">
        <f>ROUND((C8-C$6)/C$6*100,1)</f>
        <v>13.2</v>
      </c>
      <c r="E8" s="52">
        <v>21322.191999999999</v>
      </c>
      <c r="F8" s="42">
        <f>ROUND((E8-E$6)/E$6*100,1)</f>
        <v>13.7</v>
      </c>
      <c r="G8"/>
      <c r="H8"/>
    </row>
    <row r="9" spans="1:8" s="61" customFormat="1" ht="14">
      <c r="A9" s="127"/>
      <c r="B9" s="125"/>
      <c r="C9" s="52">
        <v>171.19399999999999</v>
      </c>
      <c r="D9" s="42">
        <f>ROUND((C9-C$6)/C$6*100,1)</f>
        <v>14.1</v>
      </c>
      <c r="E9" s="52">
        <v>19609.561000000002</v>
      </c>
      <c r="F9" s="42">
        <f>ROUND((E9-E$6)/E$6*100,1)</f>
        <v>4.5999999999999996</v>
      </c>
      <c r="G9"/>
      <c r="H9"/>
    </row>
    <row r="10" spans="1:8" s="61" customFormat="1" ht="14">
      <c r="A10" s="127"/>
      <c r="B10" s="125"/>
      <c r="C10" s="52">
        <v>166.23</v>
      </c>
      <c r="D10" s="42">
        <f>ROUND((C10-C$6)/C$6*100,1)</f>
        <v>10.8</v>
      </c>
      <c r="E10" s="52">
        <v>19334.734</v>
      </c>
      <c r="F10" s="42">
        <f>ROUND((E10-E$6)/E$6*100,1)</f>
        <v>3.1</v>
      </c>
      <c r="G10"/>
      <c r="H10"/>
    </row>
    <row r="11" spans="1:8" s="61" customFormat="1" ht="14">
      <c r="A11" s="34" t="s">
        <v>27</v>
      </c>
      <c r="B11" s="119"/>
      <c r="C11" s="52">
        <f>ROUND(AVERAGE(C8:C10),3)</f>
        <v>169.07900000000001</v>
      </c>
      <c r="D11" s="119"/>
      <c r="E11" s="52">
        <f>ROUND(AVERAGE(E8:E10),3)</f>
        <v>20088.829000000002</v>
      </c>
      <c r="F11" s="119"/>
      <c r="G11"/>
    </row>
    <row r="12" spans="1:8" s="61" customFormat="1" ht="14">
      <c r="A12" s="34" t="s">
        <v>3</v>
      </c>
      <c r="B12" s="120"/>
      <c r="C12" s="52">
        <f>ROUND(STDEV(C8:C10),3)</f>
        <v>2.5619999999999998</v>
      </c>
      <c r="D12" s="120"/>
      <c r="E12" s="52">
        <f>ROUND(STDEV(E8:E10),3)</f>
        <v>1076.9269999999999</v>
      </c>
      <c r="F12" s="120"/>
      <c r="G12"/>
    </row>
    <row r="13" spans="1:8" s="61" customFormat="1" ht="14">
      <c r="A13" s="34" t="s">
        <v>50</v>
      </c>
      <c r="B13" s="120"/>
      <c r="C13" s="42">
        <f>ROUND(C12/C11*100,1)</f>
        <v>1.5</v>
      </c>
      <c r="D13" s="120"/>
      <c r="E13" s="42">
        <f>ROUND(E12/E11*100,1)</f>
        <v>5.4</v>
      </c>
      <c r="F13" s="120"/>
      <c r="G13"/>
    </row>
    <row r="14" spans="1:8" s="61" customFormat="1">
      <c r="A14" s="34" t="s">
        <v>51</v>
      </c>
      <c r="B14" s="120"/>
      <c r="C14" s="42">
        <f>ROUND(C11/C$6*100,1)</f>
        <v>112.7</v>
      </c>
      <c r="D14" s="120"/>
      <c r="E14" s="42">
        <f>ROUND(E11/E$6*100,1)</f>
        <v>107.1</v>
      </c>
      <c r="F14" s="120"/>
      <c r="G14" s="264"/>
    </row>
    <row r="15" spans="1:8" s="61" customFormat="1">
      <c r="A15" s="34" t="s">
        <v>5</v>
      </c>
      <c r="B15" s="121"/>
      <c r="C15" s="34">
        <v>3</v>
      </c>
      <c r="D15" s="121"/>
      <c r="E15" s="34">
        <v>3</v>
      </c>
      <c r="F15" s="121"/>
      <c r="G15" s="264"/>
    </row>
    <row r="16" spans="1:8" s="61" customFormat="1">
      <c r="A16" s="265"/>
      <c r="B16" s="265"/>
      <c r="C16" s="265"/>
      <c r="D16" s="265"/>
      <c r="G16" s="264"/>
    </row>
  </sheetData>
  <mergeCells count="10">
    <mergeCell ref="F5:F7"/>
    <mergeCell ref="F11:F15"/>
    <mergeCell ref="A16:D16"/>
    <mergeCell ref="A8:A10"/>
    <mergeCell ref="B8:B10"/>
    <mergeCell ref="B11:B15"/>
    <mergeCell ref="D11:D15"/>
    <mergeCell ref="A5:A7"/>
    <mergeCell ref="B5:B7"/>
    <mergeCell ref="D5:D7"/>
  </mergeCells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3:C4"/>
  <sheetViews>
    <sheetView workbookViewId="0">
      <selection activeCell="B12" sqref="B12"/>
    </sheetView>
  </sheetViews>
  <sheetFormatPr defaultColWidth="9" defaultRowHeight="14"/>
  <cols>
    <col min="1" max="1" width="22.5" style="1" customWidth="1"/>
    <col min="2" max="16384" width="9" style="1"/>
  </cols>
  <sheetData>
    <row r="3" spans="1:3">
      <c r="A3" s="1" t="s">
        <v>56</v>
      </c>
      <c r="B3" s="2" t="s">
        <v>75</v>
      </c>
      <c r="C3" s="1" t="s">
        <v>328</v>
      </c>
    </row>
    <row r="4" spans="1:3">
      <c r="A4" s="1" t="s">
        <v>57</v>
      </c>
      <c r="B4" s="1" t="s">
        <v>74</v>
      </c>
      <c r="C4" s="1" t="s">
        <v>329</v>
      </c>
    </row>
  </sheetData>
  <phoneticPr fontId="1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11</vt:i4>
      </vt:variant>
    </vt:vector>
  </HeadingPairs>
  <TitlesOfParts>
    <vt:vector size="39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表4_Selectivity</vt:lpstr>
      <vt:lpstr>表5_特异性</vt:lpstr>
      <vt:lpstr>表6_ME</vt:lpstr>
      <vt:lpstr>表7_Regression</vt:lpstr>
      <vt:lpstr>表8_curve</vt:lpstr>
      <vt:lpstr>表9_Inter QC</vt:lpstr>
      <vt:lpstr>表10 QC (除准确度精密度分析批）</vt:lpstr>
      <vt:lpstr>表11_Recovery</vt:lpstr>
      <vt:lpstr>表12_IS Recov</vt:lpstr>
      <vt:lpstr>表13_Dilution</vt:lpstr>
      <vt:lpstr>表15_spike RT</vt:lpstr>
      <vt:lpstr>表17_spike LT</vt:lpstr>
      <vt:lpstr>表18_ST</vt:lpstr>
      <vt:lpstr>表19_FT</vt:lpstr>
      <vt:lpstr>表20_PSS</vt:lpstr>
      <vt:lpstr>表21_LTS</vt:lpstr>
      <vt:lpstr>表22_Blood</vt:lpstr>
      <vt:lpstr>表23_溶血效应</vt:lpstr>
      <vt:lpstr>分析天平</vt:lpstr>
      <vt:lpstr>表1_schedule!Print_Area</vt:lpstr>
      <vt:lpstr>表11_Recovery!Print_Area</vt:lpstr>
      <vt:lpstr>'表12_IS Recov'!Print_Area</vt:lpstr>
      <vt:lpstr>表19_FT!Print_Area</vt:lpstr>
      <vt:lpstr>表2_SST!Print_Area</vt:lpstr>
      <vt:lpstr>表21_LTS!Print_Area</vt:lpstr>
      <vt:lpstr>表3_CO!Print_Area</vt:lpstr>
      <vt:lpstr>表4_Selectivity!Print_Area</vt:lpstr>
      <vt:lpstr>表6_ME!Print_Area</vt:lpstr>
      <vt:lpstr>表7_Regression!Print_Area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lyang</cp:lastModifiedBy>
  <cp:lastPrinted>2024-06-17T05:43:21Z</cp:lastPrinted>
  <dcterms:created xsi:type="dcterms:W3CDTF">2016-03-17T02:40:20Z</dcterms:created>
  <dcterms:modified xsi:type="dcterms:W3CDTF">2024-07-22T08:14:31Z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[DocID]=C7DE62CC-0255-49DC-B401-1E5C1E338E57</vt:lpwstr>
  </op:property>
</op:Properties>
</file>